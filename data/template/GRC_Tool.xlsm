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0A278BC4-ED57-42AA-858D-E47E3DBB5312}" xr6:coauthVersionLast="47" xr6:coauthVersionMax="47" xr10:uidLastSave="{00000000-0000-0000-0000-000000000000}"/>
  <bookViews>
    <workbookView xWindow="-120" yWindow="-120" windowWidth="51840" windowHeight="21120" xr2:uid="{00000000-000D-0000-FFFF-FFFF00000000}"/>
  </bookViews>
  <sheets>
    <sheet name="Config" sheetId="1" r:id="rId1"/>
    <sheet name="Info" sheetId="2" r:id="rId2"/>
    <sheet name="Processes" sheetId="3" r:id="rId3"/>
    <sheet name="Information Assets" sheetId="4" r:id="rId4"/>
    <sheet name="Dependent Assets" sheetId="5" r:id="rId5"/>
    <sheet name="RARM" sheetId="6" r:id="rId6"/>
    <sheet name="Responsible Persons" sheetId="7" r:id="rId7"/>
    <sheet name="Import &amp; Export" sheetId="8" r:id="rId8"/>
    <sheet name="Reference Values" sheetId="9" r:id="rId9"/>
    <sheet name="CyFun Controls" sheetId="10" r:id="rId10"/>
    <sheet name="Kwetsbaarheden" sheetId="11" r:id="rId11"/>
    <sheet name="Afwijkingen" sheetId="12" r:id="rId12"/>
    <sheet name="Risicobeheer" sheetId="13" r:id="rId13"/>
    <sheet name="Controles" sheetId="14" r:id="rId14"/>
    <sheet name="Acties" sheetId="15" r:id="rId15"/>
    <sheet name="_Lang" sheetId="16" state="hidden" r:id="rId16"/>
  </sheets>
  <functionGroups builtInGroupCount="19"/>
  <definedNames>
    <definedName name="_xlnm._FilterDatabase" localSheetId="14" hidden="1">Acties!$A$2:$I$2</definedName>
    <definedName name="_xlnm._FilterDatabase" localSheetId="13" hidden="1">Controles!$A$2:$I$2</definedName>
    <definedName name="_xlnm._FilterDatabase" localSheetId="9" hidden="1">'CyFun Controls'!$A$3:$M$3</definedName>
    <definedName name="_xlnm._FilterDatabase" localSheetId="4" hidden="1">'Dependent Assets'!$A$5:$Y$5</definedName>
    <definedName name="_xlnm._FilterDatabase" localSheetId="3" hidden="1">'Information Assets'!$A$5:$I$5</definedName>
    <definedName name="_xlnm._FilterDatabase" localSheetId="10" hidden="1">Kwetsbaarheden!$A$2:$B$2</definedName>
    <definedName name="_xlnm._FilterDatabase" localSheetId="2" hidden="1">Processes!$A$5:$L$5</definedName>
    <definedName name="_xlnm._FilterDatabase" localSheetId="6" hidden="1">'Responsible Persons'!$A$5:$I$5</definedName>
    <definedName name="_xlnm._FilterDatabase" localSheetId="12" hidden="1">Risicobeheer!$A$2:$H$2</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9" l="1"/>
  <c r="B30" i="9"/>
  <c r="C29" i="9"/>
  <c r="B29" i="9"/>
  <c r="C28" i="9"/>
  <c r="B28" i="9"/>
  <c r="C27" i="9"/>
  <c r="B27" i="9"/>
  <c r="C26" i="9"/>
  <c r="B26" i="9"/>
  <c r="C25" i="9"/>
  <c r="B25" i="9"/>
  <c r="A25" i="9"/>
  <c r="A24" i="9"/>
  <c r="A23" i="9"/>
  <c r="C21" i="9"/>
  <c r="B21" i="9"/>
  <c r="C20" i="9"/>
  <c r="B20" i="9"/>
  <c r="C19" i="9"/>
  <c r="B19" i="9"/>
  <c r="C18" i="9"/>
  <c r="B18" i="9"/>
  <c r="C17" i="9"/>
  <c r="B17" i="9"/>
  <c r="C16" i="9"/>
  <c r="B16" i="9"/>
  <c r="A16" i="9"/>
  <c r="A15" i="9"/>
  <c r="A14" i="9"/>
  <c r="C12" i="9"/>
  <c r="B12" i="9"/>
  <c r="C11" i="9"/>
  <c r="B11" i="9"/>
  <c r="C10" i="9"/>
  <c r="B10" i="9"/>
  <c r="C9" i="9"/>
  <c r="B9" i="9"/>
  <c r="C8" i="9"/>
  <c r="B8" i="9"/>
  <c r="C7" i="9"/>
  <c r="B7" i="9"/>
  <c r="A7" i="9"/>
  <c r="A6" i="9"/>
  <c r="A5" i="9"/>
  <c r="A3" i="9"/>
  <c r="A2" i="9"/>
  <c r="A1" i="9"/>
  <c r="B34" i="8"/>
  <c r="B31" i="8"/>
  <c r="B30" i="8"/>
  <c r="B27" i="8"/>
  <c r="B26" i="8"/>
  <c r="B25" i="8"/>
  <c r="B24" i="8"/>
  <c r="B22" i="8"/>
  <c r="B21" i="8"/>
  <c r="B19" i="8"/>
  <c r="B18" i="8"/>
  <c r="B16" i="8"/>
  <c r="B15" i="8"/>
  <c r="B13" i="8"/>
  <c r="B12" i="8"/>
  <c r="B10" i="8"/>
  <c r="B9" i="8"/>
  <c r="B7" i="8"/>
  <c r="B6" i="8"/>
  <c r="B5" i="8"/>
  <c r="A3" i="8"/>
  <c r="A2" i="8"/>
  <c r="A1" i="8"/>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I5" i="7"/>
  <c r="H5" i="7"/>
  <c r="G5" i="7"/>
  <c r="F5" i="7"/>
  <c r="E5" i="7"/>
  <c r="D5" i="7"/>
  <c r="C5" i="7"/>
  <c r="B5" i="7"/>
  <c r="A5" i="7"/>
  <c r="A3" i="7"/>
  <c r="A2" i="7"/>
  <c r="A1" i="7"/>
  <c r="U105" i="5"/>
  <c r="S105" i="5"/>
  <c r="Q105" i="5"/>
  <c r="O105" i="5"/>
  <c r="M105" i="5"/>
  <c r="K105" i="5"/>
  <c r="A105" i="5"/>
  <c r="U104" i="5"/>
  <c r="S104" i="5"/>
  <c r="Q104" i="5"/>
  <c r="O104" i="5"/>
  <c r="M104" i="5"/>
  <c r="K104" i="5"/>
  <c r="A104" i="5"/>
  <c r="U103" i="5"/>
  <c r="S103" i="5"/>
  <c r="Q103" i="5"/>
  <c r="O103" i="5"/>
  <c r="M103" i="5"/>
  <c r="K103" i="5"/>
  <c r="A103" i="5"/>
  <c r="U102" i="5"/>
  <c r="S102" i="5"/>
  <c r="Q102" i="5"/>
  <c r="O102" i="5"/>
  <c r="M102" i="5"/>
  <c r="K102" i="5"/>
  <c r="A102" i="5"/>
  <c r="U101" i="5"/>
  <c r="S101" i="5"/>
  <c r="Q101" i="5"/>
  <c r="O101" i="5"/>
  <c r="M101" i="5"/>
  <c r="K101" i="5"/>
  <c r="A101" i="5"/>
  <c r="U100" i="5"/>
  <c r="S100" i="5"/>
  <c r="Q100" i="5"/>
  <c r="O100" i="5"/>
  <c r="M100" i="5"/>
  <c r="K100" i="5"/>
  <c r="A100" i="5"/>
  <c r="U99" i="5"/>
  <c r="S99" i="5"/>
  <c r="Q99" i="5"/>
  <c r="O99" i="5"/>
  <c r="M99" i="5"/>
  <c r="K99" i="5"/>
  <c r="A99" i="5"/>
  <c r="U98" i="5"/>
  <c r="S98" i="5"/>
  <c r="Q98" i="5"/>
  <c r="O98" i="5"/>
  <c r="M98" i="5"/>
  <c r="K98" i="5"/>
  <c r="A98" i="5"/>
  <c r="U97" i="5"/>
  <c r="S97" i="5"/>
  <c r="Q97" i="5"/>
  <c r="O97" i="5"/>
  <c r="M97" i="5"/>
  <c r="K97" i="5"/>
  <c r="A97" i="5"/>
  <c r="U96" i="5"/>
  <c r="S96" i="5"/>
  <c r="Q96" i="5"/>
  <c r="O96" i="5"/>
  <c r="M96" i="5"/>
  <c r="K96" i="5"/>
  <c r="A96" i="5"/>
  <c r="U95" i="5"/>
  <c r="S95" i="5"/>
  <c r="Q95" i="5"/>
  <c r="O95" i="5"/>
  <c r="M95" i="5"/>
  <c r="K95" i="5"/>
  <c r="A95" i="5"/>
  <c r="U94" i="5"/>
  <c r="S94" i="5"/>
  <c r="Q94" i="5"/>
  <c r="O94" i="5"/>
  <c r="M94" i="5"/>
  <c r="K94" i="5"/>
  <c r="A94" i="5"/>
  <c r="U93" i="5"/>
  <c r="S93" i="5"/>
  <c r="Q93" i="5"/>
  <c r="O93" i="5"/>
  <c r="M93" i="5"/>
  <c r="K93" i="5"/>
  <c r="A93" i="5"/>
  <c r="U92" i="5"/>
  <c r="S92" i="5"/>
  <c r="Q92" i="5"/>
  <c r="O92" i="5"/>
  <c r="M92" i="5"/>
  <c r="K92" i="5"/>
  <c r="A92" i="5"/>
  <c r="U91" i="5"/>
  <c r="S91" i="5"/>
  <c r="Q91" i="5"/>
  <c r="O91" i="5"/>
  <c r="M91" i="5"/>
  <c r="K91" i="5"/>
  <c r="A91" i="5"/>
  <c r="U90" i="5"/>
  <c r="S90" i="5"/>
  <c r="Q90" i="5"/>
  <c r="O90" i="5"/>
  <c r="M90" i="5"/>
  <c r="K90" i="5"/>
  <c r="A90" i="5"/>
  <c r="U89" i="5"/>
  <c r="S89" i="5"/>
  <c r="Q89" i="5"/>
  <c r="O89" i="5"/>
  <c r="M89" i="5"/>
  <c r="K89" i="5"/>
  <c r="A89" i="5"/>
  <c r="U88" i="5"/>
  <c r="S88" i="5"/>
  <c r="Q88" i="5"/>
  <c r="O88" i="5"/>
  <c r="M88" i="5"/>
  <c r="K88" i="5"/>
  <c r="A88" i="5"/>
  <c r="U87" i="5"/>
  <c r="S87" i="5"/>
  <c r="Q87" i="5"/>
  <c r="O87" i="5"/>
  <c r="M87" i="5"/>
  <c r="K87" i="5"/>
  <c r="A87" i="5"/>
  <c r="U86" i="5"/>
  <c r="S86" i="5"/>
  <c r="Q86" i="5"/>
  <c r="O86" i="5"/>
  <c r="M86" i="5"/>
  <c r="K86" i="5"/>
  <c r="A86" i="5"/>
  <c r="U85" i="5"/>
  <c r="S85" i="5"/>
  <c r="Q85" i="5"/>
  <c r="O85" i="5"/>
  <c r="M85" i="5"/>
  <c r="K85" i="5"/>
  <c r="A85" i="5"/>
  <c r="U84" i="5"/>
  <c r="S84" i="5"/>
  <c r="Q84" i="5"/>
  <c r="O84" i="5"/>
  <c r="M84" i="5"/>
  <c r="K84" i="5"/>
  <c r="A84" i="5"/>
  <c r="U83" i="5"/>
  <c r="S83" i="5"/>
  <c r="Q83" i="5"/>
  <c r="O83" i="5"/>
  <c r="M83" i="5"/>
  <c r="K83" i="5"/>
  <c r="A83" i="5"/>
  <c r="U82" i="5"/>
  <c r="S82" i="5"/>
  <c r="Q82" i="5"/>
  <c r="O82" i="5"/>
  <c r="M82" i="5"/>
  <c r="K82" i="5"/>
  <c r="A82" i="5"/>
  <c r="U81" i="5"/>
  <c r="S81" i="5"/>
  <c r="Q81" i="5"/>
  <c r="O81" i="5"/>
  <c r="M81" i="5"/>
  <c r="K81" i="5"/>
  <c r="A81" i="5"/>
  <c r="U80" i="5"/>
  <c r="S80" i="5"/>
  <c r="Q80" i="5"/>
  <c r="O80" i="5"/>
  <c r="M80" i="5"/>
  <c r="K80" i="5"/>
  <c r="A80" i="5"/>
  <c r="U79" i="5"/>
  <c r="S79" i="5"/>
  <c r="Q79" i="5"/>
  <c r="O79" i="5"/>
  <c r="M79" i="5"/>
  <c r="K79" i="5"/>
  <c r="A79" i="5"/>
  <c r="U78" i="5"/>
  <c r="S78" i="5"/>
  <c r="Q78" i="5"/>
  <c r="O78" i="5"/>
  <c r="M78" i="5"/>
  <c r="K78" i="5"/>
  <c r="A78" i="5"/>
  <c r="U77" i="5"/>
  <c r="S77" i="5"/>
  <c r="Q77" i="5"/>
  <c r="O77" i="5"/>
  <c r="M77" i="5"/>
  <c r="K77" i="5"/>
  <c r="A77" i="5"/>
  <c r="U76" i="5"/>
  <c r="S76" i="5"/>
  <c r="Q76" i="5"/>
  <c r="O76" i="5"/>
  <c r="M76" i="5"/>
  <c r="K76" i="5"/>
  <c r="A76" i="5"/>
  <c r="U75" i="5"/>
  <c r="S75" i="5"/>
  <c r="Q75" i="5"/>
  <c r="O75" i="5"/>
  <c r="M75" i="5"/>
  <c r="K75" i="5"/>
  <c r="A75" i="5"/>
  <c r="U74" i="5"/>
  <c r="S74" i="5"/>
  <c r="Q74" i="5"/>
  <c r="O74" i="5"/>
  <c r="M74" i="5"/>
  <c r="K74" i="5"/>
  <c r="A74" i="5"/>
  <c r="U73" i="5"/>
  <c r="S73" i="5"/>
  <c r="Q73" i="5"/>
  <c r="O73" i="5"/>
  <c r="M73" i="5"/>
  <c r="K73" i="5"/>
  <c r="A73" i="5"/>
  <c r="U72" i="5"/>
  <c r="S72" i="5"/>
  <c r="Q72" i="5"/>
  <c r="O72" i="5"/>
  <c r="M72" i="5"/>
  <c r="K72" i="5"/>
  <c r="A72" i="5"/>
  <c r="U71" i="5"/>
  <c r="S71" i="5"/>
  <c r="Q71" i="5"/>
  <c r="O71" i="5"/>
  <c r="M71" i="5"/>
  <c r="K71" i="5"/>
  <c r="A71" i="5"/>
  <c r="U70" i="5"/>
  <c r="S70" i="5"/>
  <c r="Q70" i="5"/>
  <c r="O70" i="5"/>
  <c r="M70" i="5"/>
  <c r="K70" i="5"/>
  <c r="A70" i="5"/>
  <c r="U69" i="5"/>
  <c r="S69" i="5"/>
  <c r="Q69" i="5"/>
  <c r="O69" i="5"/>
  <c r="M69" i="5"/>
  <c r="K69" i="5"/>
  <c r="A69" i="5"/>
  <c r="U68" i="5"/>
  <c r="S68" i="5"/>
  <c r="Q68" i="5"/>
  <c r="O68" i="5"/>
  <c r="M68" i="5"/>
  <c r="K68" i="5"/>
  <c r="A68" i="5"/>
  <c r="U67" i="5"/>
  <c r="S67" i="5"/>
  <c r="Q67" i="5"/>
  <c r="O67" i="5"/>
  <c r="M67" i="5"/>
  <c r="K67" i="5"/>
  <c r="A67" i="5"/>
  <c r="U66" i="5"/>
  <c r="S66" i="5"/>
  <c r="Q66" i="5"/>
  <c r="O66" i="5"/>
  <c r="M66" i="5"/>
  <c r="K66" i="5"/>
  <c r="A66" i="5"/>
  <c r="U65" i="5"/>
  <c r="S65" i="5"/>
  <c r="Q65" i="5"/>
  <c r="O65" i="5"/>
  <c r="M65" i="5"/>
  <c r="K65" i="5"/>
  <c r="A65" i="5"/>
  <c r="U64" i="5"/>
  <c r="S64" i="5"/>
  <c r="Q64" i="5"/>
  <c r="O64" i="5"/>
  <c r="M64" i="5"/>
  <c r="K64" i="5"/>
  <c r="A64" i="5"/>
  <c r="U63" i="5"/>
  <c r="S63" i="5"/>
  <c r="Q63" i="5"/>
  <c r="O63" i="5"/>
  <c r="M63" i="5"/>
  <c r="K63" i="5"/>
  <c r="A63" i="5"/>
  <c r="U62" i="5"/>
  <c r="S62" i="5"/>
  <c r="Q62" i="5"/>
  <c r="O62" i="5"/>
  <c r="M62" i="5"/>
  <c r="K62" i="5"/>
  <c r="A62" i="5"/>
  <c r="U61" i="5"/>
  <c r="S61" i="5"/>
  <c r="Q61" i="5"/>
  <c r="O61" i="5"/>
  <c r="M61" i="5"/>
  <c r="K61" i="5"/>
  <c r="A61" i="5"/>
  <c r="U60" i="5"/>
  <c r="S60" i="5"/>
  <c r="Q60" i="5"/>
  <c r="O60" i="5"/>
  <c r="M60" i="5"/>
  <c r="K60" i="5"/>
  <c r="A60" i="5"/>
  <c r="U59" i="5"/>
  <c r="S59" i="5"/>
  <c r="Q59" i="5"/>
  <c r="O59" i="5"/>
  <c r="M59" i="5"/>
  <c r="K59" i="5"/>
  <c r="A59" i="5"/>
  <c r="U58" i="5"/>
  <c r="S58" i="5"/>
  <c r="Q58" i="5"/>
  <c r="O58" i="5"/>
  <c r="M58" i="5"/>
  <c r="K58" i="5"/>
  <c r="A58" i="5"/>
  <c r="U57" i="5"/>
  <c r="S57" i="5"/>
  <c r="Q57" i="5"/>
  <c r="O57" i="5"/>
  <c r="M57" i="5"/>
  <c r="K57" i="5"/>
  <c r="A57" i="5"/>
  <c r="U56" i="5"/>
  <c r="S56" i="5"/>
  <c r="Q56" i="5"/>
  <c r="O56" i="5"/>
  <c r="M56" i="5"/>
  <c r="K56" i="5"/>
  <c r="A56" i="5"/>
  <c r="U55" i="5"/>
  <c r="S55" i="5"/>
  <c r="Q55" i="5"/>
  <c r="O55" i="5"/>
  <c r="M55" i="5"/>
  <c r="K55" i="5"/>
  <c r="A55" i="5"/>
  <c r="U54" i="5"/>
  <c r="S54" i="5"/>
  <c r="Q54" i="5"/>
  <c r="O54" i="5"/>
  <c r="M54" i="5"/>
  <c r="K54" i="5"/>
  <c r="A54" i="5"/>
  <c r="U53" i="5"/>
  <c r="S53" i="5"/>
  <c r="Q53" i="5"/>
  <c r="O53" i="5"/>
  <c r="M53" i="5"/>
  <c r="K53" i="5"/>
  <c r="A53" i="5"/>
  <c r="U52" i="5"/>
  <c r="S52" i="5"/>
  <c r="Q52" i="5"/>
  <c r="O52" i="5"/>
  <c r="M52" i="5"/>
  <c r="K52" i="5"/>
  <c r="A52" i="5"/>
  <c r="U51" i="5"/>
  <c r="S51" i="5"/>
  <c r="Q51" i="5"/>
  <c r="O51" i="5"/>
  <c r="M51" i="5"/>
  <c r="K51" i="5"/>
  <c r="A51" i="5"/>
  <c r="U50" i="5"/>
  <c r="S50" i="5"/>
  <c r="Q50" i="5"/>
  <c r="O50" i="5"/>
  <c r="M50" i="5"/>
  <c r="K50" i="5"/>
  <c r="A50" i="5"/>
  <c r="U49" i="5"/>
  <c r="S49" i="5"/>
  <c r="Q49" i="5"/>
  <c r="O49" i="5"/>
  <c r="M49" i="5"/>
  <c r="K49" i="5"/>
  <c r="A49" i="5"/>
  <c r="U48" i="5"/>
  <c r="S48" i="5"/>
  <c r="Q48" i="5"/>
  <c r="O48" i="5"/>
  <c r="M48" i="5"/>
  <c r="K48" i="5"/>
  <c r="A48" i="5"/>
  <c r="U47" i="5"/>
  <c r="S47" i="5"/>
  <c r="Q47" i="5"/>
  <c r="O47" i="5"/>
  <c r="M47" i="5"/>
  <c r="K47" i="5"/>
  <c r="A47" i="5"/>
  <c r="U46" i="5"/>
  <c r="S46" i="5"/>
  <c r="Q46" i="5"/>
  <c r="O46" i="5"/>
  <c r="M46" i="5"/>
  <c r="K46" i="5"/>
  <c r="A46" i="5"/>
  <c r="U45" i="5"/>
  <c r="S45" i="5"/>
  <c r="Q45" i="5"/>
  <c r="O45" i="5"/>
  <c r="M45" i="5"/>
  <c r="K45" i="5"/>
  <c r="A45" i="5"/>
  <c r="U44" i="5"/>
  <c r="S44" i="5"/>
  <c r="Q44" i="5"/>
  <c r="O44" i="5"/>
  <c r="M44" i="5"/>
  <c r="K44" i="5"/>
  <c r="A44" i="5"/>
  <c r="U43" i="5"/>
  <c r="S43" i="5"/>
  <c r="Q43" i="5"/>
  <c r="O43" i="5"/>
  <c r="M43" i="5"/>
  <c r="K43" i="5"/>
  <c r="A43" i="5"/>
  <c r="U42" i="5"/>
  <c r="S42" i="5"/>
  <c r="Q42" i="5"/>
  <c r="O42" i="5"/>
  <c r="M42" i="5"/>
  <c r="K42" i="5"/>
  <c r="A42" i="5"/>
  <c r="U41" i="5"/>
  <c r="S41" i="5"/>
  <c r="Q41" i="5"/>
  <c r="O41" i="5"/>
  <c r="M41" i="5"/>
  <c r="K41" i="5"/>
  <c r="A41" i="5"/>
  <c r="U40" i="5"/>
  <c r="S40" i="5"/>
  <c r="Q40" i="5"/>
  <c r="O40" i="5"/>
  <c r="M40" i="5"/>
  <c r="K40" i="5"/>
  <c r="A40" i="5"/>
  <c r="U39" i="5"/>
  <c r="S39" i="5"/>
  <c r="Q39" i="5"/>
  <c r="O39" i="5"/>
  <c r="M39" i="5"/>
  <c r="K39" i="5"/>
  <c r="A39" i="5"/>
  <c r="U38" i="5"/>
  <c r="S38" i="5"/>
  <c r="Q38" i="5"/>
  <c r="O38" i="5"/>
  <c r="M38" i="5"/>
  <c r="K38" i="5"/>
  <c r="A38" i="5"/>
  <c r="U37" i="5"/>
  <c r="S37" i="5"/>
  <c r="Q37" i="5"/>
  <c r="O37" i="5"/>
  <c r="M37" i="5"/>
  <c r="K37" i="5"/>
  <c r="A37" i="5"/>
  <c r="U36" i="5"/>
  <c r="S36" i="5"/>
  <c r="Q36" i="5"/>
  <c r="O36" i="5"/>
  <c r="M36" i="5"/>
  <c r="K36" i="5"/>
  <c r="A36" i="5"/>
  <c r="U35" i="5"/>
  <c r="S35" i="5"/>
  <c r="Q35" i="5"/>
  <c r="O35" i="5"/>
  <c r="M35" i="5"/>
  <c r="K35" i="5"/>
  <c r="A35" i="5"/>
  <c r="U34" i="5"/>
  <c r="S34" i="5"/>
  <c r="Q34" i="5"/>
  <c r="O34" i="5"/>
  <c r="M34" i="5"/>
  <c r="K34" i="5"/>
  <c r="A34" i="5"/>
  <c r="U33" i="5"/>
  <c r="S33" i="5"/>
  <c r="Q33" i="5"/>
  <c r="O33" i="5"/>
  <c r="M33" i="5"/>
  <c r="K33" i="5"/>
  <c r="A33" i="5"/>
  <c r="U32" i="5"/>
  <c r="S32" i="5"/>
  <c r="Q32" i="5"/>
  <c r="O32" i="5"/>
  <c r="M32" i="5"/>
  <c r="K32" i="5"/>
  <c r="A32" i="5"/>
  <c r="U31" i="5"/>
  <c r="S31" i="5"/>
  <c r="Q31" i="5"/>
  <c r="O31" i="5"/>
  <c r="M31" i="5"/>
  <c r="K31" i="5"/>
  <c r="A31" i="5"/>
  <c r="U30" i="5"/>
  <c r="S30" i="5"/>
  <c r="Q30" i="5"/>
  <c r="O30" i="5"/>
  <c r="M30" i="5"/>
  <c r="K30" i="5"/>
  <c r="A30" i="5"/>
  <c r="U29" i="5"/>
  <c r="S29" i="5"/>
  <c r="Q29" i="5"/>
  <c r="O29" i="5"/>
  <c r="M29" i="5"/>
  <c r="K29" i="5"/>
  <c r="A29" i="5"/>
  <c r="U28" i="5"/>
  <c r="S28" i="5"/>
  <c r="Q28" i="5"/>
  <c r="O28" i="5"/>
  <c r="M28" i="5"/>
  <c r="K28" i="5"/>
  <c r="A28" i="5"/>
  <c r="U27" i="5"/>
  <c r="S27" i="5"/>
  <c r="Q27" i="5"/>
  <c r="O27" i="5"/>
  <c r="M27" i="5"/>
  <c r="K27" i="5"/>
  <c r="A27" i="5"/>
  <c r="U26" i="5"/>
  <c r="S26" i="5"/>
  <c r="Q26" i="5"/>
  <c r="O26" i="5"/>
  <c r="M26" i="5"/>
  <c r="K26" i="5"/>
  <c r="A26" i="5"/>
  <c r="U25" i="5"/>
  <c r="S25" i="5"/>
  <c r="Q25" i="5"/>
  <c r="O25" i="5"/>
  <c r="M25" i="5"/>
  <c r="K25" i="5"/>
  <c r="A25" i="5"/>
  <c r="U24" i="5"/>
  <c r="S24" i="5"/>
  <c r="Q24" i="5"/>
  <c r="O24" i="5"/>
  <c r="M24" i="5"/>
  <c r="K24" i="5"/>
  <c r="A24" i="5"/>
  <c r="U23" i="5"/>
  <c r="S23" i="5"/>
  <c r="Q23" i="5"/>
  <c r="O23" i="5"/>
  <c r="M23" i="5"/>
  <c r="K23" i="5"/>
  <c r="A23" i="5"/>
  <c r="U22" i="5"/>
  <c r="S22" i="5"/>
  <c r="Q22" i="5"/>
  <c r="O22" i="5"/>
  <c r="M22" i="5"/>
  <c r="K22" i="5"/>
  <c r="A22" i="5"/>
  <c r="U21" i="5"/>
  <c r="S21" i="5"/>
  <c r="Q21" i="5"/>
  <c r="O21" i="5"/>
  <c r="M21" i="5"/>
  <c r="K21" i="5"/>
  <c r="A21" i="5"/>
  <c r="U20" i="5"/>
  <c r="S20" i="5"/>
  <c r="Q20" i="5"/>
  <c r="O20" i="5"/>
  <c r="M20" i="5"/>
  <c r="K20" i="5"/>
  <c r="A20" i="5"/>
  <c r="U19" i="5"/>
  <c r="S19" i="5"/>
  <c r="Q19" i="5"/>
  <c r="O19" i="5"/>
  <c r="M19" i="5"/>
  <c r="K19" i="5"/>
  <c r="A19" i="5"/>
  <c r="U18" i="5"/>
  <c r="S18" i="5"/>
  <c r="Q18" i="5"/>
  <c r="O18" i="5"/>
  <c r="M18" i="5"/>
  <c r="K18" i="5"/>
  <c r="A18" i="5"/>
  <c r="U17" i="5"/>
  <c r="S17" i="5"/>
  <c r="Q17" i="5"/>
  <c r="O17" i="5"/>
  <c r="M17" i="5"/>
  <c r="K17" i="5"/>
  <c r="A17" i="5"/>
  <c r="U16" i="5"/>
  <c r="S16" i="5"/>
  <c r="Q16" i="5"/>
  <c r="O16" i="5"/>
  <c r="M16" i="5"/>
  <c r="K16" i="5"/>
  <c r="A16" i="5"/>
  <c r="U15" i="5"/>
  <c r="S15" i="5"/>
  <c r="Q15" i="5"/>
  <c r="O15" i="5"/>
  <c r="M15" i="5"/>
  <c r="K15" i="5"/>
  <c r="A15" i="5"/>
  <c r="U14" i="5"/>
  <c r="S14" i="5"/>
  <c r="Q14" i="5"/>
  <c r="O14" i="5"/>
  <c r="M14" i="5"/>
  <c r="K14" i="5"/>
  <c r="A14" i="5"/>
  <c r="U13" i="5"/>
  <c r="S13" i="5"/>
  <c r="Q13" i="5"/>
  <c r="O13" i="5"/>
  <c r="M13" i="5"/>
  <c r="K13" i="5"/>
  <c r="A13" i="5"/>
  <c r="U12" i="5"/>
  <c r="S12" i="5"/>
  <c r="Q12" i="5"/>
  <c r="O12" i="5"/>
  <c r="M12" i="5"/>
  <c r="K12" i="5"/>
  <c r="A12" i="5"/>
  <c r="U11" i="5"/>
  <c r="S11" i="5"/>
  <c r="Q11" i="5"/>
  <c r="O11" i="5"/>
  <c r="M11" i="5"/>
  <c r="K11" i="5"/>
  <c r="A11" i="5"/>
  <c r="U10" i="5"/>
  <c r="S10" i="5"/>
  <c r="Q10" i="5"/>
  <c r="O10" i="5"/>
  <c r="M10" i="5"/>
  <c r="K10" i="5"/>
  <c r="A10" i="5"/>
  <c r="U9" i="5"/>
  <c r="S9" i="5"/>
  <c r="Q9" i="5"/>
  <c r="O9" i="5"/>
  <c r="M9" i="5"/>
  <c r="K9" i="5"/>
  <c r="A9" i="5"/>
  <c r="U8" i="5"/>
  <c r="S8" i="5"/>
  <c r="Q8" i="5"/>
  <c r="O8" i="5"/>
  <c r="M8" i="5"/>
  <c r="K8" i="5"/>
  <c r="A8" i="5"/>
  <c r="U7" i="5"/>
  <c r="S7" i="5"/>
  <c r="Q7" i="5"/>
  <c r="O7" i="5"/>
  <c r="M7" i="5"/>
  <c r="K7" i="5"/>
  <c r="A7" i="5"/>
  <c r="U6" i="5"/>
  <c r="S6" i="5"/>
  <c r="Q6" i="5"/>
  <c r="O6" i="5"/>
  <c r="M6" i="5"/>
  <c r="K6" i="5"/>
  <c r="A6" i="5"/>
  <c r="Y5" i="5"/>
  <c r="X5" i="5"/>
  <c r="W5" i="5"/>
  <c r="V5" i="5"/>
  <c r="T5" i="5"/>
  <c r="R5" i="5"/>
  <c r="P5" i="5"/>
  <c r="N5" i="5"/>
  <c r="L5" i="5"/>
  <c r="J5" i="5"/>
  <c r="I5" i="5"/>
  <c r="H5" i="5"/>
  <c r="G5" i="5"/>
  <c r="F5" i="5"/>
  <c r="E5" i="5"/>
  <c r="D5" i="5"/>
  <c r="C5" i="5"/>
  <c r="B5" i="5"/>
  <c r="A5" i="5"/>
  <c r="V4" i="5"/>
  <c r="P4" i="5"/>
  <c r="J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33" i="1"/>
  <c r="B32" i="1"/>
  <c r="B31" i="1"/>
  <c r="B30" i="1"/>
  <c r="B29" i="1"/>
  <c r="B28" i="1"/>
  <c r="B27" i="1"/>
  <c r="B26" i="1"/>
  <c r="B24" i="1"/>
  <c r="B23" i="1"/>
  <c r="B22" i="1"/>
  <c r="B16" i="1"/>
  <c r="B15" i="1"/>
  <c r="B14" i="1"/>
  <c r="B13" i="1"/>
  <c r="B11" i="1"/>
  <c r="B10" i="1"/>
  <c r="B9" i="1"/>
  <c r="B8" i="1"/>
  <c r="B6" i="1"/>
  <c r="B5" i="1"/>
  <c r="B4" i="1"/>
  <c r="A2" i="1"/>
  <c r="A1" i="1"/>
</calcChain>
</file>

<file path=xl/sharedStrings.xml><?xml version="1.0" encoding="utf-8"?>
<sst xmlns="http://schemas.openxmlformats.org/spreadsheetml/2006/main" count="3982" uniqueCount="1762">
  <si>
    <t>Mijn Overheidsinstelling</t>
  </si>
  <si>
    <t>NL</t>
  </si>
  <si>
    <t>0.3</t>
  </si>
  <si>
    <t>25/05/2026 11:28</t>
  </si>
  <si>
    <t>kurtm</t>
  </si>
  <si>
    <t>Assurance niveau entiteit</t>
  </si>
  <si>
    <t>Assurance niveau</t>
  </si>
  <si>
    <t>Kies het assurance niveau dat de entiteit wenst te behalen. Dit bepaalt welke maatregelen in het risicobeheerplan getoond worden.</t>
  </si>
  <si>
    <t>RARM — Risk Assessment &amp; Remediation Matrix</t>
  </si>
  <si>
    <t>Control ID</t>
  </si>
  <si>
    <t>Richtlijn</t>
  </si>
  <si>
    <t>Assurance</t>
  </si>
  <si>
    <t>Sleutelmaatregel</t>
  </si>
  <si>
    <t>GV.OC-01.1</t>
  </si>
  <si>
    <t>The organisation's mission shall be established, communicated and shall form the basis for information and cybersecurity risk management.</t>
  </si>
  <si>
    <t>Important</t>
  </si>
  <si>
    <t>GV.OC-02.1</t>
  </si>
  <si>
    <t>The organisation shall demonstrate it understands and considers the needs and expectations of both internal and external stakeholders regarding information and cybersecurity risk management.</t>
  </si>
  <si>
    <t>Essential</t>
  </si>
  <si>
    <t>GV.OC-03.1</t>
  </si>
  <si>
    <t>Legal and regulatory requirements regarding information and cybersecurity shall be identified and implemented.</t>
  </si>
  <si>
    <t>Basic</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</si>
  <si>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</si>
  <si>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</si>
  <si>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</si>
  <si>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</si>
  <si>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</si>
  <si>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</si>
  <si>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</si>
  <si>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</si>
  <si>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</si>
  <si>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</si>
  <si>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</si>
  <si>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</si>
  <si>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</si>
  <si>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</si>
  <si>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</si>
  <si>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</si>
  <si>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</si>
  <si>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</si>
  <si>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</si>
  <si>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</si>
  <si>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</si>
  <si>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</si>
  <si>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</si>
  <si>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</si>
  <si>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</si>
  <si>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</si>
  <si>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</si>
  <si>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</si>
  <si>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</si>
  <si>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</si>
  <si>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</si>
  <si>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</si>
  <si>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</si>
  <si>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</si>
  <si>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</si>
  <si>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</si>
  <si>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</si>
  <si>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</si>
  <si>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</si>
  <si>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</si>
  <si>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</si>
  <si>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</si>
  <si>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</si>
  <si>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</si>
  <si>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</si>
  <si>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</si>
  <si>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</si>
  <si>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</si>
  <si>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</si>
  <si>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</si>
  <si>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</si>
  <si>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</si>
  <si>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</si>
  <si>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</si>
  <si>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</si>
  <si>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</si>
  <si>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</si>
  <si>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</si>
  <si>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</si>
  <si>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</si>
  <si>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</si>
  <si>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</si>
  <si>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</si>
  <si>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</si>
  <si>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</si>
  <si>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</si>
  <si>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</si>
  <si>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</si>
  <si>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</si>
  <si>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</si>
  <si>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</si>
  <si>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</si>
  <si>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</si>
  <si>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</si>
  <si>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</si>
  <si>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</si>
  <si>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</si>
  <si>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</si>
  <si>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</si>
  <si>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</si>
  <si>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</si>
  <si>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</si>
  <si>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</si>
  <si>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</si>
  <si>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</si>
  <si>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</si>
  <si>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</si>
  <si>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</si>
  <si>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</si>
  <si>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</si>
  <si>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</si>
  <si>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</si>
  <si>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</si>
  <si>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</si>
  <si>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</si>
  <si>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</si>
  <si>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</si>
  <si>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</si>
  <si>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</si>
  <si>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</si>
  <si>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</si>
  <si>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</si>
  <si>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</si>
  <si>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</si>
  <si>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</si>
  <si>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</si>
  <si>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</si>
  <si>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</si>
  <si>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</si>
  <si>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</si>
  <si>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</si>
  <si>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</si>
  <si>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</si>
  <si>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</si>
  <si>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</si>
  <si>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</si>
  <si>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</si>
  <si>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</si>
  <si>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</si>
  <si>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</si>
  <si>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</si>
  <si>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</si>
  <si>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</si>
  <si>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</si>
  <si>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</si>
  <si>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</si>
  <si>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</si>
  <si>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</si>
  <si>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</si>
  <si>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</si>
  <si>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</si>
  <si>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</si>
  <si>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</si>
  <si>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</si>
  <si>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</si>
  <si>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</si>
  <si>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</si>
  <si>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</si>
  <si>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</si>
  <si>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</si>
  <si>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</si>
  <si>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</si>
  <si>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</si>
  <si>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</si>
  <si>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</si>
  <si>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</si>
  <si>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</si>
  <si>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</si>
  <si>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</si>
  <si>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</si>
  <si>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</si>
  <si>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</si>
  <si>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</si>
  <si>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</si>
  <si>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</si>
  <si>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</si>
  <si>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</si>
  <si>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</si>
  <si>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</si>
  <si>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</si>
  <si>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</si>
  <si>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</si>
  <si>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</si>
  <si>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</si>
  <si>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</si>
  <si>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</si>
  <si>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</si>
  <si>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</si>
  <si>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</si>
  <si>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</si>
  <si>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</si>
  <si>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</si>
  <si>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</si>
  <si>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</si>
  <si>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</si>
  <si>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</si>
  <si>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</si>
  <si>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</si>
  <si>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</si>
  <si>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</si>
  <si>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</si>
  <si>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</si>
  <si>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</si>
  <si>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</si>
  <si>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</si>
  <si>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</si>
  <si>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</si>
  <si>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</si>
  <si>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</si>
  <si>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</si>
  <si>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</si>
  <si>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</si>
  <si>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</si>
  <si>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</si>
  <si>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</si>
  <si>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</si>
  <si>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</si>
  <si>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</si>
  <si>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</si>
  <si>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</si>
  <si>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</si>
  <si>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</si>
  <si>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</si>
  <si>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</si>
  <si>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</si>
  <si>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</si>
  <si>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</si>
  <si>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</si>
  <si>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</si>
  <si>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</si>
  <si>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</si>
  <si>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</si>
  <si>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</si>
  <si>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</si>
  <si>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</si>
  <si>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</si>
  <si>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</si>
  <si>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</si>
  <si>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</si>
  <si>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</si>
  <si>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</si>
  <si>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</si>
  <si>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</si>
  <si>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</si>
  <si>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</si>
  <si>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</si>
  <si>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</si>
  <si>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</si>
  <si>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</si>
  <si>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</si>
  <si>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</si>
  <si>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</si>
  <si>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</si>
  <si>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</si>
  <si>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</si>
  <si>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</si>
  <si>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</si>
  <si>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</si>
  <si>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</si>
  <si>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</si>
  <si>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</si>
  <si>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</si>
  <si>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</si>
  <si>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</si>
  <si>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</si>
  <si>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</si>
  <si>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</si>
  <si>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</si>
  <si>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</si>
  <si>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</si>
  <si>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</si>
  <si>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</si>
  <si>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</si>
  <si>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</si>
  <si>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</si>
  <si>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</si>
  <si>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</si>
  <si>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</si>
  <si>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</si>
  <si>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</si>
  <si>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</si>
  <si>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</si>
  <si>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</si>
  <si>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</si>
  <si>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</si>
  <si>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</si>
  <si>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</si>
  <si>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</si>
  <si>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</si>
  <si>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</si>
  <si>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</si>
  <si>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</si>
  <si>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</si>
  <si>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</si>
  <si>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</si>
  <si>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</si>
  <si>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</si>
  <si>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</si>
  <si>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</si>
  <si>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</si>
  <si>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</si>
  <si>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</si>
  <si>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</si>
  <si>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</si>
  <si>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</si>
  <si>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</si>
  <si>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</si>
  <si>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</si>
  <si>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</si>
  <si>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</si>
  <si>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</si>
  <si>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</si>
  <si>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</si>
  <si>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</si>
  <si>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</si>
  <si>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</si>
  <si>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</si>
  <si>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</si>
  <si>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</si>
  <si>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</si>
  <si>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</si>
  <si>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</si>
  <si>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</si>
  <si>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</si>
  <si>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</si>
  <si>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</si>
  <si>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</si>
  <si>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</si>
  <si>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</si>
  <si>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</si>
  <si>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</si>
  <si>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</si>
  <si>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</si>
  <si>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</si>
  <si>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</si>
  <si>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</si>
  <si>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</si>
  <si>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</si>
  <si>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</si>
  <si>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</si>
  <si>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</si>
  <si>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</si>
  <si>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</si>
  <si>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</si>
  <si>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</si>
  <si>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</si>
  <si>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</si>
  <si>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</si>
  <si>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</si>
  <si>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</si>
  <si>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</si>
  <si>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</si>
  <si>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</si>
  <si>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</si>
  <si>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</si>
  <si>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</si>
  <si>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</si>
  <si>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</si>
  <si>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</si>
  <si>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</si>
  <si>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</si>
  <si>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</si>
  <si>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</si>
  <si>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</si>
  <si>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</si>
  <si>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</si>
  <si>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</si>
  <si>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</si>
  <si>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</si>
  <si>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</si>
  <si>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</si>
  <si>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</si>
  <si>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</si>
  <si>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</si>
  <si>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</si>
  <si>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</si>
  <si>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</si>
  <si>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</si>
  <si>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</si>
  <si>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</si>
  <si>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</si>
  <si>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</si>
  <si>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</si>
  <si>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</si>
  <si>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</si>
  <si>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</si>
  <si>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</si>
  <si>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</si>
  <si>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</si>
  <si>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</si>
  <si>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</si>
  <si>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</si>
  <si>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</si>
  <si>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</si>
  <si>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</si>
  <si>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</si>
  <si>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</si>
  <si>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</si>
  <si>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</si>
  <si>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</si>
  <si>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</si>
  <si>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</si>
  <si>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</si>
  <si>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</si>
  <si>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</si>
  <si>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</si>
  <si>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</si>
  <si>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</si>
  <si>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</si>
  <si>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</si>
  <si>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</si>
  <si>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</si>
  <si>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</si>
  <si>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</si>
  <si>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</si>
  <si>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</si>
  <si>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</si>
  <si>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</si>
  <si>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</si>
  <si>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</si>
  <si>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</si>
  <si>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</si>
  <si>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</si>
  <si>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</si>
  <si>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</si>
  <si>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</si>
  <si>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</si>
  <si>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</si>
  <si>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</si>
  <si>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</si>
  <si>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</si>
  <si>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</si>
  <si>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</si>
  <si>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</si>
  <si>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</si>
  <si>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</si>
  <si>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</si>
  <si>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</si>
  <si>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</si>
  <si>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</si>
  <si>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</si>
  <si>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</si>
  <si>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</si>
  <si>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</si>
  <si>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</si>
  <si>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</si>
  <si>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</si>
  <si>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</si>
  <si>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</si>
  <si>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</si>
  <si>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</si>
  <si>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</si>
  <si>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</si>
  <si>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</si>
  <si>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</si>
  <si>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</si>
  <si>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</si>
  <si>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</si>
  <si>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</si>
  <si>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</si>
  <si>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</si>
  <si>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</si>
  <si>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</si>
  <si>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</si>
  <si>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</si>
  <si>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</si>
  <si>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</si>
  <si>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</si>
  <si>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</si>
  <si>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</si>
  <si>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</si>
  <si>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</si>
  <si>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</si>
  <si>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</si>
  <si>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</si>
  <si>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</si>
  <si>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</si>
  <si>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</si>
  <si>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</si>
  <si>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</si>
  <si>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</si>
  <si>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</si>
  <si>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</si>
  <si>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</si>
  <si>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</si>
  <si>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</si>
  <si>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</si>
  <si>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</si>
  <si>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</si>
  <si>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</si>
  <si>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</si>
  <si>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</si>
  <si>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</si>
  <si>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</si>
  <si>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</si>
  <si>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</si>
  <si>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</si>
  <si>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</si>
  <si>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</si>
  <si>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</si>
  <si>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</si>
  <si>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</si>
  <si>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</si>
  <si>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</si>
  <si>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</si>
  <si>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</si>
  <si>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</si>
  <si>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</si>
  <si>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</si>
  <si>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</si>
  <si>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</si>
  <si>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</si>
  <si>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</si>
  <si>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</si>
  <si>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</si>
  <si>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</si>
  <si>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</si>
  <si>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</si>
  <si>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</si>
  <si>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</si>
  <si>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</si>
  <si>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</si>
  <si>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</si>
  <si>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</si>
  <si>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</si>
  <si>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</si>
  <si>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</si>
  <si>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</si>
  <si>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</si>
  <si>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</si>
  <si>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</si>
  <si>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</si>
  <si>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</si>
  <si>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</si>
  <si>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</si>
  <si>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</si>
  <si>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</si>
  <si>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</si>
  <si>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</si>
  <si>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</si>
  <si>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</si>
  <si>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</si>
  <si>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</si>
  <si>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</si>
  <si>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</si>
  <si>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</si>
  <si>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</si>
  <si>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</si>
  <si>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</si>
  <si>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</si>
  <si>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</si>
  <si>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</si>
  <si>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</si>
  <si>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</si>
  <si>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</si>
  <si>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</si>
  <si>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</si>
  <si>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</si>
  <si>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</si>
  <si>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</si>
  <si>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</si>
  <si>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</si>
  <si>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</si>
  <si>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</si>
  <si>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</si>
  <si>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</si>
  <si>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</si>
  <si>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</si>
  <si>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</si>
  <si>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</si>
  <si>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</si>
  <si>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</si>
  <si>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</si>
  <si>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</si>
  <si>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</si>
  <si>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</si>
  <si>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</si>
  <si>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</si>
  <si>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</si>
  <si>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</si>
  <si>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</si>
  <si>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</si>
  <si>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</si>
  <si>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</si>
  <si>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</si>
  <si>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</si>
  <si>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</si>
  <si>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</si>
  <si>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</si>
  <si>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</si>
  <si>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</si>
  <si>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</si>
  <si>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</si>
  <si>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</si>
  <si>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</si>
  <si>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</si>
  <si>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</si>
  <si>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</si>
  <si>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</si>
  <si>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</si>
  <si>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</si>
  <si>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</si>
  <si>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</si>
  <si>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</si>
  <si>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</si>
  <si>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</si>
  <si>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</si>
  <si>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</si>
  <si>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</si>
  <si>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</si>
  <si>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</si>
  <si>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</si>
  <si>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</si>
  <si>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</si>
  <si>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</si>
  <si>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</si>
  <si>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</si>
  <si>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</si>
  <si>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</si>
  <si>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</si>
  <si>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</si>
  <si>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</si>
  <si>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</si>
  <si>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</si>
  <si>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</si>
  <si>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</si>
  <si>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</si>
  <si>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</si>
  <si>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</si>
  <si>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</si>
  <si>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</si>
  <si>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</si>
  <si>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</si>
  <si>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</si>
  <si>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</si>
  <si>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</si>
  <si>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</si>
  <si>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</si>
  <si>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</si>
  <si>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</si>
  <si>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</si>
  <si>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</si>
  <si>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</si>
  <si>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</si>
  <si>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</si>
  <si>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</si>
  <si>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</si>
  <si>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</si>
  <si>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</si>
  <si>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</si>
  <si>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</si>
  <si>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</si>
  <si>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</si>
  <si>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</si>
  <si>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</si>
  <si>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</si>
  <si>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</si>
  <si>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</si>
  <si>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</si>
  <si>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</si>
  <si>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</si>
  <si>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</si>
  <si>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</si>
  <si>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</si>
  <si>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</si>
  <si>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</si>
  <si>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</si>
  <si>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</si>
  <si>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</si>
  <si>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</si>
  <si>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</si>
  <si>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</si>
  <si>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</si>
  <si>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</si>
  <si>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</si>
  <si>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</si>
  <si>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</si>
  <si>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</si>
  <si>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</si>
  <si>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</si>
  <si>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</si>
  <si>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</si>
  <si>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</si>
  <si>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</si>
  <si>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</si>
  <si>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</si>
  <si>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</si>
  <si>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</si>
  <si>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</si>
  <si>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</si>
  <si>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</si>
  <si>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</si>
  <si>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</si>
  <si>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</si>
  <si>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</si>
  <si>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</si>
  <si>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</si>
  <si>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</si>
  <si>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</si>
  <si>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</si>
  <si>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</si>
  <si>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</si>
  <si>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</si>
  <si>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</si>
  <si>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</si>
  <si>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</si>
  <si>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</si>
  <si>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</si>
  <si>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</si>
  <si>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</si>
  <si>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</si>
  <si>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</si>
  <si>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</si>
  <si>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</si>
  <si>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</si>
  <si>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</si>
  <si>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</si>
  <si>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</si>
  <si>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</si>
  <si>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</si>
  <si>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</si>
  <si>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</si>
  <si>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</si>
  <si>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</si>
  <si>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</si>
  <si>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</si>
  <si>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</si>
  <si>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</si>
  <si>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</si>
  <si>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</si>
  <si>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</si>
  <si>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</si>
  <si>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</si>
  <si>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</si>
  <si>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</si>
  <si>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</si>
  <si>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</si>
  <si>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</si>
  <si>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</si>
  <si>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</si>
  <si>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</si>
  <si>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</si>
  <si>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</si>
  <si>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</si>
  <si>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</si>
  <si>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</si>
  <si>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</si>
  <si>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</si>
  <si>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</si>
  <si>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</si>
  <si>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</si>
  <si>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</si>
  <si>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</si>
  <si>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</si>
  <si>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</si>
  <si>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</si>
  <si>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</si>
  <si>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</si>
  <si>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</si>
  <si>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</si>
  <si>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</si>
  <si>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</si>
  <si>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</si>
  <si>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</si>
  <si>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</si>
  <si>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</si>
  <si>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</si>
  <si>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</si>
  <si>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</si>
  <si>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</si>
  <si>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</si>
  <si>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</si>
  <si>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</si>
  <si>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</si>
  <si>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</si>
  <si>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</si>
  <si>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</si>
  <si>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</si>
  <si>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</si>
  <si>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</si>
  <si>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</si>
  <si>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</si>
  <si>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</si>
  <si>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</si>
  <si>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</si>
  <si>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</si>
  <si>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</si>
  <si>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</si>
  <si>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</si>
  <si>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</si>
  <si>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</si>
  <si>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</si>
  <si>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</si>
  <si>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</si>
  <si>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</si>
  <si>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</si>
  <si>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</si>
  <si>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</si>
  <si>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</si>
  <si>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</si>
  <si>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</si>
  <si>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</si>
  <si>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</si>
  <si>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</si>
  <si>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</si>
  <si>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</si>
  <si>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</si>
  <si>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</si>
  <si>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</si>
  <si>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</si>
  <si>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</si>
  <si>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</si>
  <si>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</si>
  <si>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</si>
  <si>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</si>
  <si>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</si>
  <si>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</si>
  <si>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</si>
  <si>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</si>
  <si>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</si>
  <si>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</si>
  <si>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</si>
  <si>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</si>
  <si>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</si>
  <si>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</si>
  <si>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</si>
  <si>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</si>
  <si>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</si>
  <si>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</si>
  <si>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</si>
  <si>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</si>
  <si>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</si>
  <si>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</si>
  <si>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</si>
  <si>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</si>
  <si>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</si>
  <si>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</si>
  <si>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</si>
  <si>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</si>
  <si>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</si>
  <si>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</si>
  <si>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</si>
  <si>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</si>
  <si>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</si>
  <si>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</si>
  <si>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</si>
  <si>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</si>
  <si>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</si>
  <si>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</si>
  <si>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</si>
  <si>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</si>
  <si>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</si>
  <si>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</si>
  <si>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</si>
  <si>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</si>
  <si>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</si>
  <si>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</si>
  <si>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</si>
  <si>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</si>
  <si>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</si>
  <si>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</si>
  <si>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</si>
  <si>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</si>
  <si>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</si>
  <si>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</si>
  <si>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</si>
  <si>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</si>
  <si>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</si>
  <si>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</si>
  <si>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</si>
  <si>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</si>
  <si>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</si>
  <si>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</si>
  <si>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</si>
  <si>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</si>
  <si>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</si>
  <si>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</si>
  <si>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</si>
  <si>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</si>
  <si>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</si>
  <si>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</si>
  <si>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</si>
  <si>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</si>
  <si>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</si>
  <si>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</si>
  <si>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</si>
  <si>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</si>
  <si>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</si>
  <si>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</si>
  <si>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</si>
  <si>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</si>
  <si>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</si>
  <si>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</si>
  <si>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</si>
  <si>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</si>
  <si>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</si>
  <si>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</si>
  <si>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</si>
  <si>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</si>
  <si>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</si>
  <si>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</si>
  <si>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</si>
  <si>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</si>
  <si>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</si>
  <si>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</si>
  <si>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</si>
  <si>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</si>
  <si>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</si>
  <si>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</si>
  <si>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</si>
  <si>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</si>
  <si>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</si>
  <si>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</si>
  <si>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</si>
  <si>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</si>
  <si>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</si>
  <si>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</si>
  <si>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</si>
  <si>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</si>
  <si>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</si>
  <si>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</si>
  <si>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</si>
  <si>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</si>
  <si>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</si>
  <si>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</si>
  <si>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</si>
  <si>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</si>
  <si>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</si>
  <si>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</si>
  <si>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</si>
  <si>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</si>
  <si>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</si>
  <si>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</si>
  <si>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</si>
  <si>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</si>
  <si>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</si>
  <si>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</si>
  <si>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</si>
  <si>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</si>
  <si>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</si>
  <si>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</si>
  <si>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</si>
  <si>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</si>
  <si>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</si>
  <si>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</si>
  <si>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</si>
  <si>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</si>
  <si>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</si>
  <si>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</si>
  <si>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</si>
  <si>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</si>
  <si>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</si>
  <si>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</si>
  <si>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</si>
  <si>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</si>
  <si>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</si>
  <si>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</si>
  <si>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</si>
  <si>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</si>
  <si>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</si>
  <si>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</si>
  <si>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</si>
  <si>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</si>
  <si>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</si>
  <si>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</si>
  <si>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</si>
  <si>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</si>
  <si>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</si>
  <si>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</si>
  <si>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</si>
  <si>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</si>
  <si>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</si>
  <si>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</si>
  <si>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</si>
  <si>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</si>
  <si>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</si>
  <si>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</si>
  <si>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</si>
  <si>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</si>
  <si>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</si>
  <si>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</si>
  <si>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</si>
  <si>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</si>
  <si>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</si>
  <si>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</si>
  <si>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</si>
  <si>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</si>
  <si>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</si>
  <si>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</si>
  <si>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</si>
  <si>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</si>
  <si>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</si>
  <si>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</si>
  <si>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</si>
  <si>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</si>
  <si>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</si>
  <si>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</si>
  <si>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</si>
  <si>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</si>
  <si>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</si>
  <si>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</si>
  <si>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</si>
  <si>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</si>
  <si>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</si>
  <si>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</si>
  <si>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</si>
  <si>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</si>
  <si>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</si>
  <si>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</si>
  <si>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</si>
  <si>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</si>
  <si>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</si>
  <si>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</si>
  <si>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</si>
  <si>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</si>
  <si>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</si>
  <si>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</si>
  <si>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</si>
  <si>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</si>
  <si>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</si>
  <si>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</si>
  <si>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</si>
  <si>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</si>
  <si>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</si>
  <si>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</si>
  <si>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</si>
  <si>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</si>
  <si>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</si>
  <si>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</si>
  <si>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</si>
  <si>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</si>
  <si>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</si>
  <si>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</si>
  <si>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</si>
  <si>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</si>
  <si>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</si>
  <si>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</si>
  <si>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</si>
  <si>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</si>
  <si>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</si>
  <si>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</si>
  <si>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</si>
  <si>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</si>
  <si>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</si>
  <si>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</si>
  <si>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</si>
  <si>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</si>
  <si>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</si>
  <si>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</si>
  <si>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</si>
  <si>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</si>
  <si>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</si>
  <si>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</si>
  <si>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</si>
  <si>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</si>
  <si>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</si>
  <si>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</si>
  <si>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</si>
  <si>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</si>
  <si>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</si>
  <si>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</si>
  <si>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</si>
  <si>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</si>
  <si>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</si>
  <si>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</si>
  <si>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</si>
  <si>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</si>
  <si>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</si>
  <si>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</si>
  <si>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</si>
  <si>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</si>
  <si>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</si>
  <si>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</si>
  <si>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</si>
  <si>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</si>
  <si>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</si>
  <si>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</si>
  <si>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</si>
  <si>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</si>
  <si>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</si>
  <si>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</si>
  <si>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</si>
  <si>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</si>
  <si>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</si>
  <si>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</si>
  <si>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</si>
  <si>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</si>
  <si>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</si>
  <si>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</si>
  <si>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</si>
  <si>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</si>
  <si>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</si>
  <si>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</si>
  <si>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</si>
  <si>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</si>
  <si>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</si>
  <si>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</si>
  <si>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</si>
  <si>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</si>
  <si>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</si>
  <si>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</si>
  <si>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</si>
  <si>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</si>
  <si>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</si>
  <si>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</si>
  <si>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</si>
  <si>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</si>
  <si>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</si>
  <si>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</si>
  <si>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</si>
  <si>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</si>
  <si>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</si>
  <si>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</si>
  <si>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</si>
  <si>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</si>
  <si>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</si>
  <si>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</si>
  <si>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</si>
  <si>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</si>
  <si>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</si>
  <si>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</si>
  <si>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</si>
  <si>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</si>
  <si>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</si>
  <si>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</si>
  <si>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</si>
  <si>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</si>
  <si>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</si>
  <si>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</si>
  <si>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</si>
  <si>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</si>
  <si>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</si>
  <si>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</si>
  <si>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</si>
  <si>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</si>
  <si>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</si>
  <si>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</si>
  <si>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</si>
  <si>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</si>
  <si>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</si>
  <si>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</si>
  <si>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</si>
  <si>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</si>
  <si>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</si>
  <si>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</si>
  <si>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</si>
  <si>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</si>
  <si>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t>
  </si>
  <si>
    <t>Vertrouwelijkheid</t>
  </si>
  <si>
    <t>I</t>
  </si>
  <si>
    <t>Integriteit</t>
  </si>
  <si>
    <t>A</t>
  </si>
  <si>
    <t>Beschikbaarheid</t>
  </si>
  <si>
    <t>Afwijkingen — CyFun 2023 controls zonder 2025 equivalent</t>
  </si>
  <si>
    <t>Kwetsbaarheid</t>
  </si>
  <si>
    <t>C / I / A</t>
  </si>
  <si>
    <t>Control ID (DB)</t>
  </si>
  <si>
    <t>Reden</t>
  </si>
  <si>
    <t>Geen afwijkingen — alle DB-controls bestaan in CyFun 2025.</t>
  </si>
  <si>
    <t>Risicobeheer — Status maatregelen per control per afhankelijk asset</t>
  </si>
  <si>
    <t>Dependent Asset</t>
  </si>
  <si>
    <t>Status</t>
  </si>
  <si>
    <t>Datum</t>
  </si>
  <si>
    <t>Verantwoordelijke</t>
  </si>
  <si>
    <t>Opmerkingen</t>
  </si>
  <si>
    <t>(leeg — wordt ingevuld via Streamlit of via ImportGeselecteerdeControls)</t>
  </si>
  <si>
    <t>Periodieke Controles — Schema voor opvolging van maatregelen</t>
  </si>
  <si>
    <t>DA</t>
  </si>
  <si>
    <t>Maatregel</t>
  </si>
  <si>
    <t>Frequentie</t>
  </si>
  <si>
    <t>Methode</t>
  </si>
  <si>
    <t>Artefacten locatie</t>
  </si>
  <si>
    <t>Laatste controle</t>
  </si>
  <si>
    <t>Volgende controle</t>
  </si>
  <si>
    <t>(leeg — voeg controleregels toe via de Streamlit-app)</t>
  </si>
  <si>
    <t>Acties — Opvolging van maatregelen en periodieke controles</t>
  </si>
  <si>
    <t>Actie ID</t>
  </si>
  <si>
    <t>Type</t>
  </si>
  <si>
    <t>Omschrijving</t>
  </si>
  <si>
    <t>Vervaldatum</t>
  </si>
  <si>
    <t>Aangemaakt op</t>
  </si>
  <si>
    <t>(leeg — acties worden aangemaakt via de Streamlit-app)</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</si>
  <si>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</si>
  <si>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</si>
  <si>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</si>
  <si>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</si>
  <si>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</si>
  <si>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</si>
  <si>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</si>
  <si>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</si>
  <si>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</si>
  <si>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</si>
  <si>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</si>
  <si>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</si>
  <si>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</si>
  <si>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</si>
  <si>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</si>
  <si>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</si>
  <si>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</si>
  <si>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</si>
  <si>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</si>
  <si>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</si>
  <si>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</si>
  <si>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</si>
  <si>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</si>
  <si>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</si>
  <si>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</si>
  <si>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</si>
  <si>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</si>
  <si>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</si>
  <si>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</si>
  <si>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</si>
  <si>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</si>
  <si>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</si>
  <si>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</si>
  <si>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</si>
  <si>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</si>
  <si>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</si>
  <si>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</si>
  <si>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</si>
  <si>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</si>
  <si>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</si>
  <si>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</si>
  <si>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</si>
  <si>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</si>
  <si>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</si>
  <si>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</si>
  <si>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</si>
  <si>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</si>
  <si>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</si>
  <si>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</si>
  <si>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</si>
  <si>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</si>
  <si>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</si>
  <si>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</si>
  <si>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</si>
  <si>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</si>
  <si>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</si>
  <si>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</si>
  <si>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</si>
  <si>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</si>
  <si>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</si>
  <si>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</si>
  <si>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</si>
  <si>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</si>
  <si>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</si>
  <si>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</si>
  <si>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</si>
  <si>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</si>
  <si>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</si>
  <si>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</si>
  <si>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</si>
  <si>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</si>
  <si>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</si>
  <si>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</si>
  <si>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</si>
  <si>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</si>
  <si>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</si>
  <si>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</si>
  <si>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</si>
  <si>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</si>
  <si>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</si>
  <si>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</si>
  <si>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</si>
  <si>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</si>
  <si>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</si>
  <si>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</si>
  <si>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</si>
  <si>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</si>
  <si>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</si>
  <si>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</si>
  <si>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</si>
  <si>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</si>
  <si>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</si>
  <si>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</si>
  <si>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</si>
  <si>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</si>
  <si>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</si>
  <si>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</si>
  <si>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</si>
  <si>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</si>
  <si>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</si>
  <si>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</si>
  <si>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</si>
  <si>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</si>
  <si>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</si>
  <si>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</si>
  <si>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</si>
  <si>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</si>
  <si>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</si>
  <si>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</si>
  <si>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</si>
  <si>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</si>
  <si>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</si>
  <si>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</si>
  <si>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</si>
  <si>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</si>
  <si>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</si>
  <si>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</si>
  <si>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</si>
  <si>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</si>
  <si>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</si>
  <si>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</si>
  <si>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</si>
  <si>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</si>
  <si>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</si>
  <si>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</si>
  <si>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</si>
  <si>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</si>
  <si>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</si>
  <si>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</si>
  <si>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</si>
  <si>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</si>
  <si>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</si>
  <si>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</si>
  <si>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</si>
  <si>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</si>
  <si>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</si>
  <si>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</si>
  <si>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</si>
  <si>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</si>
  <si>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</si>
  <si>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</si>
  <si>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</si>
  <si>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</si>
  <si>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</si>
  <si>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</si>
  <si>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</si>
  <si>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</si>
  <si>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</si>
  <si>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</si>
  <si>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</si>
  <si>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</si>
  <si>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</si>
  <si>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</si>
  <si>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</si>
  <si>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</si>
  <si>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</si>
  <si>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</si>
  <si>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</si>
  <si>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</si>
  <si>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</si>
  <si>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</si>
  <si>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</si>
  <si>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</si>
  <si>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</si>
  <si>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</si>
  <si>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</si>
  <si>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</si>
  <si>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</si>
  <si>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</si>
  <si>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</si>
  <si>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</si>
  <si>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</si>
  <si>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</si>
  <si>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</si>
  <si>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</si>
  <si>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</si>
  <si>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</si>
  <si>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</si>
  <si>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</si>
  <si>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</si>
  <si>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</si>
  <si>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</si>
  <si>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</si>
  <si>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</si>
  <si>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</si>
  <si>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</si>
  <si>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</si>
  <si>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</si>
  <si>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</si>
  <si>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</si>
  <si>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</si>
  <si>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</si>
  <si>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</si>
  <si>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</si>
  <si>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</si>
  <si>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</si>
  <si>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</si>
  <si>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</si>
  <si>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</si>
  <si>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</si>
  <si>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</si>
  <si>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</si>
  <si>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</si>
  <si>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</si>
  <si>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</si>
  <si>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</si>
  <si>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</si>
  <si>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</si>
  <si>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</si>
  <si>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</si>
  <si>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</si>
  <si>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</si>
  <si>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</si>
  <si>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</si>
  <si>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</si>
  <si>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</si>
  <si>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</si>
  <si>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</si>
  <si>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</si>
  <si>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</si>
  <si>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</si>
  <si>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</si>
  <si>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</si>
  <si>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</si>
  <si>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</si>
  <si>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</si>
  <si>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</si>
  <si>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</si>
  <si>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</si>
  <si>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</si>
  <si>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</si>
  <si>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</si>
  <si>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</si>
  <si>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</si>
  <si>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</si>
  <si>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</si>
  <si>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</si>
  <si>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</si>
  <si>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</si>
  <si>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</si>
  <si>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</si>
  <si>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</si>
  <si>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</si>
  <si>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</si>
  <si>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</si>
  <si>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</si>
  <si>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</si>
  <si>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</si>
  <si>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</si>
  <si>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</si>
  <si>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</si>
  <si>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</si>
  <si>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</si>
  <si>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</si>
  <si>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</si>
  <si>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</si>
  <si>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</si>
  <si>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</si>
  <si>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</si>
  <si>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</si>
  <si>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</si>
  <si>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</si>
  <si>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</si>
  <si>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</si>
  <si>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</si>
  <si>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</si>
  <si>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</si>
  <si>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</si>
  <si>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</si>
  <si>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</si>
  <si>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</si>
  <si>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</si>
  <si>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</si>
  <si>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</si>
  <si>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</si>
  <si>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</si>
  <si>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</si>
  <si>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</si>
  <si>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</si>
  <si>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</si>
  <si>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</si>
  <si>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</si>
  <si>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</si>
  <si>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</si>
  <si>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</si>
  <si>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</si>
  <si>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</si>
  <si>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</si>
  <si>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</si>
  <si>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</si>
  <si>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</si>
  <si>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</si>
  <si>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</si>
  <si>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</si>
  <si>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</si>
  <si>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</si>
  <si>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</si>
  <si>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</si>
  <si>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</si>
  <si>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</si>
  <si>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</si>
  <si>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</si>
  <si>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</si>
  <si>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</si>
  <si>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</si>
  <si>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</si>
  <si>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</si>
  <si>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</si>
  <si>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</si>
  <si>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</si>
  <si>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</si>
  <si>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</si>
  <si>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</si>
  <si>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</si>
  <si>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</si>
  <si>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</si>
  <si>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</si>
  <si>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</si>
  <si>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</si>
  <si>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</si>
  <si>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</si>
  <si>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</si>
  <si>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</si>
  <si>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</si>
  <si>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</si>
  <si>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</si>
  <si>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</si>
  <si>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</si>
  <si>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</si>
  <si>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</si>
  <si>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</si>
  <si>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</si>
  <si>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</si>
  <si>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</si>
  <si>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</si>
  <si>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</si>
  <si>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</si>
  <si>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</si>
  <si>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</si>
  <si>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</si>
  <si>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</si>
  <si>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</si>
  <si>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</si>
  <si>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</si>
  <si>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</si>
  <si>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</si>
  <si>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</si>
  <si>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</si>
  <si>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</si>
  <si>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</si>
  <si>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</si>
  <si>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</si>
  <si>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</si>
  <si>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</si>
  <si>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</si>
  <si>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</si>
  <si>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</si>
  <si>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</si>
  <si>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</si>
  <si>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</si>
  <si>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</si>
  <si>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</si>
  <si>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</si>
  <si>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</si>
  <si>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</si>
  <si>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</si>
  <si>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</si>
  <si>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</si>
  <si>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</si>
  <si>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</si>
  <si>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</si>
  <si>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</si>
  <si>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</si>
  <si>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</si>
  <si>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</si>
  <si>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</si>
  <si>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</si>
  <si>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</si>
  <si>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</si>
  <si>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</si>
  <si>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</si>
  <si>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</si>
  <si>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</si>
  <si>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</si>
  <si>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</si>
  <si>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</si>
  <si>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</si>
  <si>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</si>
  <si>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</si>
  <si>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</si>
  <si>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</si>
  <si>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</si>
  <si>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</si>
  <si>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</si>
  <si>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</si>
  <si>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</si>
  <si>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</si>
  <si>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</si>
  <si>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</si>
  <si>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</si>
  <si>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</si>
  <si>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</si>
  <si>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</si>
  <si>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</si>
  <si>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</si>
  <si>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</si>
  <si>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</si>
  <si>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</si>
  <si>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</si>
  <si>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Importeert informatieassets, afhankelijke assets, processen én kwetsbaarheden-matrix in één stap.</t>
  </si>
  <si>
    <t>Importe actifs informationnels, actifs dépendants, processus et matrice des vulnérabilités en une seule étape.</t>
  </si>
  <si>
    <t>Imports information assets, dependent assets, processes and vulnerability matrix in one step.</t>
  </si>
  <si>
    <t>ie_import_ia_btn</t>
  </si>
  <si>
    <t>Importeer Informatieassets</t>
  </si>
  <si>
    <t>Importer actifs informationnels</t>
  </si>
  <si>
    <t>Import Information Assets</t>
  </si>
  <si>
    <t>ie_import_ia_desc</t>
  </si>
  <si>
    <t>Leest de tabel 'T - Information Assets' uit de Access-database en vult de tab Informatieassets.</t>
  </si>
  <si>
    <t>Lit la table 'T - Information Assets' depuis la base Access et remplit l'onglet Actifs informationnels.</t>
  </si>
  <si>
    <t>Reads the 'T - Information Assets' table from the Access database and fills the Information Assets tab.</t>
  </si>
  <si>
    <t>ie_import_da_btn</t>
  </si>
  <si>
    <t>Importeer Afhankelijke Assets</t>
  </si>
  <si>
    <t>Importer actifs dépendants</t>
  </si>
  <si>
    <t>Import Dependent Assets</t>
  </si>
  <si>
    <t>ie_import_da_desc</t>
  </si>
  <si>
    <t>Leest de tabel 'T - Dependent assets' en vult de tab Afhankelijke Assets inclusief CIA-objectives.</t>
  </si>
  <si>
    <t>Lit la table 'T - Dependent assets' et remplit l'onglet Actifs dépendants avec les objectifs CIA.</t>
  </si>
  <si>
    <t>Reads the 'T - Dependent assets' table and fills the Dependent Assets tab including CIA objectives.</t>
  </si>
  <si>
    <t>ie_import_proc_btn</t>
  </si>
  <si>
    <t>Importeer Processen</t>
  </si>
  <si>
    <t>Importer processus</t>
  </si>
  <si>
    <t>Import Processes</t>
  </si>
  <si>
    <t>ie_import_proc_desc</t>
  </si>
  <si>
    <t>Leest 'T - Processes in scope' en vult de tab Processen inclusief koppelingen aan assets.</t>
  </si>
  <si>
    <t>Lit 'T - Processes in scope' et remplit l'onglet Processus avec les liens aux actifs.</t>
  </si>
  <si>
    <t>Reads 'T - Processes in scope' and fills the Processes tab including asset links.</t>
  </si>
  <si>
    <t>ie_import_kwets_btn</t>
  </si>
  <si>
    <t>Importeer Kwetsbaarheden</t>
  </si>
  <si>
    <t>Importer vulnérabilités</t>
  </si>
  <si>
    <t>Import Vulnerabilities</t>
  </si>
  <si>
    <t>ie_import_kwets_desc</t>
  </si>
  <si>
    <t>Laadt de kwetsbaarheden en hun koppeling aan CyFun-controls. Vereist dat de tab Kwetsbaarheden al aangemaakt is.</t>
  </si>
  <si>
    <t>Charge les vulnérabilités et leur lien aux contrôles CyFun. Nécessite que l'onglet Vulnérabilités soit déjà créé.</t>
  </si>
  <si>
    <t>Loads vulnerabilities and their link to CyFun controls. Requires the Vulnerabilities tab to already exist.</t>
  </si>
  <si>
    <t>ie_import_links_btn</t>
  </si>
  <si>
    <t>Importeer Links DA / Kwetsbaarheden</t>
  </si>
  <si>
    <t>Importer liens actifs dépendants / vulnérabilités</t>
  </si>
  <si>
    <t>Import DA / Vulnerability Links</t>
  </si>
  <si>
    <t>ie_import_links_desc</t>
  </si>
  <si>
    <t>Voer dit uit NA de import van kwetsbaarheden. Leest de koppelingen tussen afhankelijke assets en kwetsbaarheden uit de Access-database en vult de RARM-tab aan.</t>
  </si>
  <si>
    <t>À exécuter APRÈS l'import des vulnérabilités. Lit les liens entre actifs dépendants et vulnérabilités depuis la base Access et complète l'onglet RARM.</t>
  </si>
  <si>
    <t>Run this AFTER importing vulnerabilities. Reads links between dependent assets and vulnerabilities from the Access database and fills in the RARM tab.</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</si>
  <si>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</si>
  <si>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</si>
  <si>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</si>
  <si>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</si>
  <si>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</si>
  <si>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</si>
  <si>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</si>
  <si>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</si>
  <si>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</si>
  <si>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</si>
  <si>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</si>
  <si>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</si>
  <si>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</si>
  <si>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</si>
  <si>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</si>
  <si>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</si>
  <si>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</si>
  <si>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</si>
  <si>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</si>
  <si>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</si>
  <si>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</si>
  <si>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</si>
  <si>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</si>
  <si>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</si>
  <si>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</si>
  <si>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</si>
  <si>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</si>
  <si>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dep_col_overarching</t>
  </si>
  <si>
    <t>Overarching</t>
  </si>
  <si>
    <t>Transversal</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</si>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</sst>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12"/>
      <color rgb="FF2563E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sz val="11"/>
      <color rgb="FF15803D"/>
      <name val="Calibri"/>
    </font>
    <font>
      <b/>
      <i/>
      <sz val="9"/>
      <color rgb="FF64748B"/>
      <name val="Calibri"/>
    </font>
    <font>
      <b/>
      <sz val="13"/>
      <color rgb="FFFFFFFF"/>
      <name val="Calibri"/>
    </font>
    <font>
      <b/>
      <sz val="10"/>
      <color rgb="FF0F172A"/>
      <name val="Calibri"/>
    </font>
    <font>
      <b/>
      <sz val="9"/>
      <color rgb="FF854D0E"/>
      <name val="Calibri"/>
    </font>
    <font>
      <sz val="9"/>
      <color rgb="FF0F172A"/>
      <name val="Calibri"/>
    </font>
    <font>
      <b/>
      <sz val="10"/>
      <color rgb="FF15803D"/>
      <name val="Calibri"/>
    </font>
    <font>
      <b/>
      <sz val="9"/>
      <color rgb="FFB91C1C"/>
      <name val="Calibri"/>
    </font>
    <font>
      <b/>
      <sz val="9"/>
      <color rgb="FF15803D"/>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9"/>
      <color rgb="FFB45309"/>
      <name val="Calibri"/>
    </font>
    <font>
      <sz val="9"/>
      <color rgb="FF64748B"/>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FEE2E2"/>
      </patternFill>
    </fill>
    <fill>
      <patternFill patternType="solid">
        <fgColor rgb="FFDCFCE7"/>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s>
  <borders count="1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medium">
        <color rgb="FF0F2B46"/>
      </left>
      <right style="thin">
        <color rgb="FF0F2B46"/>
      </right>
      <top style="thin">
        <color rgb="FF0F2B46"/>
      </top>
      <bottom style="thin">
        <color rgb="FF0F2B46"/>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s>
  <cellStyleXfs count="1">
    <xf numFmtId="0" fontId="0" fillId="0" borderId="0"/>
  </cellStyleXfs>
  <cellXfs count="125">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9" fillId="6" borderId="2" xfId="0" applyFont="1" applyFill="1" applyBorder="1" applyAlignment="1">
      <alignment horizontal="left" vertical="center" indent="1"/>
    </xf>
    <xf numFmtId="0" fontId="16" fillId="3" borderId="3" xfId="0" applyFont="1" applyFill="1" applyBorder="1" applyAlignment="1">
      <alignment horizontal="center" vertical="center" wrapText="1"/>
    </xf>
    <xf numFmtId="0" fontId="17"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8" fillId="8" borderId="1" xfId="0" applyFont="1" applyFill="1" applyBorder="1" applyAlignment="1">
      <alignment horizontal="center" vertical="center"/>
    </xf>
    <xf numFmtId="0" fontId="19" fillId="5" borderId="1" xfId="0" applyFont="1" applyFill="1" applyBorder="1" applyAlignment="1">
      <alignment horizontal="center" vertical="center"/>
    </xf>
    <xf numFmtId="0" fontId="17"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8"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6"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20" fillId="8" borderId="1" xfId="0" applyFont="1" applyFill="1" applyBorder="1" applyAlignment="1" applyProtection="1">
      <alignment horizontal="center" vertical="center"/>
      <protection locked="0"/>
    </xf>
    <xf numFmtId="0" fontId="21" fillId="5" borderId="1" xfId="0" applyFont="1" applyFill="1" applyBorder="1" applyAlignment="1">
      <alignment horizontal="center" vertical="center"/>
    </xf>
    <xf numFmtId="0" fontId="18" fillId="8" borderId="1" xfId="0" applyFont="1" applyFill="1" applyBorder="1" applyAlignment="1" applyProtection="1">
      <alignment horizontal="center" vertical="center"/>
      <protection locked="0"/>
    </xf>
    <xf numFmtId="0" fontId="19"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20" fillId="6" borderId="1" xfId="0" applyFont="1" applyFill="1" applyBorder="1" applyAlignment="1" applyProtection="1">
      <alignment horizontal="center" vertical="center"/>
      <protection locked="0"/>
    </xf>
    <xf numFmtId="0" fontId="18"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0" fillId="0" borderId="6" xfId="0" applyBorder="1"/>
    <xf numFmtId="0" fontId="23" fillId="11" borderId="7" xfId="0" applyFont="1" applyFill="1" applyBorder="1" applyAlignment="1">
      <alignment horizontal="center" vertical="center" wrapText="1"/>
    </xf>
    <xf numFmtId="0" fontId="23" fillId="11" borderId="3" xfId="0" applyFont="1" applyFill="1" applyBorder="1" applyAlignment="1">
      <alignment horizontal="center" vertical="center" wrapText="1"/>
    </xf>
    <xf numFmtId="0" fontId="0" fillId="5" borderId="1" xfId="0" applyFill="1" applyBorder="1"/>
    <xf numFmtId="0" fontId="8" fillId="8" borderId="7"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4" fillId="11" borderId="1" xfId="0" applyFont="1" applyFill="1" applyBorder="1" applyAlignment="1">
      <alignment horizontal="center" vertical="center"/>
    </xf>
    <xf numFmtId="0" fontId="25" fillId="5" borderId="1" xfId="0" applyFont="1" applyFill="1" applyBorder="1" applyAlignment="1">
      <alignment horizontal="left" vertical="top" wrapText="1"/>
    </xf>
    <xf numFmtId="0" fontId="26" fillId="5" borderId="1" xfId="0" applyFont="1" applyFill="1" applyBorder="1" applyAlignment="1">
      <alignment horizontal="center" vertical="center"/>
    </xf>
    <xf numFmtId="0" fontId="0" fillId="5" borderId="1" xfId="0" applyFill="1" applyBorder="1" applyAlignment="1">
      <alignment horizontal="center" vertical="center"/>
    </xf>
    <xf numFmtId="0" fontId="27" fillId="12" borderId="1" xfId="0" applyFont="1" applyFill="1" applyBorder="1" applyAlignment="1">
      <alignment horizontal="center" vertical="center"/>
    </xf>
    <xf numFmtId="0" fontId="25" fillId="6" borderId="1" xfId="0" applyFont="1" applyFill="1" applyBorder="1" applyAlignment="1">
      <alignment horizontal="left" vertical="top" wrapText="1"/>
    </xf>
    <xf numFmtId="0" fontId="26" fillId="6" borderId="1" xfId="0" applyFont="1" applyFill="1" applyBorder="1" applyAlignment="1">
      <alignment horizontal="center" vertical="center"/>
    </xf>
    <xf numFmtId="0" fontId="0" fillId="6" borderId="1" xfId="0" applyFill="1" applyBorder="1" applyAlignment="1">
      <alignment horizontal="center" vertical="center"/>
    </xf>
    <xf numFmtId="0" fontId="28" fillId="13" borderId="1" xfId="0" applyFont="1" applyFill="1" applyBorder="1" applyAlignment="1">
      <alignment horizontal="center" vertical="center"/>
    </xf>
    <xf numFmtId="0" fontId="29" fillId="4" borderId="2" xfId="0" applyFont="1" applyFill="1" applyBorder="1" applyAlignment="1">
      <alignment horizontal="center" vertical="center"/>
    </xf>
    <xf numFmtId="0" fontId="29" fillId="14" borderId="8" xfId="0" applyFont="1" applyFill="1" applyBorder="1" applyAlignment="1">
      <alignment horizontal="center" vertical="center"/>
    </xf>
    <xf numFmtId="0" fontId="16" fillId="4" borderId="3" xfId="0" applyFont="1" applyFill="1" applyBorder="1" applyAlignment="1">
      <alignment horizontal="center" vertical="center" wrapText="1"/>
    </xf>
    <xf numFmtId="0" fontId="33" fillId="13" borderId="1" xfId="0" applyFont="1" applyFill="1" applyBorder="1" applyAlignment="1">
      <alignment horizontal="center" vertical="center"/>
    </xf>
    <xf numFmtId="0" fontId="26" fillId="13" borderId="1" xfId="0" applyFont="1" applyFill="1" applyBorder="1" applyAlignment="1">
      <alignment horizontal="center" vertical="center" wrapText="1"/>
    </xf>
    <xf numFmtId="0" fontId="35" fillId="11" borderId="1" xfId="0" applyFont="1" applyFill="1" applyBorder="1" applyAlignment="1">
      <alignment horizontal="center" vertical="center"/>
    </xf>
    <xf numFmtId="0" fontId="36" fillId="11" borderId="1" xfId="0" applyFont="1" applyFill="1" applyBorder="1" applyAlignment="1">
      <alignment horizontal="center" vertical="center" wrapText="1"/>
    </xf>
    <xf numFmtId="0" fontId="38" fillId="15" borderId="1" xfId="0" applyFont="1" applyFill="1" applyBorder="1" applyAlignment="1">
      <alignment horizontal="center" vertical="center"/>
    </xf>
    <xf numFmtId="0" fontId="39" fillId="15" borderId="1" xfId="0" applyFont="1" applyFill="1" applyBorder="1" applyAlignment="1">
      <alignment horizontal="center" vertical="center" wrapText="1"/>
    </xf>
    <xf numFmtId="0" fontId="41" fillId="12" borderId="1" xfId="0" applyFont="1" applyFill="1" applyBorder="1" applyAlignment="1">
      <alignment horizontal="center" vertical="center"/>
    </xf>
    <xf numFmtId="0" fontId="42" fillId="12" borderId="1" xfId="0" applyFont="1" applyFill="1" applyBorder="1" applyAlignment="1">
      <alignment horizontal="center" vertical="center" wrapText="1"/>
    </xf>
    <xf numFmtId="0" fontId="44" fillId="16" borderId="1" xfId="0" applyFont="1" applyFill="1" applyBorder="1" applyAlignment="1">
      <alignment horizontal="center" vertical="center"/>
    </xf>
    <xf numFmtId="0" fontId="45" fillId="16" borderId="1" xfId="0" applyFont="1" applyFill="1" applyBorder="1" applyAlignment="1">
      <alignment horizontal="center" vertical="center" wrapText="1"/>
    </xf>
    <xf numFmtId="0" fontId="16" fillId="17" borderId="0" xfId="0" applyFont="1" applyFill="1" applyAlignment="1">
      <alignment horizontal="center" vertical="center"/>
    </xf>
    <xf numFmtId="0" fontId="16" fillId="17" borderId="9" xfId="0" applyFont="1" applyFill="1" applyBorder="1" applyAlignment="1">
      <alignment horizontal="center" vertical="center"/>
    </xf>
    <xf numFmtId="0" fontId="0" fillId="5" borderId="1" xfId="0" applyFill="1" applyBorder="1" applyAlignment="1">
      <alignment horizontal="left" vertical="top"/>
    </xf>
    <xf numFmtId="0" fontId="24" fillId="11" borderId="1" xfId="0" applyFont="1" applyFill="1" applyBorder="1" applyAlignment="1">
      <alignment horizontal="center" vertical="top"/>
    </xf>
    <xf numFmtId="0" fontId="28" fillId="13" borderId="1" xfId="0" applyFont="1" applyFill="1" applyBorder="1" applyAlignment="1">
      <alignment horizontal="center" vertical="top"/>
    </xf>
    <xf numFmtId="0" fontId="0" fillId="6" borderId="1" xfId="0" applyFill="1" applyBorder="1" applyAlignment="1">
      <alignment horizontal="left" vertical="top"/>
    </xf>
    <xf numFmtId="0" fontId="27" fillId="12" borderId="1" xfId="0" applyFont="1" applyFill="1" applyBorder="1" applyAlignment="1">
      <alignment horizontal="center" vertical="top"/>
    </xf>
    <xf numFmtId="0" fontId="12" fillId="8" borderId="1" xfId="0" applyFont="1" applyFill="1" applyBorder="1" applyAlignment="1">
      <alignment horizontal="center" vertical="top"/>
    </xf>
    <xf numFmtId="0" fontId="10" fillId="7" borderId="1" xfId="0" applyFont="1" applyFill="1" applyBorder="1" applyAlignment="1">
      <alignment horizontal="center" vertical="top"/>
    </xf>
    <xf numFmtId="0" fontId="47" fillId="15" borderId="1" xfId="0" applyFont="1" applyFill="1" applyBorder="1" applyAlignment="1">
      <alignment horizontal="center" vertical="top"/>
    </xf>
    <xf numFmtId="0" fontId="0" fillId="11" borderId="10" xfId="0" applyFill="1" applyBorder="1" applyAlignment="1">
      <alignment horizontal="center" vertical="center" wrapText="1"/>
    </xf>
    <xf numFmtId="0" fontId="0" fillId="11" borderId="1" xfId="0" applyFill="1" applyBorder="1" applyAlignment="1">
      <alignment horizontal="center" vertical="center" wrapText="1"/>
    </xf>
    <xf numFmtId="0" fontId="12" fillId="18" borderId="1" xfId="0" applyFont="1" applyFill="1" applyBorder="1" applyAlignment="1">
      <alignment horizontal="center" vertical="center"/>
    </xf>
    <xf numFmtId="0" fontId="25" fillId="6" borderId="1" xfId="0" applyFont="1" applyFill="1" applyBorder="1" applyAlignment="1">
      <alignment horizontal="left" vertical="center"/>
    </xf>
    <xf numFmtId="0" fontId="0" fillId="18" borderId="10" xfId="0" applyFill="1" applyBorder="1" applyAlignment="1">
      <alignment horizontal="center" vertical="center"/>
    </xf>
    <xf numFmtId="0" fontId="0" fillId="18" borderId="1" xfId="0" applyFill="1" applyBorder="1" applyAlignment="1">
      <alignment horizontal="center" vertical="center"/>
    </xf>
    <xf numFmtId="0" fontId="28" fillId="13" borderId="1" xfId="0" applyFont="1" applyFill="1" applyBorder="1" applyAlignment="1">
      <alignment horizontal="center" vertical="center"/>
    </xf>
    <xf numFmtId="0" fontId="0" fillId="13" borderId="10" xfId="0" applyFill="1" applyBorder="1" applyAlignment="1">
      <alignment horizontal="center" vertical="center"/>
    </xf>
    <xf numFmtId="0" fontId="0" fillId="13" borderId="1" xfId="0" applyFill="1" applyBorder="1" applyAlignment="1">
      <alignment horizontal="center" vertical="center"/>
    </xf>
    <xf numFmtId="0" fontId="47" fillId="15" borderId="1" xfId="0" applyFont="1" applyFill="1" applyBorder="1" applyAlignment="1">
      <alignment horizontal="center" vertical="center"/>
    </xf>
    <xf numFmtId="0" fontId="0" fillId="15" borderId="10" xfId="0" applyFill="1" applyBorder="1" applyAlignment="1">
      <alignment horizontal="center" vertical="center"/>
    </xf>
    <xf numFmtId="0" fontId="0" fillId="15" borderId="1" xfId="0" applyFill="1" applyBorder="1" applyAlignment="1">
      <alignment horizontal="center" vertical="center"/>
    </xf>
    <xf numFmtId="0" fontId="24" fillId="11" borderId="1" xfId="0" applyFont="1" applyFill="1" applyBorder="1" applyAlignment="1">
      <alignment horizontal="left" vertical="center"/>
    </xf>
    <xf numFmtId="0" fontId="0" fillId="5" borderId="10" xfId="0" applyFill="1" applyBorder="1" applyAlignment="1">
      <alignment horizontal="center" vertical="center"/>
    </xf>
    <xf numFmtId="0" fontId="0" fillId="5" borderId="1" xfId="0" applyFill="1" applyBorder="1" applyAlignment="1">
      <alignment horizontal="center" vertical="center"/>
    </xf>
    <xf numFmtId="0" fontId="27" fillId="12" borderId="1" xfId="0" applyFont="1" applyFill="1" applyBorder="1" applyAlignment="1">
      <alignment horizontal="left" vertical="center"/>
    </xf>
    <xf numFmtId="0" fontId="0" fillId="6" borderId="10" xfId="0" applyFill="1" applyBorder="1" applyAlignment="1">
      <alignment horizontal="center" vertical="center"/>
    </xf>
    <xf numFmtId="0" fontId="0" fillId="6" borderId="1" xfId="0" applyFill="1" applyBorder="1" applyAlignment="1">
      <alignment horizontal="center" vertical="center"/>
    </xf>
    <xf numFmtId="0" fontId="28" fillId="13" borderId="1" xfId="0" applyFont="1" applyFill="1" applyBorder="1" applyAlignment="1">
      <alignment horizontal="left" vertical="center"/>
    </xf>
    <xf numFmtId="0" fontId="48" fillId="0" borderId="0" xfId="0" applyFont="1" applyAlignment="1">
      <alignment horizontal="left" vertical="center"/>
    </xf>
    <xf numFmtId="0" fontId="8" fillId="0" borderId="0" xfId="0" applyFont="1" applyAlignment="1">
      <alignment horizontal="left" vertical="center"/>
    </xf>
    <xf numFmtId="14" fontId="0" fillId="0" borderId="0" xfId="0" applyNumberFormat="1"/>
    <xf numFmtId="0" fontId="1" fillId="2" borderId="0" xfId="0" applyFont="1" applyFill="1"/>
    <xf numFmtId="0" fontId="4" fillId="3" borderId="0" xfId="0" applyFont="1" applyFill="1" applyAlignment="1">
      <alignment horizontal="left" vertical="center" indent="1"/>
    </xf>
    <xf numFmtId="0" fontId="0" fillId="0" borderId="0" xfId="0"/>
    <xf numFmtId="0" fontId="13" fillId="8" borderId="0" xfId="0" applyFont="1" applyFill="1" applyAlignment="1">
      <alignment horizontal="left" vertical="center" indent="1"/>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11" fillId="7" borderId="0" xfId="0" applyFont="1" applyFill="1" applyAlignment="1">
      <alignment horizontal="left" vertical="center" indent="1"/>
    </xf>
    <xf numFmtId="0" fontId="2" fillId="3" borderId="0" xfId="0" applyFont="1" applyFill="1" applyAlignment="1">
      <alignment horizontal="center" vertical="center"/>
    </xf>
    <xf numFmtId="0" fontId="3" fillId="4" borderId="0" xfId="0" applyFont="1" applyFill="1" applyAlignment="1">
      <alignment horizontal="center" vertical="center"/>
    </xf>
    <xf numFmtId="0" fontId="12" fillId="8"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4"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6" fillId="3" borderId="3" xfId="0" applyFont="1" applyFill="1" applyBorder="1" applyAlignment="1">
      <alignment horizontal="center" vertical="center" wrapText="1"/>
    </xf>
    <xf numFmtId="0" fontId="15" fillId="8" borderId="0" xfId="0" applyFont="1" applyFill="1" applyAlignment="1">
      <alignment horizontal="center" vertical="center"/>
    </xf>
    <xf numFmtId="0" fontId="16" fillId="9" borderId="4" xfId="0" applyFont="1" applyFill="1" applyBorder="1" applyAlignment="1">
      <alignment horizontal="center" vertical="center" wrapText="1"/>
    </xf>
    <xf numFmtId="0" fontId="16" fillId="10" borderId="5" xfId="0" applyFont="1" applyFill="1" applyBorder="1" applyAlignment="1">
      <alignment horizontal="center" vertical="center"/>
    </xf>
    <xf numFmtId="0" fontId="16" fillId="9" borderId="4" xfId="0" applyFont="1" applyFill="1" applyBorder="1" applyAlignment="1">
      <alignment horizontal="center" vertical="center"/>
    </xf>
    <xf numFmtId="0" fontId="16" fillId="3" borderId="3" xfId="0" applyFont="1" applyFill="1" applyBorder="1" applyAlignment="1">
      <alignment horizontal="center" vertical="center"/>
    </xf>
    <xf numFmtId="0" fontId="22" fillId="3" borderId="0" xfId="0" applyFont="1" applyFill="1" applyAlignment="1">
      <alignment horizontal="left" vertical="center" indent="1"/>
    </xf>
    <xf numFmtId="0" fontId="0" fillId="0" borderId="6" xfId="0" applyBorder="1"/>
    <xf numFmtId="0" fontId="30" fillId="5" borderId="1" xfId="0" applyFont="1" applyFill="1" applyBorder="1" applyAlignment="1">
      <alignment horizontal="left" vertical="top" wrapText="1" indent="1"/>
    </xf>
    <xf numFmtId="0" fontId="32" fillId="7" borderId="0" xfId="0" applyFont="1" applyFill="1" applyAlignment="1">
      <alignment horizontal="left" vertical="center" indent="1"/>
    </xf>
    <xf numFmtId="0" fontId="31" fillId="5" borderId="1" xfId="0" applyFont="1" applyFill="1" applyBorder="1" applyAlignment="1">
      <alignment horizontal="left" vertical="top" wrapText="1" indent="1"/>
    </xf>
    <xf numFmtId="0" fontId="16" fillId="3" borderId="0" xfId="0" applyFont="1" applyFill="1" applyAlignment="1">
      <alignment horizontal="left" vertical="center" indent="1"/>
    </xf>
    <xf numFmtId="0" fontId="8" fillId="5" borderId="0" xfId="0" applyFont="1" applyFill="1" applyAlignment="1">
      <alignment horizontal="left" vertical="center" indent="1"/>
    </xf>
    <xf numFmtId="0" fontId="34" fillId="13" borderId="1" xfId="0" applyFont="1" applyFill="1" applyBorder="1" applyAlignment="1">
      <alignment horizontal="left" vertical="center" wrapText="1" indent="1"/>
    </xf>
    <xf numFmtId="0" fontId="15" fillId="8" borderId="0" xfId="0" applyFont="1" applyFill="1" applyAlignment="1">
      <alignment horizontal="center" vertical="center" wrapText="1"/>
    </xf>
    <xf numFmtId="0" fontId="40" fillId="15" borderId="1" xfId="0" applyFont="1" applyFill="1" applyBorder="1" applyAlignment="1">
      <alignment horizontal="left" vertical="center" wrapText="1" indent="1"/>
    </xf>
    <xf numFmtId="0" fontId="37" fillId="11" borderId="1" xfId="0" applyFont="1" applyFill="1" applyBorder="1" applyAlignment="1">
      <alignment horizontal="left" vertical="center" wrapText="1" indent="1"/>
    </xf>
    <xf numFmtId="0" fontId="46" fillId="16" borderId="1" xfId="0" applyFont="1" applyFill="1" applyBorder="1" applyAlignment="1">
      <alignment horizontal="left" vertical="center" wrapText="1" indent="1"/>
    </xf>
    <xf numFmtId="0" fontId="43" fillId="12" borderId="1" xfId="0" applyFont="1" applyFill="1" applyBorder="1" applyAlignment="1">
      <alignment horizontal="left" vertical="center" wrapText="1" indent="1"/>
    </xf>
    <xf numFmtId="0" fontId="30" fillId="5" borderId="0" xfId="0" applyFont="1" applyFill="1" applyAlignment="1">
      <alignment horizontal="left" vertical="center" indent="1"/>
    </xf>
    <xf numFmtId="0" fontId="16" fillId="3" borderId="0" xfId="0" applyFont="1" applyFill="1" applyAlignment="1">
      <alignment horizontal="center" vertical="center"/>
    </xf>
    <xf numFmtId="0" fontId="16" fillId="4" borderId="0" xfId="0" applyFont="1" applyFill="1" applyAlignment="1">
      <alignment horizontal="center" vertical="center"/>
    </xf>
    <xf numFmtId="0" fontId="29" fillId="14" borderId="0" xfId="0" applyFont="1" applyFill="1" applyAlignment="1">
      <alignment horizontal="left" vertical="center" indent="1"/>
    </xf>
    <xf numFmtId="0" fontId="29" fillId="3" borderId="0" xfId="0" applyFont="1" applyFill="1" applyAlignment="1">
      <alignment horizontal="left" vertical="center" indent="1"/>
    </xf>
    <xf numFmtId="0" fontId="22" fillId="14" borderId="0" xfId="0" applyFont="1" applyFill="1" applyAlignment="1">
      <alignment horizontal="left" vertical="center" indent="1"/>
    </xf>
  </cellXfs>
  <cellStyles count="1">
    <cellStyle name="Standaard" xfId="0" builtinId="0"/>
  </cellStyles>
  <dxfs count="94">
    <dxf>
      <fill>
        <patternFill patternType="solid">
          <fgColor rgb="FFDCFCE7"/>
        </patternFill>
      </fill>
    </dxf>
    <dxf>
      <fill>
        <patternFill patternType="solid">
          <fgColor rgb="FFDBEAFE"/>
        </patternFill>
      </fill>
    </dxf>
    <dxf>
      <fill>
        <patternFill patternType="solid">
          <fgColor rgb="FFFEF9C3"/>
        </patternFill>
      </fill>
    </dxf>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55DBAC38-700D-44B9-E8E9-7E88EE848D21}"/>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8</xdr:row>
      <xdr:rowOff>82550</xdr:rowOff>
    </xdr:from>
    <xdr:to>
      <xdr:col>3</xdr:col>
      <xdr:colOff>666750</xdr:colOff>
      <xdr:row>9</xdr:row>
      <xdr:rowOff>212725</xdr:rowOff>
    </xdr:to>
    <xdr:sp macro="GRC_Macros.ImportInformatieassets" textlink="">
      <xdr:nvSpPr>
        <xdr:cNvPr id="3" name="Rechthoek 2">
          <a:extLst>
            <a:ext uri="{FF2B5EF4-FFF2-40B4-BE49-F238E27FC236}">
              <a16:creationId xmlns:a16="http://schemas.microsoft.com/office/drawing/2014/main" id="{10BE43AB-644A-D543-F91F-6A1F88606866}"/>
            </a:ext>
          </a:extLst>
        </xdr:cNvPr>
        <xdr:cNvSpPr/>
      </xdr:nvSpPr>
      <xdr:spPr>
        <a:xfrm>
          <a:off x="127000" y="27686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Informatieassets</a:t>
          </a:r>
          <a:endParaRPr lang="en-BE" sz="1100" b="1">
            <a:solidFill>
              <a:srgbClr val="FFFFFF"/>
            </a:solidFill>
          </a:endParaRPr>
        </a:p>
      </xdr:txBody>
    </xdr:sp>
    <xdr:clientData/>
  </xdr:twoCellAnchor>
  <xdr:twoCellAnchor>
    <xdr:from>
      <xdr:col>0</xdr:col>
      <xdr:colOff>127000</xdr:colOff>
      <xdr:row>11</xdr:row>
      <xdr:rowOff>95250</xdr:rowOff>
    </xdr:from>
    <xdr:to>
      <xdr:col>3</xdr:col>
      <xdr:colOff>666750</xdr:colOff>
      <xdr:row>12</xdr:row>
      <xdr:rowOff>225425</xdr:rowOff>
    </xdr:to>
    <xdr:sp macro="GRC_Macros.ImportAfhankelijkeAssets" textlink="">
      <xdr:nvSpPr>
        <xdr:cNvPr id="4" name="Rechthoek 3">
          <a:extLst>
            <a:ext uri="{FF2B5EF4-FFF2-40B4-BE49-F238E27FC236}">
              <a16:creationId xmlns:a16="http://schemas.microsoft.com/office/drawing/2014/main" id="{766694D2-562F-A884-D0BE-AF54E3315616}"/>
            </a:ext>
          </a:extLst>
        </xdr:cNvPr>
        <xdr:cNvSpPr/>
      </xdr:nvSpPr>
      <xdr:spPr>
        <a:xfrm>
          <a:off x="127000" y="38862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Afhankelijke Assets</a:t>
          </a:r>
          <a:endParaRPr lang="en-BE" sz="1100" b="1">
            <a:solidFill>
              <a:srgbClr val="FFFFFF"/>
            </a:solidFill>
          </a:endParaRPr>
        </a:p>
      </xdr:txBody>
    </xdr:sp>
    <xdr:clientData/>
  </xdr:twoCellAnchor>
  <xdr:twoCellAnchor>
    <xdr:from>
      <xdr:col>0</xdr:col>
      <xdr:colOff>127000</xdr:colOff>
      <xdr:row>14</xdr:row>
      <xdr:rowOff>107950</xdr:rowOff>
    </xdr:from>
    <xdr:to>
      <xdr:col>3</xdr:col>
      <xdr:colOff>666750</xdr:colOff>
      <xdr:row>15</xdr:row>
      <xdr:rowOff>238125</xdr:rowOff>
    </xdr:to>
    <xdr:sp macro="GRC_Macros.ImportProcessen" textlink="">
      <xdr:nvSpPr>
        <xdr:cNvPr id="5" name="Rechthoek 4">
          <a:extLst>
            <a:ext uri="{FF2B5EF4-FFF2-40B4-BE49-F238E27FC236}">
              <a16:creationId xmlns:a16="http://schemas.microsoft.com/office/drawing/2014/main" id="{BAA98223-1DFD-CED8-0637-7DCA75CD8200}"/>
            </a:ext>
          </a:extLst>
        </xdr:cNvPr>
        <xdr:cNvSpPr/>
      </xdr:nvSpPr>
      <xdr:spPr>
        <a:xfrm>
          <a:off x="127000" y="50038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Processen</a:t>
          </a:r>
          <a:endParaRPr lang="en-BE" sz="1100" b="1">
            <a:solidFill>
              <a:srgbClr val="FFFFFF"/>
            </a:solidFill>
          </a:endParaRPr>
        </a:p>
      </xdr:txBody>
    </xdr:sp>
    <xdr:clientData/>
  </xdr:twoCellAnchor>
  <xdr:twoCellAnchor>
    <xdr:from>
      <xdr:col>0</xdr:col>
      <xdr:colOff>127000</xdr:colOff>
      <xdr:row>17</xdr:row>
      <xdr:rowOff>120650</xdr:rowOff>
    </xdr:from>
    <xdr:to>
      <xdr:col>3</xdr:col>
      <xdr:colOff>666750</xdr:colOff>
      <xdr:row>18</xdr:row>
      <xdr:rowOff>250825</xdr:rowOff>
    </xdr:to>
    <xdr:sp macro="GRC_Macros.ImportKwetsbaarheden" textlink="">
      <xdr:nvSpPr>
        <xdr:cNvPr id="6" name="Rechthoek 5">
          <a:extLst>
            <a:ext uri="{FF2B5EF4-FFF2-40B4-BE49-F238E27FC236}">
              <a16:creationId xmlns:a16="http://schemas.microsoft.com/office/drawing/2014/main" id="{2A33086A-3E40-CD39-CA01-BA996DAEBAFE}"/>
            </a:ext>
          </a:extLst>
        </xdr:cNvPr>
        <xdr:cNvSpPr/>
      </xdr:nvSpPr>
      <xdr:spPr>
        <a:xfrm>
          <a:off x="127000" y="61214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twoCellAnchor>
    <xdr:from>
      <xdr:col>0</xdr:col>
      <xdr:colOff>127000</xdr:colOff>
      <xdr:row>20</xdr:row>
      <xdr:rowOff>133350</xdr:rowOff>
    </xdr:from>
    <xdr:to>
      <xdr:col>3</xdr:col>
      <xdr:colOff>666750</xdr:colOff>
      <xdr:row>21</xdr:row>
      <xdr:rowOff>263525</xdr:rowOff>
    </xdr:to>
    <xdr:sp macro="GRC_Macros.ImportLinksKwetsbaarheden" textlink="">
      <xdr:nvSpPr>
        <xdr:cNvPr id="7" name="Rechthoek 6">
          <a:extLst>
            <a:ext uri="{FF2B5EF4-FFF2-40B4-BE49-F238E27FC236}">
              <a16:creationId xmlns:a16="http://schemas.microsoft.com/office/drawing/2014/main" id="{639557E4-B13F-44B3-980F-281A80EE0ACC}"/>
            </a:ext>
          </a:extLst>
        </xdr:cNvPr>
        <xdr:cNvSpPr/>
      </xdr:nvSpPr>
      <xdr:spPr>
        <a:xfrm>
          <a:off x="127000" y="7239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Links DA/Kwetsbaarheden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33"/>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93" t="str">
        <f>IFERROR(INDEX(_Lang!$B$2:$D$300,MATCH("cfg_title_main",_Lang!$A$2:$A$300,0),IF(Config!$D$9="NL",1,IF(Config!$D$9="FR",2,3))),"[cfg_title_main]")</f>
        <v>GRC Tool — Informatieveiligheid voor Overheidsdiensten</v>
      </c>
      <c r="B1" s="88"/>
      <c r="C1" s="88"/>
      <c r="D1" s="88"/>
      <c r="E1" s="88"/>
      <c r="F1" s="88"/>
      <c r="G1" s="88"/>
    </row>
    <row r="2" spans="1:7" ht="21.95" customHeight="1" x14ac:dyDescent="0.25">
      <c r="A2" s="94" t="str">
        <f>IFERROR(INDEX(_Lang!$B$2:$D$300,MATCH("app_tagline",_Lang!$A$2:$A$300,0),IF(Config!$D$9="NL",1,IF(Config!$D$9="FR",2,3))),"[app_tagline]")</f>
        <v>Governance · Risico · Compliance</v>
      </c>
      <c r="B2" s="88"/>
      <c r="C2" s="88"/>
      <c r="D2" s="88"/>
      <c r="E2" s="88"/>
      <c r="F2" s="88"/>
      <c r="G2" s="88"/>
    </row>
    <row r="3" spans="1:7" ht="12" customHeight="1" x14ac:dyDescent="0.25"/>
    <row r="4" spans="1:7" ht="20.100000000000001" customHeight="1" x14ac:dyDescent="0.25">
      <c r="B4" s="87" t="str">
        <f>IFERROR(INDEX(_Lang!$B$2:$D$300,MATCH("cfg_section_general",_Lang!$A$2:$A$300,0),IF(Config!$D$9="NL",1,IF(Config!$D$9="FR",2,3))),"[cfg_section_general]")</f>
        <v>ALGEMENE INSTELLINGEN</v>
      </c>
      <c r="C4" s="88"/>
      <c r="D4" s="88"/>
      <c r="E4" s="88"/>
      <c r="F4" s="88"/>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87" t="str">
        <f>IFERROR(INDEX(_Lang!$B$2:$D$300,MATCH("cfg_section_display",_Lang!$A$2:$A$300,0),IF(Config!$D$9="NL",1,IF(Config!$D$9="FR",2,3))),"[cfg_section_display]")</f>
        <v>WEERGAVE-INSTELLINGEN</v>
      </c>
      <c r="C8" s="88"/>
      <c r="D8" s="88"/>
      <c r="E8" s="88"/>
      <c r="F8" s="88"/>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91" t="str">
        <f>IFERROR(INDEX(_Lang!$B$2:$D$300,MATCH("cfg_lang_hint",_Lang!$A$2:$A$300,0),IF(Config!$D$9="NL",1,IF(Config!$D$9="FR",2,3))),"[cfg_lang_hint]")</f>
        <v>Kies NL, FR of EN. Dropdowns en vertalingen passen zich automatisch aan.</v>
      </c>
      <c r="C10" s="88"/>
      <c r="D10" s="88"/>
      <c r="E10" s="88"/>
      <c r="F10" s="88"/>
    </row>
    <row r="11" spans="1:7" ht="18" customHeight="1" x14ac:dyDescent="0.25">
      <c r="B11" s="91" t="str">
        <f>IFERROR(INDEX(_Lang!$B$2:$D$300,MATCH("cfg_lang_change_hint",_Lang!$A$2:$A$300,0),IF(Config!$D$9="NL",1,IF(Config!$D$9="FR",2,3))),"[cfg_lang_change_hint]")</f>
        <v>Na taalwijziging: herselect bestaande classificatiewaarden in de gegevensbladen.</v>
      </c>
      <c r="C11" s="88"/>
      <c r="D11" s="88"/>
      <c r="E11" s="88"/>
      <c r="F11" s="88"/>
    </row>
    <row r="12" spans="1:7" ht="8.1" customHeight="1" x14ac:dyDescent="0.25"/>
    <row r="13" spans="1:7" ht="20.100000000000001" customHeight="1" x14ac:dyDescent="0.25">
      <c r="B13" s="87" t="str">
        <f>IFERROR(INDEX(_Lang!$B$2:$D$300,MATCH("cfg_section_meta",_Lang!$A$2:$A$300,0),IF(Config!$D$9="NL",1,IF(Config!$D$9="FR",2,3))),"[cfg_section_meta]")</f>
        <v>OVER DIT BESTAND</v>
      </c>
      <c r="C13" s="88"/>
      <c r="D13" s="88"/>
      <c r="E13" s="88"/>
      <c r="F13" s="88"/>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87" t="s">
        <v>5</v>
      </c>
      <c r="C18" s="88"/>
      <c r="D18" s="88"/>
      <c r="E18" s="88"/>
      <c r="F18" s="88"/>
    </row>
    <row r="19" spans="2:6" ht="26.1" customHeight="1" x14ac:dyDescent="0.25">
      <c r="B19" s="1" t="s">
        <v>6</v>
      </c>
      <c r="D19" s="5"/>
    </row>
    <row r="20" spans="2:6" ht="18" customHeight="1" x14ac:dyDescent="0.25">
      <c r="B20" s="91" t="s">
        <v>7</v>
      </c>
      <c r="C20" s="88"/>
      <c r="D20" s="88"/>
      <c r="E20" s="88"/>
      <c r="F20" s="88"/>
    </row>
    <row r="21" spans="2:6" ht="8.1" customHeight="1" x14ac:dyDescent="0.25"/>
    <row r="22" spans="2:6" ht="20.100000000000001" customHeight="1" x14ac:dyDescent="0.25">
      <c r="B22" s="90" t="str">
        <f>IFERROR(INDEX(_Lang!$B$2:$D$300,MATCH("ui_tips",_Lang!$A$2:$A$300,0),IF(Config!$D$9="NL",1,IF(Config!$D$9="FR",2,3))),"[ui_tips]")</f>
        <v>TIPS</v>
      </c>
      <c r="C22" s="88"/>
      <c r="D22" s="88"/>
      <c r="E22" s="88"/>
      <c r="F22" s="88"/>
    </row>
    <row r="23" spans="2:6" ht="20.100000000000001" customHeight="1" x14ac:dyDescent="0.25">
      <c r="B23" s="92" t="str">
        <f>IFERROR(INDEX(_Lang!$B$2:$D$300,MATCH("cfg_save_hint",_Lang!$A$2:$A$300,0),IF(Config!$D$9="NL",1,IF(Config!$D$9="FR",2,3))),"[cfg_save_hint]")</f>
        <v>Sla het bestand op na elke wijziging (Ctrl+S).</v>
      </c>
      <c r="C23" s="88"/>
      <c r="D23" s="88"/>
      <c r="E23" s="88"/>
      <c r="F23" s="88"/>
    </row>
    <row r="24" spans="2:6" ht="20.100000000000001" customHeight="1" x14ac:dyDescent="0.25">
      <c r="B24" s="92" t="str">
        <f>IFERROR(INDEX(_Lang!$B$2:$D$300,MATCH("cfg_lang_change_hint",_Lang!$A$2:$A$300,0),IF(Config!$D$9="NL",1,IF(Config!$D$9="FR",2,3))),"[cfg_lang_change_hint]")</f>
        <v>Na taalwijziging: herselect bestaande classificatiewaarden in de gegevensbladen.</v>
      </c>
      <c r="C24" s="88"/>
      <c r="D24" s="88"/>
      <c r="E24" s="88"/>
      <c r="F24" s="88"/>
    </row>
    <row r="25" spans="2:6" ht="9.9499999999999993" customHeight="1" x14ac:dyDescent="0.25"/>
    <row r="26" spans="2:6" ht="20.100000000000001" customHeight="1" x14ac:dyDescent="0.25">
      <c r="B26" s="95" t="str">
        <f>IFERROR(INDEX(_Lang!$B$2:$D$300,MATCH("ui_quicklinks",_Lang!$A$2:$A$300,0),IF(Config!$D$9="NL",1,IF(Config!$D$9="FR",2,3))),"[ui_quicklinks]")</f>
        <v>SNELKOPPELINGEN</v>
      </c>
      <c r="C26" s="88"/>
      <c r="D26" s="88"/>
      <c r="E26" s="88"/>
      <c r="F26" s="88"/>
    </row>
    <row r="27" spans="2:6" ht="20.100000000000001" customHeight="1" x14ac:dyDescent="0.25">
      <c r="B27" s="89" t="str">
        <f>IFERROR(INDEX(_Lang!$B$2:$D$300,MATCH("ui_goto_info",_Lang!$A$2:$A$300,0),IF(Config!$D$9="NL",1,IF(Config!$D$9="FR",2,3))),"[ui_goto_info]")</f>
        <v>→  Informatie</v>
      </c>
      <c r="C27" s="88"/>
      <c r="D27" s="88"/>
      <c r="E27" s="88"/>
      <c r="F27" s="88"/>
    </row>
    <row r="28" spans="2:6" ht="20.100000000000001" customHeight="1" x14ac:dyDescent="0.25">
      <c r="B28" s="89" t="str">
        <f>IFERROR(INDEX(_Lang!$B$2:$D$300,MATCH("ui_goto_proc",_Lang!$A$2:$A$300,0),IF(Config!$D$9="NL",1,IF(Config!$D$9="FR",2,3))),"[ui_goto_proc]")</f>
        <v>→  Processen</v>
      </c>
      <c r="C28" s="88"/>
      <c r="D28" s="88"/>
      <c r="E28" s="88"/>
      <c r="F28" s="88"/>
    </row>
    <row r="29" spans="2:6" ht="20.100000000000001" customHeight="1" x14ac:dyDescent="0.25">
      <c r="B29" s="89" t="str">
        <f>IFERROR(INDEX(_Lang!$B$2:$D$300,MATCH("ui_goto_assets",_Lang!$A$2:$A$300,0),IF(Config!$D$9="NL",1,IF(Config!$D$9="FR",2,3))),"[ui_goto_assets]")</f>
        <v>→  Informatieassets</v>
      </c>
      <c r="C29" s="88"/>
      <c r="D29" s="88"/>
      <c r="E29" s="88"/>
      <c r="F29" s="88"/>
    </row>
    <row r="30" spans="2:6" ht="20.100000000000001" customHeight="1" x14ac:dyDescent="0.25">
      <c r="B30" s="89" t="str">
        <f>IFERROR(INDEX(_Lang!$B$2:$D$300,MATCH("ui_goto_dep",_Lang!$A$2:$A$300,0),IF(Config!$D$9="NL",1,IF(Config!$D$9="FR",2,3))),"[ui_goto_dep]")</f>
        <v>→  Dependent Assets</v>
      </c>
      <c r="C30" s="88"/>
      <c r="D30" s="88"/>
      <c r="E30" s="88"/>
      <c r="F30" s="88"/>
    </row>
    <row r="31" spans="2:6" ht="20.100000000000001" customHeight="1" x14ac:dyDescent="0.25">
      <c r="B31" s="89" t="str">
        <f>IFERROR(INDEX(_Lang!$B$2:$D$300,MATCH("ui_goto_verant",_Lang!$A$2:$A$300,0),IF(Config!$D$9="NL",1,IF(Config!$D$9="FR",2,3))),"[ui_goto_verant]")</f>
        <v>→  Verantwoordelijken</v>
      </c>
      <c r="C31" s="88"/>
      <c r="D31" s="88"/>
      <c r="E31" s="88"/>
      <c r="F31" s="88"/>
    </row>
    <row r="32" spans="2:6" ht="20.100000000000001" customHeight="1" x14ac:dyDescent="0.25">
      <c r="B32" s="89" t="str">
        <f>IFERROR(INDEX(_Lang!$B$2:$D$300,MATCH("ui_goto_import",_Lang!$A$2:$A$300,0),IF(Config!$D$9="NL",1,IF(Config!$D$9="FR",2,3))),"[ui_goto_import]")</f>
        <v>→  Import &amp; Export</v>
      </c>
      <c r="C32" s="88"/>
      <c r="D32" s="88"/>
      <c r="E32" s="88"/>
      <c r="F32" s="88"/>
    </row>
    <row r="33" spans="2:6" ht="20.100000000000001" customHeight="1" x14ac:dyDescent="0.25">
      <c r="B33" s="89" t="str">
        <f>IFERROR(INDEX(_Lang!$B$2:$D$300,MATCH("ui_goto_ref",_Lang!$A$2:$A$300,0),IF(Config!$D$9="NL",1,IF(Config!$D$9="FR",2,3))),"[ui_goto_ref]")</f>
        <v>→  Referentiewaarden</v>
      </c>
      <c r="C33" s="88"/>
      <c r="D33" s="88"/>
      <c r="E33" s="88"/>
      <c r="F33" s="88"/>
    </row>
  </sheetData>
  <mergeCells count="20">
    <mergeCell ref="B33:F33"/>
    <mergeCell ref="A2:G2"/>
    <mergeCell ref="B32:F32"/>
    <mergeCell ref="B26:F26"/>
    <mergeCell ref="A1:G1"/>
    <mergeCell ref="B10:F10"/>
    <mergeCell ref="B28:F28"/>
    <mergeCell ref="B30:F30"/>
    <mergeCell ref="B24:F24"/>
    <mergeCell ref="B20:F20"/>
    <mergeCell ref="B4:F4"/>
    <mergeCell ref="B31:F31"/>
    <mergeCell ref="B22:F22"/>
    <mergeCell ref="B27:F27"/>
    <mergeCell ref="B18:F18"/>
    <mergeCell ref="B11:F11"/>
    <mergeCell ref="B23:F23"/>
    <mergeCell ref="B8:F8"/>
    <mergeCell ref="B13:F13"/>
    <mergeCell ref="B29:F29"/>
  </mergeCells>
  <dataValidations count="2">
    <dataValidation type="list" sqref="D9" xr:uid="{00000000-0002-0000-0000-000000000000}">
      <formula1>"NL,FR,EN"</formula1>
    </dataValidation>
    <dataValidation type="list" sqref="D19" xr:uid="{00000000-0002-0000-0000-000001000000}">
      <formula1>"Basic,Important,Essential"</formula1>
    </dataValidation>
  </dataValidations>
  <hyperlinks>
    <hyperlink ref="B27" location="Info!A1" display="Info!A1" xr:uid="{00000000-0004-0000-0000-000000000000}"/>
    <hyperlink ref="B28" location="Processes!A1" display="Processes!A1" xr:uid="{00000000-0004-0000-0000-000001000000}"/>
    <hyperlink ref="B29" location="Information Assets!A1" display="Information Assets!A1" xr:uid="{00000000-0004-0000-0000-000002000000}"/>
    <hyperlink ref="B30" location="Dependent Assets!A1" display="Dependent Assets!A1" xr:uid="{00000000-0004-0000-0000-000003000000}"/>
    <hyperlink ref="B31" location="Responsible Persons!A1" display="Responsible Persons!A1" xr:uid="{00000000-0004-0000-0000-000004000000}"/>
    <hyperlink ref="B32" location="Import &amp; Export!A1" display="Import &amp; Export!A1" xr:uid="{00000000-0004-0000-0000-000005000000}"/>
    <hyperlink ref="B33"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93" t="str">
        <f>IFERROR(INDEX(_Lang!$B$2:$D$300,MATCH("info_title",_Lang!$A$2:$A$300,0),IF(Config!$D$9="NL",1,IF(Config!$D$9="FR",2,3))),"[info_title]")</f>
        <v>Over dit instrument</v>
      </c>
      <c r="B1" s="88"/>
      <c r="C1" s="88"/>
      <c r="D1" s="88"/>
      <c r="E1" s="88"/>
    </row>
    <row r="2" spans="1:5" ht="21.95" customHeight="1" x14ac:dyDescent="0.25">
      <c r="A2" s="94" t="str">
        <f>IFERROR(INDEX(_Lang!$B$2:$D$300,MATCH("app_tagline",_Lang!$A$2:$A$300,0),IF(Config!$D$9="NL",1,IF(Config!$D$9="FR",2,3))),"[app_tagline]")</f>
        <v>Governance · Risico · Compliance</v>
      </c>
      <c r="B2" s="88"/>
      <c r="C2" s="88"/>
      <c r="D2" s="88"/>
      <c r="E2" s="88"/>
    </row>
    <row r="3" spans="1:5" ht="12" customHeight="1" x14ac:dyDescent="0.25"/>
    <row r="4" spans="1:5" ht="20.100000000000001" customHeight="1" x14ac:dyDescent="0.25">
      <c r="B4" s="87" t="str">
        <f>IFERROR(INDEX(_Lang!$B$2:$D$300,MATCH("info_section_doel",_Lang!$A$2:$A$300,0),IF(Config!$D$9="NL",1,IF(Config!$D$9="FR",2,3))),"[info_section_doel]")</f>
        <v>DOEL</v>
      </c>
      <c r="C4" s="88"/>
      <c r="D4" s="88"/>
      <c r="E4" s="88"/>
    </row>
    <row r="5" spans="1:5" ht="60" customHeight="1" x14ac:dyDescent="0.25">
      <c r="B5" s="98"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88"/>
      <c r="D5" s="88"/>
    </row>
    <row r="6" spans="1:5" ht="8.1" customHeight="1" x14ac:dyDescent="0.25"/>
    <row r="7" spans="1:5" ht="20.100000000000001" customHeight="1" x14ac:dyDescent="0.25">
      <c r="B7" s="87" t="str">
        <f>IFERROR(INDEX(_Lang!$B$2:$D$300,MATCH("info_section_scope",_Lang!$A$2:$A$300,0),IF(Config!$D$9="NL",1,IF(Config!$D$9="FR",2,3))),"[info_section_scope]")</f>
        <v>TOEPASSINGSGEBIED</v>
      </c>
      <c r="C7" s="88"/>
      <c r="D7" s="88"/>
      <c r="E7" s="88"/>
    </row>
    <row r="8" spans="1:5" ht="44.1" customHeight="1" x14ac:dyDescent="0.25">
      <c r="B8" s="98" t="str">
        <f>IFERROR(INDEX(_Lang!$B$2:$D$300,MATCH("info_scope_txt",_Lang!$A$2:$A$300,0),IF(Config!$D$9="NL",1,IF(Config!$D$9="FR",2,3))),"[info_scope_txt]")</f>
        <v>Gericht op Belgische en Nederlandse overheidsdiensten (NIS2, GDPR, ISO 27001:2022, BIO).</v>
      </c>
      <c r="C8" s="88"/>
      <c r="D8" s="88"/>
    </row>
    <row r="9" spans="1:5" ht="8.1" customHeight="1" x14ac:dyDescent="0.25"/>
    <row r="10" spans="1:5" ht="20.100000000000001" customHeight="1" x14ac:dyDescent="0.25">
      <c r="B10" s="87" t="str">
        <f>IFERROR(INDEX(_Lang!$B$2:$D$300,MATCH("info_section_modules",_Lang!$A$2:$A$300,0),IF(Config!$D$9="NL",1,IF(Config!$D$9="FR",2,3))),"[info_section_modules]")</f>
        <v>MODULES IN DEZE VERSIE</v>
      </c>
      <c r="C10" s="88"/>
      <c r="D10" s="88"/>
      <c r="E10" s="88"/>
    </row>
    <row r="11" spans="1:5" ht="27.95" customHeight="1" x14ac:dyDescent="0.25">
      <c r="B11" s="96" t="str">
        <f>IFERROR(INDEX(_Lang!$B$2:$D$300,MATCH("info_mod_proc",_Lang!$A$2:$A$300,0),IF(Config!$D$9="NL",1,IF(Config!$D$9="FR",2,3))),"[info_mod_proc]")</f>
        <v>Processen — Classificeer bedrijfsprocessen op I · B · C.</v>
      </c>
      <c r="C11" s="88"/>
      <c r="D11" s="88"/>
    </row>
    <row r="12" spans="1:5" ht="27.95" customHeight="1" x14ac:dyDescent="0.25">
      <c r="B12" s="96" t="str">
        <f>IFERROR(INDEX(_Lang!$B$2:$D$300,MATCH("info_mod_assets",_Lang!$A$2:$A$300,0),IF(Config!$D$9="NL",1,IF(Config!$D$9="FR",2,3))),"[info_mod_assets]")</f>
        <v>Informatieassets — Classificeer informatieactiva op I · B · C.</v>
      </c>
      <c r="C12" s="88"/>
      <c r="D12" s="88"/>
    </row>
    <row r="13" spans="1:5" ht="27.95" customHeight="1" x14ac:dyDescent="0.25">
      <c r="B13" s="96" t="str">
        <f>IFERROR(INDEX(_Lang!$B$2:$D$300,MATCH("info_mod_verant",_Lang!$A$2:$A$300,0),IF(Config!$D$9="NL",1,IF(Config!$D$9="FR",2,3))),"[info_mod_verant]")</f>
        <v>Verantwoordelijken — Contactregister van GRC-verantwoordelijken.</v>
      </c>
      <c r="C13" s="88"/>
      <c r="D13" s="88"/>
    </row>
    <row r="14" spans="1:5" ht="27.95" customHeight="1" x14ac:dyDescent="0.25">
      <c r="B14" s="96" t="str">
        <f>IFERROR(INDEX(_Lang!$B$2:$D$300,MATCH("info_mod_import",_Lang!$A$2:$A$300,0),IF(Config!$D$9="NL",1,IF(Config!$D$9="FR",2,3))),"[info_mod_import]")</f>
        <v>Import &amp; Export — Macro's om gegevens te importeren uit externe bestanden.</v>
      </c>
      <c r="C14" s="88"/>
      <c r="D14" s="88"/>
    </row>
    <row r="15" spans="1:5" ht="8.1" customHeight="1" x14ac:dyDescent="0.25"/>
    <row r="16" spans="1:5" ht="20.100000000000001" customHeight="1" x14ac:dyDescent="0.25">
      <c r="B16" s="87" t="str">
        <f>IFERROR(INDEX(_Lang!$B$2:$D$300,MATCH("info_section_guide",_Lang!$A$2:$A$300,0),IF(Config!$D$9="NL",1,IF(Config!$D$9="FR",2,3))),"[info_section_guide]")</f>
        <v>HOE GEBRUIKEN</v>
      </c>
      <c r="C16" s="88"/>
      <c r="D16" s="88"/>
      <c r="E16" s="88"/>
    </row>
    <row r="17" spans="2:5" ht="27.95" customHeight="1" x14ac:dyDescent="0.25">
      <c r="B17" s="99" t="str">
        <f>IFERROR(INDEX(_Lang!$B$2:$D$300,MATCH("info_guide_1",_Lang!$A$2:$A$300,0),IF(Config!$D$9="NL",1,IF(Config!$D$9="FR",2,3))),"[info_guide_1]")</f>
        <v>1. Configuratie: vul de naam van de instelling in en kies de taal (NL / FR / EN).</v>
      </c>
      <c r="C17" s="88"/>
      <c r="D17" s="88"/>
    </row>
    <row r="18" spans="2:5" ht="27.95" customHeight="1" x14ac:dyDescent="0.25">
      <c r="B18" s="99" t="str">
        <f>IFERROR(INDEX(_Lang!$B$2:$D$300,MATCH("info_guide_2",_Lang!$A$2:$A$300,0),IF(Config!$D$9="NL",1,IF(Config!$D$9="FR",2,3))),"[info_guide_2]")</f>
        <v>2. Referentiewaarden: raadpleeg de definitie van elk classificatieniveau (1–5).</v>
      </c>
      <c r="C18" s="88"/>
      <c r="D18" s="88"/>
    </row>
    <row r="19" spans="2:5" ht="27.95" customHeight="1" x14ac:dyDescent="0.25">
      <c r="B19" s="99" t="str">
        <f>IFERROR(INDEX(_Lang!$B$2:$D$300,MATCH("info_guide_3",_Lang!$A$2:$A$300,0),IF(Config!$D$9="NL",1,IF(Config!$D$9="FR",2,3))),"[info_guide_3]")</f>
        <v>3. Processen &amp; Informatieassets: vul de gegevens in. Kies niveau 1–5 per dimensie.</v>
      </c>
      <c r="C19" s="88"/>
      <c r="D19" s="88"/>
    </row>
    <row r="20" spans="2:5" ht="27.95" customHeight="1" x14ac:dyDescent="0.25">
      <c r="B20" s="99" t="str">
        <f>IFERROR(INDEX(_Lang!$B$2:$D$300,MATCH("info_guide_4",_Lang!$A$2:$A$300,0),IF(Config!$D$9="NL",1,IF(Config!$D$9="FR",2,3))),"[info_guide_4]")</f>
        <v>4. Import &amp; Export: gebruik de macro's om gegevens in bulk te importeren.</v>
      </c>
      <c r="C20" s="88"/>
      <c r="D20" s="88"/>
    </row>
    <row r="21" spans="2:5" ht="8.1" customHeight="1" x14ac:dyDescent="0.25"/>
    <row r="22" spans="2:5" ht="20.100000000000001" customHeight="1" x14ac:dyDescent="0.25">
      <c r="B22" s="87" t="str">
        <f>IFERROR(INDEX(_Lang!$B$2:$D$300,MATCH("info_section_version",_Lang!$A$2:$A$300,0),IF(Config!$D$9="NL",1,IF(Config!$D$9="FR",2,3))),"[info_section_version]")</f>
        <v>VERSIE-INFORMATIE</v>
      </c>
      <c r="C22" s="88"/>
      <c r="D22" s="88"/>
      <c r="E22" s="88"/>
    </row>
    <row r="23" spans="2:5" ht="21.95" customHeight="1" x14ac:dyDescent="0.25">
      <c r="B23" s="97" t="str">
        <f>IFERROR(INDEX(_Lang!$B$2:$D$300,MATCH("info_v_tool",_Lang!$A$2:$A$300,0),IF(Config!$D$9="NL",1,IF(Config!$D$9="FR",2,3))),"[info_v_tool]")</f>
        <v>GRC Tool v0.3</v>
      </c>
      <c r="C23" s="88"/>
      <c r="D23" s="88"/>
    </row>
    <row r="24" spans="2:5" ht="21.95" customHeight="1" x14ac:dyDescent="0.25">
      <c r="B24" s="97" t="str">
        <f>IFERROR(INDEX(_Lang!$B$2:$D$300,MATCH("info_v_status",_Lang!$A$2:$A$300,0),IF(Config!$D$9="NL",1,IF(Config!$D$9="FR",2,3))),"[info_v_status]")</f>
        <v>Status: Prototype / Fase 3</v>
      </c>
      <c r="C24" s="88"/>
      <c r="D24" s="88"/>
    </row>
    <row r="25" spans="2:5" ht="21.95" customHeight="1" x14ac:dyDescent="0.25">
      <c r="B25" s="97" t="str">
        <f>IFERROR(INDEX(_Lang!$B$2:$D$300,MATCH("info_v_frameworks",_Lang!$A$2:$A$300,0),IF(Config!$D$9="NL",1,IF(Config!$D$9="FR",2,3))),"[info_v_frameworks]")</f>
        <v>Kaders: ISO 27001:2022 · NIS2 · GDPR · BIO</v>
      </c>
      <c r="C25" s="88"/>
      <c r="D25" s="88"/>
    </row>
    <row r="26" spans="2:5" ht="9.9499999999999993" customHeight="1" x14ac:dyDescent="0.25"/>
    <row r="27" spans="2:5" ht="20.100000000000001" customHeight="1" x14ac:dyDescent="0.25">
      <c r="B27" s="95" t="str">
        <f>IFERROR(INDEX(_Lang!$B$2:$D$300,MATCH("ui_quicklinks",_Lang!$A$2:$A$300,0),IF(Config!$D$9="NL",1,IF(Config!$D$9="FR",2,3))),"[ui_quicklinks]")</f>
        <v>SNELKOPPELINGEN</v>
      </c>
      <c r="C27" s="88"/>
      <c r="D27" s="88"/>
      <c r="E27" s="88"/>
    </row>
    <row r="28" spans="2:5" ht="20.100000000000001" customHeight="1" x14ac:dyDescent="0.25">
      <c r="B28" s="89" t="str">
        <f>IFERROR(INDEX(_Lang!$B$2:$D$300,MATCH("ui_goto_config",_Lang!$A$2:$A$300,0),IF(Config!$D$9="NL",1,IF(Config!$D$9="FR",2,3))),"[ui_goto_config]")</f>
        <v>→  Configuratie</v>
      </c>
      <c r="C28" s="88"/>
      <c r="D28" s="88"/>
      <c r="E28" s="88"/>
    </row>
    <row r="29" spans="2:5" ht="20.100000000000001" customHeight="1" x14ac:dyDescent="0.25">
      <c r="B29" s="89" t="str">
        <f>IFERROR(INDEX(_Lang!$B$2:$D$300,MATCH("ui_goto_proc",_Lang!$A$2:$A$300,0),IF(Config!$D$9="NL",1,IF(Config!$D$9="FR",2,3))),"[ui_goto_proc]")</f>
        <v>→  Processen</v>
      </c>
      <c r="C29" s="88"/>
      <c r="D29" s="88"/>
      <c r="E29" s="88"/>
    </row>
    <row r="30" spans="2:5" ht="20.100000000000001" customHeight="1" x14ac:dyDescent="0.25">
      <c r="B30" s="89" t="str">
        <f>IFERROR(INDEX(_Lang!$B$2:$D$300,MATCH("ui_goto_assets",_Lang!$A$2:$A$300,0),IF(Config!$D$9="NL",1,IF(Config!$D$9="FR",2,3))),"[ui_goto_assets]")</f>
        <v>→  Informatieassets</v>
      </c>
      <c r="C30" s="88"/>
      <c r="D30" s="88"/>
      <c r="E30" s="88"/>
    </row>
    <row r="31" spans="2:5" ht="20.100000000000001" customHeight="1" x14ac:dyDescent="0.25">
      <c r="B31" s="89" t="str">
        <f>IFERROR(INDEX(_Lang!$B$2:$D$300,MATCH("ui_goto_dep",_Lang!$A$2:$A$300,0),IF(Config!$D$9="NL",1,IF(Config!$D$9="FR",2,3))),"[ui_goto_dep]")</f>
        <v>→  Dependent Assets</v>
      </c>
      <c r="C31" s="88"/>
      <c r="D31" s="88"/>
      <c r="E31" s="88"/>
    </row>
    <row r="32" spans="2:5" ht="20.100000000000001" customHeight="1" x14ac:dyDescent="0.25">
      <c r="B32" s="89" t="str">
        <f>IFERROR(INDEX(_Lang!$B$2:$D$300,MATCH("ui_goto_verant",_Lang!$A$2:$A$300,0),IF(Config!$D$9="NL",1,IF(Config!$D$9="FR",2,3))),"[ui_goto_verant]")</f>
        <v>→  Verantwoordelijken</v>
      </c>
      <c r="C32" s="88"/>
      <c r="D32" s="88"/>
      <c r="E32" s="88"/>
    </row>
    <row r="33" spans="2:5" ht="20.100000000000001" customHeight="1" x14ac:dyDescent="0.25">
      <c r="B33" s="89" t="str">
        <f>IFERROR(INDEX(_Lang!$B$2:$D$300,MATCH("ui_goto_import",_Lang!$A$2:$A$300,0),IF(Config!$D$9="NL",1,IF(Config!$D$9="FR",2,3))),"[ui_goto_import]")</f>
        <v>→  Import &amp; Export</v>
      </c>
      <c r="C33" s="88"/>
      <c r="D33" s="88"/>
      <c r="E33" s="88"/>
    </row>
    <row r="34" spans="2:5" ht="20.100000000000001" customHeight="1" x14ac:dyDescent="0.25">
      <c r="B34" s="89" t="str">
        <f>IFERROR(INDEX(_Lang!$B$2:$D$300,MATCH("ui_goto_ref",_Lang!$A$2:$A$300,0),IF(Config!$D$9="NL",1,IF(Config!$D$9="FR",2,3))),"[ui_goto_ref]")</f>
        <v>→  Referentiewaarden</v>
      </c>
      <c r="C34" s="88"/>
      <c r="D34" s="88"/>
      <c r="E34" s="88"/>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93" t="str">
        <f>IFERROR(INDEX(_Lang!$B$2:$D$300,MATCH("proc_title",_Lang!$A$2:$A$300,0),IF(Config!$D$9="NL",1,IF(Config!$D$9="FR",2,3))),"[proc_title]")</f>
        <v>Processen</v>
      </c>
      <c r="B1" s="88"/>
      <c r="C1" s="88"/>
      <c r="D1" s="88"/>
      <c r="E1" s="88"/>
      <c r="F1" s="88"/>
      <c r="G1" s="88"/>
      <c r="H1" s="88"/>
      <c r="I1" s="88"/>
      <c r="J1" s="88"/>
      <c r="K1" s="88"/>
      <c r="L1" s="88"/>
    </row>
    <row r="2" spans="1:12" ht="21.95" customHeight="1" x14ac:dyDescent="0.25">
      <c r="A2" s="94" t="str">
        <f>IFERROR(INDEX(_Lang!$B$2:$D$300,MATCH("app_tagline",_Lang!$A$2:$A$300,0),IF(Config!$D$9="NL",1,IF(Config!$D$9="FR",2,3))),"[app_tagline]")</f>
        <v>Governance · Risico · Compliance</v>
      </c>
      <c r="B2" s="88"/>
      <c r="C2" s="88"/>
      <c r="D2" s="88"/>
      <c r="E2" s="88"/>
      <c r="F2" s="88"/>
      <c r="G2" s="88"/>
      <c r="H2" s="88"/>
      <c r="I2" s="88"/>
      <c r="J2" s="88"/>
      <c r="K2" s="88"/>
      <c r="L2" s="88"/>
    </row>
    <row r="3" spans="1:12" ht="21.95" customHeight="1" x14ac:dyDescent="0.25">
      <c r="A3" s="101" t="str">
        <f>IFERROR(INDEX(_Lang!$B$2:$D$300,MATCH("proc_subtitle",_Lang!$A$2:$A$300,0),IF(Config!$D$9="NL",1,IF(Config!$D$9="FR",2,3))),"[proc_subtitle]")</f>
        <v>Voer de bedrijfsprocessen in en ken de veiligheidclassificatie toe (1 = Laag … 5 = Kritiek).</v>
      </c>
      <c r="B3" s="88"/>
      <c r="C3" s="88"/>
      <c r="D3" s="88"/>
      <c r="E3" s="88"/>
      <c r="F3" s="88"/>
      <c r="G3" s="88"/>
      <c r="H3" s="88"/>
      <c r="I3" s="88"/>
      <c r="J3" s="88"/>
      <c r="K3" s="88"/>
      <c r="L3" s="88"/>
    </row>
    <row r="4" spans="1:12" ht="8.1" customHeight="1" x14ac:dyDescent="0.25"/>
    <row r="5" spans="1:12" ht="44.1" customHeight="1" x14ac:dyDescent="0.25">
      <c r="A5" s="6" t="str">
        <f>IFERROR(INDEX(_Lang!$B$2:$D$300,MATCH("proc_col_id",_Lang!$A$2:$A$300,0),IF(Config!$D$9="NL",1,IF(Config!$D$9="FR",2,3))),"[proc_col_id]")</f>
        <v>ID</v>
      </c>
      <c r="B5" s="6" t="str">
        <f>IFERROR(INDEX(_Lang!$B$2:$D$300,MATCH("proc_col_naam",_Lang!$A$2:$A$300,0),IF(Config!$D$9="NL",1,IF(Config!$D$9="FR",2,3))),"[proc_col_naam]")</f>
        <v>Naam</v>
      </c>
      <c r="C5" s="6" t="str">
        <f>IFERROR(INDEX(_Lang!$B$2:$D$300,MATCH("proc_col_omschrijving",_Lang!$A$2:$A$300,0),IF(Config!$D$9="NL",1,IF(Config!$D$9="FR",2,3))),"[proc_col_omschrijving]")</f>
        <v>Omschrijving</v>
      </c>
      <c r="D5" s="6" t="str">
        <f>IFERROR(INDEX(_Lang!$B$2:$D$300,MATCH("proc_col_eigenaar",_Lang!$A$2:$A$300,0),IF(Config!$D$9="NL",1,IF(Config!$D$9="FR",2,3))),"[proc_col_eigenaar]")</f>
        <v>Proceseigenaar</v>
      </c>
      <c r="E5" s="6" t="str">
        <f>IFERROR(INDEX(_Lang!$B$2:$D$300,MATCH("proc_col_dienst",_Lang!$A$2:$A$300,0),IF(Config!$D$9="NL",1,IF(Config!$D$9="FR",2,3))),"[proc_col_dienst]")</f>
        <v>Dienst / Entiteit</v>
      </c>
      <c r="F5" s="100" t="str">
        <f>IFERROR(INDEX(_Lang!$B$2:$D$300,MATCH("proc_col_integriteit",_Lang!$A$2:$A$300,0),IF(Config!$D$9="NL",1,IF(Config!$D$9="FR",2,3))),"[proc_col_integriteit]")</f>
        <v>Integriteit</v>
      </c>
      <c r="G5" s="88"/>
      <c r="H5" s="100" t="str">
        <f>IFERROR(INDEX(_Lang!$B$2:$D$300,MATCH("proc_col_beschikbaar",_Lang!$A$2:$A$300,0),IF(Config!$D$9="NL",1,IF(Config!$D$9="FR",2,3))),"[proc_col_beschikbaar]")</f>
        <v>Beschikbaarheid</v>
      </c>
      <c r="I5" s="88"/>
      <c r="J5" s="6" t="str">
        <f>IFERROR(INDEX(_Lang!$B$2:$D$300,MATCH("proc_col_opmerkingen",_Lang!$A$2:$A$300,0),IF(Config!$D$9="NL",1,IF(Config!$D$9="FR",2,3))),"[proc_col_opmerkingen]")</f>
        <v>Opmerkingen</v>
      </c>
      <c r="K5" s="6" t="str">
        <f>IFERROR(INDEX(_Lang!$B$2:$D$300,MATCH("proc_col_assets",_Lang!$A$2:$A$300,0),IF(Config!$D$9="NL",1,IF(Config!$D$9="FR",2,3))),"[proc_col_assets]")</f>
        <v>Informatieassets</v>
      </c>
      <c r="L5" s="6" t="str">
        <f>IFERROR(INDEX(_Lang!$B$2:$D$300,MATCH("proc_col_dep_assets",_Lang!$A$2:$A$300,0),IF(Config!$D$9="NL",1,IF(Config!$D$9="FR",2,3))),"[proc_col_dep_assets]")</f>
        <v>Afhankelijke assets</v>
      </c>
    </row>
    <row r="6" spans="1:12" ht="24" customHeight="1" x14ac:dyDescent="0.25">
      <c r="A6" s="7" t="str">
        <f>IF(B6="","",TEXT(1,"P000"))</f>
        <v/>
      </c>
      <c r="B6" s="8"/>
      <c r="C6" s="8"/>
      <c r="D6" s="8"/>
      <c r="E6" s="8"/>
      <c r="F6" s="9"/>
      <c r="G6" s="10" t="str">
        <f>IF(F6="","",IFERROR(INDEX('Reference Values'!$B$8:$B$12,F6),"?"))</f>
        <v/>
      </c>
      <c r="H6" s="9"/>
      <c r="I6" s="10" t="str">
        <f>IF(H6="","",IFERROR(INDEX('Reference Values'!$B$8:$B$12,H6),"?"))</f>
        <v/>
      </c>
      <c r="J6" s="8"/>
      <c r="K6" s="8"/>
      <c r="L6" s="8"/>
    </row>
    <row r="7" spans="1:12" ht="24" customHeight="1" x14ac:dyDescent="0.25">
      <c r="A7" s="11" t="str">
        <f>IF(B7="","",TEXT(2,"P000"))</f>
        <v/>
      </c>
      <c r="B7" s="12"/>
      <c r="C7" s="12"/>
      <c r="D7" s="12"/>
      <c r="E7" s="12"/>
      <c r="F7" s="13"/>
      <c r="G7" s="10" t="str">
        <f>IF(F7="","",IFERROR(INDEX('Reference Values'!$B$8:$B$12,F7),"?"))</f>
        <v/>
      </c>
      <c r="H7" s="13"/>
      <c r="I7" s="10" t="str">
        <f>IF(H7="","",IFERROR(INDEX('Reference Values'!$B$8:$B$12,H7),"?"))</f>
        <v/>
      </c>
      <c r="J7" s="12"/>
      <c r="K7" s="12"/>
      <c r="L7" s="12"/>
    </row>
    <row r="8" spans="1:12" ht="24" customHeight="1" x14ac:dyDescent="0.25">
      <c r="A8" s="7" t="str">
        <f>IF(B8="","",TEXT(3,"P000"))</f>
        <v/>
      </c>
      <c r="B8" s="8"/>
      <c r="C8" s="8"/>
      <c r="D8" s="8"/>
      <c r="E8" s="8"/>
      <c r="F8" s="9"/>
      <c r="G8" s="10" t="str">
        <f>IF(F8="","",IFERROR(INDEX('Reference Values'!$B$8:$B$12,F8),"?"))</f>
        <v/>
      </c>
      <c r="H8" s="9"/>
      <c r="I8" s="10" t="str">
        <f>IF(H8="","",IFERROR(INDEX('Reference Values'!$B$8:$B$12,H8),"?"))</f>
        <v/>
      </c>
      <c r="J8" s="8"/>
      <c r="K8" s="8"/>
      <c r="L8" s="8"/>
    </row>
    <row r="9" spans="1:12" ht="24" customHeight="1" x14ac:dyDescent="0.25">
      <c r="A9" s="11" t="str">
        <f>IF(B9="","",TEXT(4,"P000"))</f>
        <v/>
      </c>
      <c r="B9" s="12"/>
      <c r="C9" s="12"/>
      <c r="D9" s="12"/>
      <c r="E9" s="12"/>
      <c r="F9" s="13"/>
      <c r="G9" s="10" t="str">
        <f>IF(F9="","",IFERROR(INDEX('Reference Values'!$B$8:$B$12,F9),"?"))</f>
        <v/>
      </c>
      <c r="H9" s="13"/>
      <c r="I9" s="10" t="str">
        <f>IF(H9="","",IFERROR(INDEX('Reference Values'!$B$8:$B$12,H9),"?"))</f>
        <v/>
      </c>
      <c r="J9" s="12"/>
      <c r="K9" s="12"/>
      <c r="L9" s="12"/>
    </row>
    <row r="10" spans="1:12" ht="24" customHeight="1" x14ac:dyDescent="0.25">
      <c r="A10" s="7" t="str">
        <f>IF(B10="","",TEXT(5,"P000"))</f>
        <v/>
      </c>
      <c r="B10" s="8"/>
      <c r="C10" s="8"/>
      <c r="D10" s="8"/>
      <c r="E10" s="8"/>
      <c r="F10" s="9"/>
      <c r="G10" s="10" t="str">
        <f>IF(F10="","",IFERROR(INDEX('Reference Values'!$B$8:$B$12,F10),"?"))</f>
        <v/>
      </c>
      <c r="H10" s="9"/>
      <c r="I10" s="10" t="str">
        <f>IF(H10="","",IFERROR(INDEX('Reference Values'!$B$8:$B$12,H10),"?"))</f>
        <v/>
      </c>
      <c r="J10" s="8"/>
      <c r="K10" s="8"/>
      <c r="L10" s="8"/>
    </row>
    <row r="11" spans="1:12" ht="24" customHeight="1" x14ac:dyDescent="0.25">
      <c r="A11" s="11" t="str">
        <f>IF(B11="","",TEXT(6,"P000"))</f>
        <v/>
      </c>
      <c r="B11" s="12"/>
      <c r="C11" s="12"/>
      <c r="D11" s="12"/>
      <c r="E11" s="12"/>
      <c r="F11" s="13"/>
      <c r="G11" s="10" t="str">
        <f>IF(F11="","",IFERROR(INDEX('Reference Values'!$B$8:$B$12,F11),"?"))</f>
        <v/>
      </c>
      <c r="H11" s="13"/>
      <c r="I11" s="10" t="str">
        <f>IF(H11="","",IFERROR(INDEX('Reference Values'!$B$8:$B$12,H11),"?"))</f>
        <v/>
      </c>
      <c r="J11" s="12"/>
      <c r="K11" s="12"/>
      <c r="L11" s="12"/>
    </row>
    <row r="12" spans="1:12" ht="24" customHeight="1" x14ac:dyDescent="0.25">
      <c r="A12" s="7" t="str">
        <f>IF(B12="","",TEXT(7,"P000"))</f>
        <v/>
      </c>
      <c r="B12" s="8"/>
      <c r="C12" s="8"/>
      <c r="D12" s="8"/>
      <c r="E12" s="8"/>
      <c r="F12" s="9"/>
      <c r="G12" s="10" t="str">
        <f>IF(F12="","",IFERROR(INDEX('Reference Values'!$B$8:$B$12,F12),"?"))</f>
        <v/>
      </c>
      <c r="H12" s="9"/>
      <c r="I12" s="10" t="str">
        <f>IF(H12="","",IFERROR(INDEX('Reference Values'!$B$8:$B$12,H12),"?"))</f>
        <v/>
      </c>
      <c r="J12" s="8"/>
      <c r="K12" s="8"/>
      <c r="L12" s="8"/>
    </row>
    <row r="13" spans="1:12" ht="24" customHeight="1" x14ac:dyDescent="0.25">
      <c r="A13" s="11" t="str">
        <f>IF(B13="","",TEXT(8,"P000"))</f>
        <v/>
      </c>
      <c r="B13" s="12"/>
      <c r="C13" s="12"/>
      <c r="D13" s="12"/>
      <c r="E13" s="12"/>
      <c r="F13" s="13"/>
      <c r="G13" s="10" t="str">
        <f>IF(F13="","",IFERROR(INDEX('Reference Values'!$B$8:$B$12,F13),"?"))</f>
        <v/>
      </c>
      <c r="H13" s="13"/>
      <c r="I13" s="10" t="str">
        <f>IF(H13="","",IFERROR(INDEX('Reference Values'!$B$8:$B$12,H13),"?"))</f>
        <v/>
      </c>
      <c r="J13" s="12"/>
      <c r="K13" s="12"/>
      <c r="L13" s="12"/>
    </row>
    <row r="14" spans="1:12" ht="24" customHeight="1" x14ac:dyDescent="0.25">
      <c r="A14" s="7" t="str">
        <f>IF(B14="","",TEXT(9,"P000"))</f>
        <v/>
      </c>
      <c r="B14" s="8"/>
      <c r="C14" s="8"/>
      <c r="D14" s="8"/>
      <c r="E14" s="8"/>
      <c r="F14" s="9"/>
      <c r="G14" s="10" t="str">
        <f>IF(F14="","",IFERROR(INDEX('Reference Values'!$B$8:$B$12,F14),"?"))</f>
        <v/>
      </c>
      <c r="H14" s="9"/>
      <c r="I14" s="10" t="str">
        <f>IF(H14="","",IFERROR(INDEX('Reference Values'!$B$8:$B$12,H14),"?"))</f>
        <v/>
      </c>
      <c r="J14" s="8"/>
      <c r="K14" s="8"/>
      <c r="L14" s="8"/>
    </row>
    <row r="15" spans="1:12" ht="24" customHeight="1" x14ac:dyDescent="0.25">
      <c r="A15" s="11" t="str">
        <f>IF(B15="","",TEXT(10,"P000"))</f>
        <v/>
      </c>
      <c r="B15" s="12"/>
      <c r="C15" s="12"/>
      <c r="D15" s="12"/>
      <c r="E15" s="12"/>
      <c r="F15" s="13"/>
      <c r="G15" s="10" t="str">
        <f>IF(F15="","",IFERROR(INDEX('Reference Values'!$B$8:$B$12,F15),"?"))</f>
        <v/>
      </c>
      <c r="H15" s="13"/>
      <c r="I15" s="10" t="str">
        <f>IF(H15="","",IFERROR(INDEX('Reference Values'!$B$8:$B$12,H15),"?"))</f>
        <v/>
      </c>
      <c r="J15" s="12"/>
      <c r="K15" s="12"/>
      <c r="L15" s="12"/>
    </row>
    <row r="16" spans="1:12" ht="24" customHeight="1" x14ac:dyDescent="0.25">
      <c r="A16" s="7" t="str">
        <f>IF(B16="","",TEXT(11,"P000"))</f>
        <v/>
      </c>
      <c r="B16" s="8"/>
      <c r="C16" s="8"/>
      <c r="D16" s="8"/>
      <c r="E16" s="8"/>
      <c r="F16" s="9"/>
      <c r="G16" s="10" t="str">
        <f>IF(F16="","",IFERROR(INDEX('Reference Values'!$B$8:$B$12,F16),"?"))</f>
        <v/>
      </c>
      <c r="H16" s="9"/>
      <c r="I16" s="10" t="str">
        <f>IF(H16="","",IFERROR(INDEX('Reference Values'!$B$8:$B$12,H16),"?"))</f>
        <v/>
      </c>
      <c r="J16" s="8"/>
      <c r="K16" s="8"/>
      <c r="L16" s="8"/>
    </row>
    <row r="17" spans="1:12" ht="24" customHeight="1" x14ac:dyDescent="0.25">
      <c r="A17" s="11" t="str">
        <f>IF(B17="","",TEXT(12,"P000"))</f>
        <v/>
      </c>
      <c r="B17" s="12"/>
      <c r="C17" s="12"/>
      <c r="D17" s="12"/>
      <c r="E17" s="12"/>
      <c r="F17" s="13"/>
      <c r="G17" s="10" t="str">
        <f>IF(F17="","",IFERROR(INDEX('Reference Values'!$B$8:$B$12,F17),"?"))</f>
        <v/>
      </c>
      <c r="H17" s="13"/>
      <c r="I17" s="10" t="str">
        <f>IF(H17="","",IFERROR(INDEX('Reference Values'!$B$8:$B$12,H17),"?"))</f>
        <v/>
      </c>
      <c r="J17" s="12"/>
      <c r="K17" s="12"/>
      <c r="L17" s="12"/>
    </row>
    <row r="18" spans="1:12" ht="24" customHeight="1" x14ac:dyDescent="0.25">
      <c r="A18" s="7" t="str">
        <f>IF(B18="","",TEXT(13,"P000"))</f>
        <v/>
      </c>
      <c r="B18" s="8"/>
      <c r="C18" s="8"/>
      <c r="D18" s="8"/>
      <c r="E18" s="8"/>
      <c r="F18" s="9"/>
      <c r="G18" s="10" t="str">
        <f>IF(F18="","",IFERROR(INDEX('Reference Values'!$B$8:$B$12,F18),"?"))</f>
        <v/>
      </c>
      <c r="H18" s="9"/>
      <c r="I18" s="10" t="str">
        <f>IF(H18="","",IFERROR(INDEX('Reference Values'!$B$8:$B$12,H18),"?"))</f>
        <v/>
      </c>
      <c r="J18" s="8"/>
      <c r="K18" s="8"/>
      <c r="L18" s="8"/>
    </row>
    <row r="19" spans="1:12" ht="24" customHeight="1" x14ac:dyDescent="0.25">
      <c r="A19" s="11" t="str">
        <f>IF(B19="","",TEXT(14,"P000"))</f>
        <v/>
      </c>
      <c r="B19" s="12"/>
      <c r="C19" s="12"/>
      <c r="D19" s="12"/>
      <c r="E19" s="12"/>
      <c r="F19" s="13"/>
      <c r="G19" s="10" t="str">
        <f>IF(F19="","",IFERROR(INDEX('Reference Values'!$B$8:$B$12,F19),"?"))</f>
        <v/>
      </c>
      <c r="H19" s="13"/>
      <c r="I19" s="10" t="str">
        <f>IF(H19="","",IFERROR(INDEX('Reference Values'!$B$8:$B$12,H19),"?"))</f>
        <v/>
      </c>
      <c r="J19" s="12"/>
      <c r="K19" s="12"/>
      <c r="L19" s="12"/>
    </row>
    <row r="20" spans="1:12" ht="24" customHeight="1" x14ac:dyDescent="0.25">
      <c r="A20" s="7" t="str">
        <f>IF(B20="","",TEXT(15,"P000"))</f>
        <v/>
      </c>
      <c r="B20" s="8"/>
      <c r="C20" s="8"/>
      <c r="D20" s="8"/>
      <c r="E20" s="8"/>
      <c r="F20" s="9"/>
      <c r="G20" s="10" t="str">
        <f>IF(F20="","",IFERROR(INDEX('Reference Values'!$B$8:$B$12,F20),"?"))</f>
        <v/>
      </c>
      <c r="H20" s="9"/>
      <c r="I20" s="10" t="str">
        <f>IF(H20="","",IFERROR(INDEX('Reference Values'!$B$8:$B$12,H20),"?"))</f>
        <v/>
      </c>
      <c r="J20" s="8"/>
      <c r="K20" s="8"/>
      <c r="L20" s="8"/>
    </row>
    <row r="21" spans="1:12" ht="24" customHeight="1" x14ac:dyDescent="0.25">
      <c r="A21" s="11" t="str">
        <f>IF(B21="","",TEXT(16,"P000"))</f>
        <v/>
      </c>
      <c r="B21" s="12"/>
      <c r="C21" s="12"/>
      <c r="D21" s="12"/>
      <c r="E21" s="12"/>
      <c r="F21" s="13"/>
      <c r="G21" s="10" t="str">
        <f>IF(F21="","",IFERROR(INDEX('Reference Values'!$B$8:$B$12,F21),"?"))</f>
        <v/>
      </c>
      <c r="H21" s="13"/>
      <c r="I21" s="10" t="str">
        <f>IF(H21="","",IFERROR(INDEX('Reference Values'!$B$8:$B$12,H21),"?"))</f>
        <v/>
      </c>
      <c r="J21" s="12"/>
      <c r="K21" s="12"/>
      <c r="L21" s="12"/>
    </row>
    <row r="22" spans="1:12" ht="24" customHeight="1" x14ac:dyDescent="0.25">
      <c r="A22" s="7" t="str">
        <f>IF(B22="","",TEXT(17,"P000"))</f>
        <v/>
      </c>
      <c r="B22" s="8"/>
      <c r="C22" s="8"/>
      <c r="D22" s="8"/>
      <c r="E22" s="8"/>
      <c r="F22" s="9"/>
      <c r="G22" s="10" t="str">
        <f>IF(F22="","",IFERROR(INDEX('Reference Values'!$B$8:$B$12,F22),"?"))</f>
        <v/>
      </c>
      <c r="H22" s="9"/>
      <c r="I22" s="10" t="str">
        <f>IF(H22="","",IFERROR(INDEX('Reference Values'!$B$8:$B$12,H22),"?"))</f>
        <v/>
      </c>
      <c r="J22" s="8"/>
      <c r="K22" s="8"/>
      <c r="L22" s="8"/>
    </row>
    <row r="23" spans="1:12" ht="24" customHeight="1" x14ac:dyDescent="0.25">
      <c r="A23" s="11" t="str">
        <f>IF(B23="","",TEXT(18,"P000"))</f>
        <v/>
      </c>
      <c r="B23" s="12"/>
      <c r="C23" s="12"/>
      <c r="D23" s="12"/>
      <c r="E23" s="12"/>
      <c r="F23" s="13"/>
      <c r="G23" s="10" t="str">
        <f>IF(F23="","",IFERROR(INDEX('Reference Values'!$B$8:$B$12,F23),"?"))</f>
        <v/>
      </c>
      <c r="H23" s="13"/>
      <c r="I23" s="10" t="str">
        <f>IF(H23="","",IFERROR(INDEX('Reference Values'!$B$8:$B$12,H23),"?"))</f>
        <v/>
      </c>
      <c r="J23" s="12"/>
      <c r="K23" s="12"/>
      <c r="L23" s="12"/>
    </row>
    <row r="24" spans="1:12" ht="24" customHeight="1" x14ac:dyDescent="0.25">
      <c r="A24" s="7" t="str">
        <f>IF(B24="","",TEXT(19,"P000"))</f>
        <v/>
      </c>
      <c r="B24" s="8"/>
      <c r="C24" s="8"/>
      <c r="D24" s="8"/>
      <c r="E24" s="8"/>
      <c r="F24" s="9"/>
      <c r="G24" s="10" t="str">
        <f>IF(F24="","",IFERROR(INDEX('Reference Values'!$B$8:$B$12,F24),"?"))</f>
        <v/>
      </c>
      <c r="H24" s="9"/>
      <c r="I24" s="10" t="str">
        <f>IF(H24="","",IFERROR(INDEX('Reference Values'!$B$8:$B$12,H24),"?"))</f>
        <v/>
      </c>
      <c r="J24" s="8"/>
      <c r="K24" s="8"/>
      <c r="L24" s="8"/>
    </row>
    <row r="25" spans="1:12" ht="24" customHeight="1" x14ac:dyDescent="0.25">
      <c r="A25" s="11" t="str">
        <f>IF(B25="","",TEXT(20,"P000"))</f>
        <v/>
      </c>
      <c r="B25" s="12"/>
      <c r="C25" s="12"/>
      <c r="D25" s="12"/>
      <c r="E25" s="12"/>
      <c r="F25" s="13"/>
      <c r="G25" s="10" t="str">
        <f>IF(F25="","",IFERROR(INDEX('Reference Values'!$B$8:$B$12,F25),"?"))</f>
        <v/>
      </c>
      <c r="H25" s="13"/>
      <c r="I25" s="10" t="str">
        <f>IF(H25="","",IFERROR(INDEX('Reference Values'!$B$8:$B$12,H25),"?"))</f>
        <v/>
      </c>
      <c r="J25" s="12"/>
      <c r="K25" s="12"/>
      <c r="L25" s="12"/>
    </row>
    <row r="26" spans="1:12" ht="24" customHeight="1" x14ac:dyDescent="0.25">
      <c r="A26" s="7" t="str">
        <f>IF(B26="","",TEXT(21,"P000"))</f>
        <v/>
      </c>
      <c r="B26" s="8"/>
      <c r="C26" s="8"/>
      <c r="D26" s="8"/>
      <c r="E26" s="8"/>
      <c r="F26" s="9"/>
      <c r="G26" s="10" t="str">
        <f>IF(F26="","",IFERROR(INDEX('Reference Values'!$B$8:$B$12,F26),"?"))</f>
        <v/>
      </c>
      <c r="H26" s="9"/>
      <c r="I26" s="10" t="str">
        <f>IF(H26="","",IFERROR(INDEX('Reference Values'!$B$8:$B$12,H26),"?"))</f>
        <v/>
      </c>
      <c r="J26" s="8"/>
      <c r="K26" s="8"/>
      <c r="L26" s="8"/>
    </row>
    <row r="27" spans="1:12" ht="24" customHeight="1" x14ac:dyDescent="0.25">
      <c r="A27" s="11" t="str">
        <f>IF(B27="","",TEXT(22,"P000"))</f>
        <v/>
      </c>
      <c r="B27" s="12"/>
      <c r="C27" s="12"/>
      <c r="D27" s="12"/>
      <c r="E27" s="12"/>
      <c r="F27" s="13"/>
      <c r="G27" s="10" t="str">
        <f>IF(F27="","",IFERROR(INDEX('Reference Values'!$B$8:$B$12,F27),"?"))</f>
        <v/>
      </c>
      <c r="H27" s="13"/>
      <c r="I27" s="10" t="str">
        <f>IF(H27="","",IFERROR(INDEX('Reference Values'!$B$8:$B$12,H27),"?"))</f>
        <v/>
      </c>
      <c r="J27" s="12"/>
      <c r="K27" s="12"/>
      <c r="L27" s="12"/>
    </row>
    <row r="28" spans="1:12" ht="24" customHeight="1" x14ac:dyDescent="0.25">
      <c r="A28" s="7" t="str">
        <f>IF(B28="","",TEXT(23,"P000"))</f>
        <v/>
      </c>
      <c r="B28" s="8"/>
      <c r="C28" s="8"/>
      <c r="D28" s="8"/>
      <c r="E28" s="8"/>
      <c r="F28" s="9"/>
      <c r="G28" s="10" t="str">
        <f>IF(F28="","",IFERROR(INDEX('Reference Values'!$B$8:$B$12,F28),"?"))</f>
        <v/>
      </c>
      <c r="H28" s="9"/>
      <c r="I28" s="10" t="str">
        <f>IF(H28="","",IFERROR(INDEX('Reference Values'!$B$8:$B$12,H28),"?"))</f>
        <v/>
      </c>
      <c r="J28" s="8"/>
      <c r="K28" s="8"/>
      <c r="L28" s="8"/>
    </row>
    <row r="29" spans="1:12" ht="24" customHeight="1" x14ac:dyDescent="0.25">
      <c r="A29" s="11" t="str">
        <f>IF(B29="","",TEXT(24,"P000"))</f>
        <v/>
      </c>
      <c r="B29" s="12"/>
      <c r="C29" s="12"/>
      <c r="D29" s="12"/>
      <c r="E29" s="12"/>
      <c r="F29" s="13"/>
      <c r="G29" s="10" t="str">
        <f>IF(F29="","",IFERROR(INDEX('Reference Values'!$B$8:$B$12,F29),"?"))</f>
        <v/>
      </c>
      <c r="H29" s="13"/>
      <c r="I29" s="10" t="str">
        <f>IF(H29="","",IFERROR(INDEX('Reference Values'!$B$8:$B$12,H29),"?"))</f>
        <v/>
      </c>
      <c r="J29" s="12"/>
      <c r="K29" s="12"/>
      <c r="L29" s="12"/>
    </row>
    <row r="30" spans="1:12" ht="24" customHeight="1" x14ac:dyDescent="0.25">
      <c r="A30" s="7" t="str">
        <f>IF(B30="","",TEXT(25,"P000"))</f>
        <v/>
      </c>
      <c r="B30" s="8"/>
      <c r="C30" s="8"/>
      <c r="D30" s="8"/>
      <c r="E30" s="8"/>
      <c r="F30" s="9"/>
      <c r="G30" s="10" t="str">
        <f>IF(F30="","",IFERROR(INDEX('Reference Values'!$B$8:$B$12,F30),"?"))</f>
        <v/>
      </c>
      <c r="H30" s="9"/>
      <c r="I30" s="10" t="str">
        <f>IF(H30="","",IFERROR(INDEX('Reference Values'!$B$8:$B$12,H30),"?"))</f>
        <v/>
      </c>
      <c r="J30" s="8"/>
      <c r="K30" s="8"/>
      <c r="L30" s="8"/>
    </row>
    <row r="31" spans="1:12" ht="24" customHeight="1" x14ac:dyDescent="0.25">
      <c r="A31" s="11" t="str">
        <f>IF(B31="","",TEXT(26,"P000"))</f>
        <v/>
      </c>
      <c r="B31" s="12"/>
      <c r="C31" s="12"/>
      <c r="D31" s="12"/>
      <c r="E31" s="12"/>
      <c r="F31" s="13"/>
      <c r="G31" s="10" t="str">
        <f>IF(F31="","",IFERROR(INDEX('Reference Values'!$B$8:$B$12,F31),"?"))</f>
        <v/>
      </c>
      <c r="H31" s="13"/>
      <c r="I31" s="10" t="str">
        <f>IF(H31="","",IFERROR(INDEX('Reference Values'!$B$8:$B$12,H31),"?"))</f>
        <v/>
      </c>
      <c r="J31" s="12"/>
      <c r="K31" s="12"/>
      <c r="L31" s="12"/>
    </row>
    <row r="32" spans="1:12" ht="24" customHeight="1" x14ac:dyDescent="0.25">
      <c r="A32" s="7" t="str">
        <f>IF(B32="","",TEXT(27,"P000"))</f>
        <v/>
      </c>
      <c r="B32" s="8"/>
      <c r="C32" s="8"/>
      <c r="D32" s="8"/>
      <c r="E32" s="8"/>
      <c r="F32" s="9"/>
      <c r="G32" s="10" t="str">
        <f>IF(F32="","",IFERROR(INDEX('Reference Values'!$B$8:$B$12,F32),"?"))</f>
        <v/>
      </c>
      <c r="H32" s="9"/>
      <c r="I32" s="10" t="str">
        <f>IF(H32="","",IFERROR(INDEX('Reference Values'!$B$8:$B$12,H32),"?"))</f>
        <v/>
      </c>
      <c r="J32" s="8"/>
      <c r="K32" s="8"/>
      <c r="L32" s="8"/>
    </row>
    <row r="33" spans="1:12" ht="24" customHeight="1" x14ac:dyDescent="0.25">
      <c r="A33" s="11" t="str">
        <f>IF(B33="","",TEXT(28,"P000"))</f>
        <v/>
      </c>
      <c r="B33" s="12"/>
      <c r="C33" s="12"/>
      <c r="D33" s="12"/>
      <c r="E33" s="12"/>
      <c r="F33" s="13"/>
      <c r="G33" s="10" t="str">
        <f>IF(F33="","",IFERROR(INDEX('Reference Values'!$B$8:$B$12,F33),"?"))</f>
        <v/>
      </c>
      <c r="H33" s="13"/>
      <c r="I33" s="10" t="str">
        <f>IF(H33="","",IFERROR(INDEX('Reference Values'!$B$8:$B$12,H33),"?"))</f>
        <v/>
      </c>
      <c r="J33" s="12"/>
      <c r="K33" s="12"/>
      <c r="L33" s="12"/>
    </row>
    <row r="34" spans="1:12" ht="24" customHeight="1" x14ac:dyDescent="0.25">
      <c r="A34" s="7" t="str">
        <f>IF(B34="","",TEXT(29,"P000"))</f>
        <v/>
      </c>
      <c r="B34" s="8"/>
      <c r="C34" s="8"/>
      <c r="D34" s="8"/>
      <c r="E34" s="8"/>
      <c r="F34" s="9"/>
      <c r="G34" s="10" t="str">
        <f>IF(F34="","",IFERROR(INDEX('Reference Values'!$B$8:$B$12,F34),"?"))</f>
        <v/>
      </c>
      <c r="H34" s="9"/>
      <c r="I34" s="10" t="str">
        <f>IF(H34="","",IFERROR(INDEX('Reference Values'!$B$8:$B$12,H34),"?"))</f>
        <v/>
      </c>
      <c r="J34" s="8"/>
      <c r="K34" s="8"/>
      <c r="L34" s="8"/>
    </row>
    <row r="35" spans="1:12" ht="24" customHeight="1" x14ac:dyDescent="0.25">
      <c r="A35" s="11" t="str">
        <f>IF(B35="","",TEXT(30,"P000"))</f>
        <v/>
      </c>
      <c r="B35" s="12"/>
      <c r="C35" s="12"/>
      <c r="D35" s="12"/>
      <c r="E35" s="12"/>
      <c r="F35" s="13"/>
      <c r="G35" s="10" t="str">
        <f>IF(F35="","",IFERROR(INDEX('Reference Values'!$B$8:$B$12,F35),"?"))</f>
        <v/>
      </c>
      <c r="H35" s="13"/>
      <c r="I35" s="10" t="str">
        <f>IF(H35="","",IFERROR(INDEX('Reference Values'!$B$8:$B$12,H35),"?"))</f>
        <v/>
      </c>
      <c r="J35" s="12"/>
      <c r="K35" s="12"/>
      <c r="L35" s="12"/>
    </row>
    <row r="36" spans="1:12" ht="24" customHeight="1" x14ac:dyDescent="0.25">
      <c r="A36" s="7" t="str">
        <f>IF(B36="","",TEXT(31,"P000"))</f>
        <v/>
      </c>
      <c r="B36" s="8"/>
      <c r="C36" s="8"/>
      <c r="D36" s="8"/>
      <c r="E36" s="8"/>
      <c r="F36" s="9"/>
      <c r="G36" s="10" t="str">
        <f>IF(F36="","",IFERROR(INDEX('Reference Values'!$B$8:$B$12,F36),"?"))</f>
        <v/>
      </c>
      <c r="H36" s="9"/>
      <c r="I36" s="10" t="str">
        <f>IF(H36="","",IFERROR(INDEX('Reference Values'!$B$8:$B$12,H36),"?"))</f>
        <v/>
      </c>
      <c r="J36" s="8"/>
      <c r="K36" s="8"/>
      <c r="L36" s="8"/>
    </row>
    <row r="37" spans="1:12" ht="24" customHeight="1" x14ac:dyDescent="0.25">
      <c r="A37" s="11" t="str">
        <f>IF(B37="","",TEXT(32,"P000"))</f>
        <v/>
      </c>
      <c r="B37" s="12"/>
      <c r="C37" s="12"/>
      <c r="D37" s="12"/>
      <c r="E37" s="12"/>
      <c r="F37" s="13"/>
      <c r="G37" s="10" t="str">
        <f>IF(F37="","",IFERROR(INDEX('Reference Values'!$B$8:$B$12,F37),"?"))</f>
        <v/>
      </c>
      <c r="H37" s="13"/>
      <c r="I37" s="10" t="str">
        <f>IF(H37="","",IFERROR(INDEX('Reference Values'!$B$8:$B$12,H37),"?"))</f>
        <v/>
      </c>
      <c r="J37" s="12"/>
      <c r="K37" s="12"/>
      <c r="L37" s="12"/>
    </row>
    <row r="38" spans="1:12" ht="24" customHeight="1" x14ac:dyDescent="0.25">
      <c r="A38" s="7" t="str">
        <f>IF(B38="","",TEXT(33,"P000"))</f>
        <v/>
      </c>
      <c r="B38" s="8"/>
      <c r="C38" s="8"/>
      <c r="D38" s="8"/>
      <c r="E38" s="8"/>
      <c r="F38" s="9"/>
      <c r="G38" s="10" t="str">
        <f>IF(F38="","",IFERROR(INDEX('Reference Values'!$B$8:$B$12,F38),"?"))</f>
        <v/>
      </c>
      <c r="H38" s="9"/>
      <c r="I38" s="10" t="str">
        <f>IF(H38="","",IFERROR(INDEX('Reference Values'!$B$8:$B$12,H38),"?"))</f>
        <v/>
      </c>
      <c r="J38" s="8"/>
      <c r="K38" s="8"/>
      <c r="L38" s="8"/>
    </row>
    <row r="39" spans="1:12" ht="24" customHeight="1" x14ac:dyDescent="0.25">
      <c r="A39" s="11" t="str">
        <f>IF(B39="","",TEXT(34,"P000"))</f>
        <v/>
      </c>
      <c r="B39" s="12"/>
      <c r="C39" s="12"/>
      <c r="D39" s="12"/>
      <c r="E39" s="12"/>
      <c r="F39" s="13"/>
      <c r="G39" s="10" t="str">
        <f>IF(F39="","",IFERROR(INDEX('Reference Values'!$B$8:$B$12,F39),"?"))</f>
        <v/>
      </c>
      <c r="H39" s="13"/>
      <c r="I39" s="10" t="str">
        <f>IF(H39="","",IFERROR(INDEX('Reference Values'!$B$8:$B$12,H39),"?"))</f>
        <v/>
      </c>
      <c r="J39" s="12"/>
      <c r="K39" s="12"/>
      <c r="L39" s="12"/>
    </row>
    <row r="40" spans="1:12" ht="24" customHeight="1" x14ac:dyDescent="0.25">
      <c r="A40" s="7" t="str">
        <f>IF(B40="","",TEXT(35,"P000"))</f>
        <v/>
      </c>
      <c r="B40" s="8"/>
      <c r="C40" s="8"/>
      <c r="D40" s="8"/>
      <c r="E40" s="8"/>
      <c r="F40" s="9"/>
      <c r="G40" s="10" t="str">
        <f>IF(F40="","",IFERROR(INDEX('Reference Values'!$B$8:$B$12,F40),"?"))</f>
        <v/>
      </c>
      <c r="H40" s="9"/>
      <c r="I40" s="10" t="str">
        <f>IF(H40="","",IFERROR(INDEX('Reference Values'!$B$8:$B$12,H40),"?"))</f>
        <v/>
      </c>
      <c r="J40" s="8"/>
      <c r="K40" s="8"/>
      <c r="L40" s="8"/>
    </row>
    <row r="41" spans="1:12" ht="24" customHeight="1" x14ac:dyDescent="0.25">
      <c r="A41" s="11" t="str">
        <f>IF(B41="","",TEXT(36,"P000"))</f>
        <v/>
      </c>
      <c r="B41" s="12"/>
      <c r="C41" s="12"/>
      <c r="D41" s="12"/>
      <c r="E41" s="12"/>
      <c r="F41" s="13"/>
      <c r="G41" s="10" t="str">
        <f>IF(F41="","",IFERROR(INDEX('Reference Values'!$B$8:$B$12,F41),"?"))</f>
        <v/>
      </c>
      <c r="H41" s="13"/>
      <c r="I41" s="10" t="str">
        <f>IF(H41="","",IFERROR(INDEX('Reference Values'!$B$8:$B$12,H41),"?"))</f>
        <v/>
      </c>
      <c r="J41" s="12"/>
      <c r="K41" s="12"/>
      <c r="L41" s="12"/>
    </row>
    <row r="42" spans="1:12" ht="24" customHeight="1" x14ac:dyDescent="0.25">
      <c r="A42" s="7" t="str">
        <f>IF(B42="","",TEXT(37,"P000"))</f>
        <v/>
      </c>
      <c r="B42" s="8"/>
      <c r="C42" s="8"/>
      <c r="D42" s="8"/>
      <c r="E42" s="8"/>
      <c r="F42" s="9"/>
      <c r="G42" s="10" t="str">
        <f>IF(F42="","",IFERROR(INDEX('Reference Values'!$B$8:$B$12,F42),"?"))</f>
        <v/>
      </c>
      <c r="H42" s="9"/>
      <c r="I42" s="10" t="str">
        <f>IF(H42="","",IFERROR(INDEX('Reference Values'!$B$8:$B$12,H42),"?"))</f>
        <v/>
      </c>
      <c r="J42" s="8"/>
      <c r="K42" s="8"/>
      <c r="L42" s="8"/>
    </row>
    <row r="43" spans="1:12" ht="24" customHeight="1" x14ac:dyDescent="0.25">
      <c r="A43" s="11" t="str">
        <f>IF(B43="","",TEXT(38,"P000"))</f>
        <v/>
      </c>
      <c r="B43" s="12"/>
      <c r="C43" s="12"/>
      <c r="D43" s="12"/>
      <c r="E43" s="12"/>
      <c r="F43" s="13"/>
      <c r="G43" s="10" t="str">
        <f>IF(F43="","",IFERROR(INDEX('Reference Values'!$B$8:$B$12,F43),"?"))</f>
        <v/>
      </c>
      <c r="H43" s="13"/>
      <c r="I43" s="10" t="str">
        <f>IF(H43="","",IFERROR(INDEX('Reference Values'!$B$8:$B$12,H43),"?"))</f>
        <v/>
      </c>
      <c r="J43" s="12"/>
      <c r="K43" s="12"/>
      <c r="L43" s="12"/>
    </row>
    <row r="44" spans="1:12" ht="24" customHeight="1" x14ac:dyDescent="0.25">
      <c r="A44" s="7" t="str">
        <f>IF(B44="","",TEXT(39,"P000"))</f>
        <v/>
      </c>
      <c r="B44" s="8"/>
      <c r="C44" s="8"/>
      <c r="D44" s="8"/>
      <c r="E44" s="8"/>
      <c r="F44" s="9"/>
      <c r="G44" s="10" t="str">
        <f>IF(F44="","",IFERROR(INDEX('Reference Values'!$B$8:$B$12,F44),"?"))</f>
        <v/>
      </c>
      <c r="H44" s="9"/>
      <c r="I44" s="10" t="str">
        <f>IF(H44="","",IFERROR(INDEX('Reference Values'!$B$8:$B$12,H44),"?"))</f>
        <v/>
      </c>
      <c r="J44" s="8"/>
      <c r="K44" s="8"/>
      <c r="L44" s="8"/>
    </row>
    <row r="45" spans="1:12" ht="24" customHeight="1" x14ac:dyDescent="0.25">
      <c r="A45" s="11" t="str">
        <f>IF(B45="","",TEXT(40,"P000"))</f>
        <v/>
      </c>
      <c r="B45" s="12"/>
      <c r="C45" s="12"/>
      <c r="D45" s="12"/>
      <c r="E45" s="12"/>
      <c r="F45" s="13"/>
      <c r="G45" s="10" t="str">
        <f>IF(F45="","",IFERROR(INDEX('Reference Values'!$B$8:$B$12,F45),"?"))</f>
        <v/>
      </c>
      <c r="H45" s="13"/>
      <c r="I45" s="10" t="str">
        <f>IF(H45="","",IFERROR(INDEX('Reference Values'!$B$8:$B$12,H45),"?"))</f>
        <v/>
      </c>
      <c r="J45" s="12"/>
      <c r="K45" s="12"/>
      <c r="L45" s="12"/>
    </row>
    <row r="46" spans="1:12" ht="24" customHeight="1" x14ac:dyDescent="0.25">
      <c r="A46" s="7" t="str">
        <f>IF(B46="","",TEXT(41,"P000"))</f>
        <v/>
      </c>
      <c r="B46" s="8"/>
      <c r="C46" s="8"/>
      <c r="D46" s="8"/>
      <c r="E46" s="8"/>
      <c r="F46" s="9"/>
      <c r="G46" s="10" t="str">
        <f>IF(F46="","",IFERROR(INDEX('Reference Values'!$B$8:$B$12,F46),"?"))</f>
        <v/>
      </c>
      <c r="H46" s="9"/>
      <c r="I46" s="10" t="str">
        <f>IF(H46="","",IFERROR(INDEX('Reference Values'!$B$8:$B$12,H46),"?"))</f>
        <v/>
      </c>
      <c r="J46" s="8"/>
      <c r="K46" s="8"/>
      <c r="L46" s="8"/>
    </row>
    <row r="47" spans="1:12" ht="24" customHeight="1" x14ac:dyDescent="0.25">
      <c r="A47" s="11" t="str">
        <f>IF(B47="","",TEXT(42,"P000"))</f>
        <v/>
      </c>
      <c r="B47" s="12"/>
      <c r="C47" s="12"/>
      <c r="D47" s="12"/>
      <c r="E47" s="12"/>
      <c r="F47" s="13"/>
      <c r="G47" s="10" t="str">
        <f>IF(F47="","",IFERROR(INDEX('Reference Values'!$B$8:$B$12,F47),"?"))</f>
        <v/>
      </c>
      <c r="H47" s="13"/>
      <c r="I47" s="10" t="str">
        <f>IF(H47="","",IFERROR(INDEX('Reference Values'!$B$8:$B$12,H47),"?"))</f>
        <v/>
      </c>
      <c r="J47" s="12"/>
      <c r="K47" s="12"/>
      <c r="L47" s="12"/>
    </row>
    <row r="48" spans="1:12" ht="24" customHeight="1" x14ac:dyDescent="0.25">
      <c r="A48" s="7" t="str">
        <f>IF(B48="","",TEXT(43,"P000"))</f>
        <v/>
      </c>
      <c r="B48" s="8"/>
      <c r="C48" s="8"/>
      <c r="D48" s="8"/>
      <c r="E48" s="8"/>
      <c r="F48" s="9"/>
      <c r="G48" s="10" t="str">
        <f>IF(F48="","",IFERROR(INDEX('Reference Values'!$B$8:$B$12,F48),"?"))</f>
        <v/>
      </c>
      <c r="H48" s="9"/>
      <c r="I48" s="10" t="str">
        <f>IF(H48="","",IFERROR(INDEX('Reference Values'!$B$8:$B$12,H48),"?"))</f>
        <v/>
      </c>
      <c r="J48" s="8"/>
      <c r="K48" s="8"/>
      <c r="L48" s="8"/>
    </row>
    <row r="49" spans="1:12" ht="24" customHeight="1" x14ac:dyDescent="0.25">
      <c r="A49" s="11" t="str">
        <f>IF(B49="","",TEXT(44,"P000"))</f>
        <v/>
      </c>
      <c r="B49" s="12"/>
      <c r="C49" s="12"/>
      <c r="D49" s="12"/>
      <c r="E49" s="12"/>
      <c r="F49" s="13"/>
      <c r="G49" s="10" t="str">
        <f>IF(F49="","",IFERROR(INDEX('Reference Values'!$B$8:$B$12,F49),"?"))</f>
        <v/>
      </c>
      <c r="H49" s="13"/>
      <c r="I49" s="10" t="str">
        <f>IF(H49="","",IFERROR(INDEX('Reference Values'!$B$8:$B$12,H49),"?"))</f>
        <v/>
      </c>
      <c r="J49" s="12"/>
      <c r="K49" s="12"/>
      <c r="L49" s="12"/>
    </row>
    <row r="50" spans="1:12" ht="24" customHeight="1" x14ac:dyDescent="0.25">
      <c r="A50" s="7" t="str">
        <f>IF(B50="","",TEXT(45,"P000"))</f>
        <v/>
      </c>
      <c r="B50" s="8"/>
      <c r="C50" s="8"/>
      <c r="D50" s="8"/>
      <c r="E50" s="8"/>
      <c r="F50" s="9"/>
      <c r="G50" s="10" t="str">
        <f>IF(F50="","",IFERROR(INDEX('Reference Values'!$B$8:$B$12,F50),"?"))</f>
        <v/>
      </c>
      <c r="H50" s="9"/>
      <c r="I50" s="10" t="str">
        <f>IF(H50="","",IFERROR(INDEX('Reference Values'!$B$8:$B$12,H50),"?"))</f>
        <v/>
      </c>
      <c r="J50" s="8"/>
      <c r="K50" s="8"/>
      <c r="L50" s="8"/>
    </row>
    <row r="51" spans="1:12" ht="24" customHeight="1" x14ac:dyDescent="0.25">
      <c r="A51" s="11" t="str">
        <f>IF(B51="","",TEXT(46,"P000"))</f>
        <v/>
      </c>
      <c r="B51" s="12"/>
      <c r="C51" s="12"/>
      <c r="D51" s="12"/>
      <c r="E51" s="12"/>
      <c r="F51" s="13"/>
      <c r="G51" s="10" t="str">
        <f>IF(F51="","",IFERROR(INDEX('Reference Values'!$B$8:$B$12,F51),"?"))</f>
        <v/>
      </c>
      <c r="H51" s="13"/>
      <c r="I51" s="10" t="str">
        <f>IF(H51="","",IFERROR(INDEX('Reference Values'!$B$8:$B$12,H51),"?"))</f>
        <v/>
      </c>
      <c r="J51" s="12"/>
      <c r="K51" s="12"/>
      <c r="L51" s="12"/>
    </row>
    <row r="52" spans="1:12" ht="24" customHeight="1" x14ac:dyDescent="0.25">
      <c r="A52" s="7" t="str">
        <f>IF(B52="","",TEXT(47,"P000"))</f>
        <v/>
      </c>
      <c r="B52" s="8"/>
      <c r="C52" s="8"/>
      <c r="D52" s="8"/>
      <c r="E52" s="8"/>
      <c r="F52" s="9"/>
      <c r="G52" s="10" t="str">
        <f>IF(F52="","",IFERROR(INDEX('Reference Values'!$B$8:$B$12,F52),"?"))</f>
        <v/>
      </c>
      <c r="H52" s="9"/>
      <c r="I52" s="10" t="str">
        <f>IF(H52="","",IFERROR(INDEX('Reference Values'!$B$8:$B$12,H52),"?"))</f>
        <v/>
      </c>
      <c r="J52" s="8"/>
      <c r="K52" s="8"/>
      <c r="L52" s="8"/>
    </row>
    <row r="53" spans="1:12" ht="24" customHeight="1" x14ac:dyDescent="0.25">
      <c r="A53" s="11" t="str">
        <f>IF(B53="","",TEXT(48,"P000"))</f>
        <v/>
      </c>
      <c r="B53" s="12"/>
      <c r="C53" s="12"/>
      <c r="D53" s="12"/>
      <c r="E53" s="12"/>
      <c r="F53" s="13"/>
      <c r="G53" s="10" t="str">
        <f>IF(F53="","",IFERROR(INDEX('Reference Values'!$B$8:$B$12,F53),"?"))</f>
        <v/>
      </c>
      <c r="H53" s="13"/>
      <c r="I53" s="10" t="str">
        <f>IF(H53="","",IFERROR(INDEX('Reference Values'!$B$8:$B$12,H53),"?"))</f>
        <v/>
      </c>
      <c r="J53" s="12"/>
      <c r="K53" s="12"/>
      <c r="L53" s="12"/>
    </row>
    <row r="54" spans="1:12" ht="24" customHeight="1" x14ac:dyDescent="0.25">
      <c r="A54" s="7" t="str">
        <f>IF(B54="","",TEXT(49,"P000"))</f>
        <v/>
      </c>
      <c r="B54" s="8"/>
      <c r="C54" s="8"/>
      <c r="D54" s="8"/>
      <c r="E54" s="8"/>
      <c r="F54" s="9"/>
      <c r="G54" s="10" t="str">
        <f>IF(F54="","",IFERROR(INDEX('Reference Values'!$B$8:$B$12,F54),"?"))</f>
        <v/>
      </c>
      <c r="H54" s="9"/>
      <c r="I54" s="10" t="str">
        <f>IF(H54="","",IFERROR(INDEX('Reference Values'!$B$8:$B$12,H54),"?"))</f>
        <v/>
      </c>
      <c r="J54" s="8"/>
      <c r="K54" s="8"/>
      <c r="L54" s="8"/>
    </row>
    <row r="55" spans="1:12" ht="24" customHeight="1" x14ac:dyDescent="0.25">
      <c r="A55" s="11" t="str">
        <f>IF(B55="","",TEXT(50,"P000"))</f>
        <v/>
      </c>
      <c r="B55" s="12"/>
      <c r="C55" s="12"/>
      <c r="D55" s="12"/>
      <c r="E55" s="12"/>
      <c r="F55" s="13"/>
      <c r="G55" s="10" t="str">
        <f>IF(F55="","",IFERROR(INDEX('Reference Values'!$B$8:$B$12,F55),"?"))</f>
        <v/>
      </c>
      <c r="H55" s="13"/>
      <c r="I55" s="10" t="str">
        <f>IF(H55="","",IFERROR(INDEX('Reference Values'!$B$8:$B$12,H55),"?"))</f>
        <v/>
      </c>
      <c r="J55" s="12"/>
      <c r="K55" s="12"/>
      <c r="L55" s="12"/>
    </row>
    <row r="56" spans="1:12" ht="24" customHeight="1" x14ac:dyDescent="0.25">
      <c r="A56" s="7" t="str">
        <f>IF(B56="","",TEXT(51,"P000"))</f>
        <v/>
      </c>
      <c r="B56" s="8"/>
      <c r="C56" s="8"/>
      <c r="D56" s="8"/>
      <c r="E56" s="8"/>
      <c r="F56" s="9"/>
      <c r="G56" s="10" t="str">
        <f>IF(F56="","",IFERROR(INDEX('Reference Values'!$B$8:$B$12,F56),"?"))</f>
        <v/>
      </c>
      <c r="H56" s="9"/>
      <c r="I56" s="10" t="str">
        <f>IF(H56="","",IFERROR(INDEX('Reference Values'!$B$8:$B$12,H56),"?"))</f>
        <v/>
      </c>
      <c r="J56" s="8"/>
      <c r="K56" s="8"/>
      <c r="L56" s="8"/>
    </row>
    <row r="57" spans="1:12" ht="24" customHeight="1" x14ac:dyDescent="0.25">
      <c r="A57" s="11" t="str">
        <f>IF(B57="","",TEXT(52,"P000"))</f>
        <v/>
      </c>
      <c r="B57" s="12"/>
      <c r="C57" s="12"/>
      <c r="D57" s="12"/>
      <c r="E57" s="12"/>
      <c r="F57" s="13"/>
      <c r="G57" s="10" t="str">
        <f>IF(F57="","",IFERROR(INDEX('Reference Values'!$B$8:$B$12,F57),"?"))</f>
        <v/>
      </c>
      <c r="H57" s="13"/>
      <c r="I57" s="10" t="str">
        <f>IF(H57="","",IFERROR(INDEX('Reference Values'!$B$8:$B$12,H57),"?"))</f>
        <v/>
      </c>
      <c r="J57" s="12"/>
      <c r="K57" s="12"/>
      <c r="L57" s="12"/>
    </row>
    <row r="58" spans="1:12" ht="24" customHeight="1" x14ac:dyDescent="0.25">
      <c r="A58" s="7" t="str">
        <f>IF(B58="","",TEXT(53,"P000"))</f>
        <v/>
      </c>
      <c r="B58" s="8"/>
      <c r="C58" s="8"/>
      <c r="D58" s="8"/>
      <c r="E58" s="8"/>
      <c r="F58" s="9"/>
      <c r="G58" s="10" t="str">
        <f>IF(F58="","",IFERROR(INDEX('Reference Values'!$B$8:$B$12,F58),"?"))</f>
        <v/>
      </c>
      <c r="H58" s="9"/>
      <c r="I58" s="10" t="str">
        <f>IF(H58="","",IFERROR(INDEX('Reference Values'!$B$8:$B$12,H58),"?"))</f>
        <v/>
      </c>
      <c r="J58" s="8"/>
      <c r="K58" s="8"/>
      <c r="L58" s="8"/>
    </row>
    <row r="59" spans="1:12" ht="24" customHeight="1" x14ac:dyDescent="0.25">
      <c r="A59" s="11" t="str">
        <f>IF(B59="","",TEXT(54,"P000"))</f>
        <v/>
      </c>
      <c r="B59" s="12"/>
      <c r="C59" s="12"/>
      <c r="D59" s="12"/>
      <c r="E59" s="12"/>
      <c r="F59" s="13"/>
      <c r="G59" s="10" t="str">
        <f>IF(F59="","",IFERROR(INDEX('Reference Values'!$B$8:$B$12,F59),"?"))</f>
        <v/>
      </c>
      <c r="H59" s="13"/>
      <c r="I59" s="10" t="str">
        <f>IF(H59="","",IFERROR(INDEX('Reference Values'!$B$8:$B$12,H59),"?"))</f>
        <v/>
      </c>
      <c r="J59" s="12"/>
      <c r="K59" s="12"/>
      <c r="L59" s="12"/>
    </row>
    <row r="60" spans="1:12" ht="24" customHeight="1" x14ac:dyDescent="0.25">
      <c r="A60" s="7" t="str">
        <f>IF(B60="","",TEXT(55,"P000"))</f>
        <v/>
      </c>
      <c r="B60" s="8"/>
      <c r="C60" s="8"/>
      <c r="D60" s="8"/>
      <c r="E60" s="8"/>
      <c r="F60" s="9"/>
      <c r="G60" s="10" t="str">
        <f>IF(F60="","",IFERROR(INDEX('Reference Values'!$B$8:$B$12,F60),"?"))</f>
        <v/>
      </c>
      <c r="H60" s="9"/>
      <c r="I60" s="10" t="str">
        <f>IF(H60="","",IFERROR(INDEX('Reference Values'!$B$8:$B$12,H60),"?"))</f>
        <v/>
      </c>
      <c r="J60" s="8"/>
      <c r="K60" s="8"/>
      <c r="L60" s="8"/>
    </row>
    <row r="61" spans="1:12" ht="24" customHeight="1" x14ac:dyDescent="0.25">
      <c r="A61" s="11" t="str">
        <f>IF(B61="","",TEXT(56,"P000"))</f>
        <v/>
      </c>
      <c r="B61" s="12"/>
      <c r="C61" s="12"/>
      <c r="D61" s="12"/>
      <c r="E61" s="12"/>
      <c r="F61" s="13"/>
      <c r="G61" s="10" t="str">
        <f>IF(F61="","",IFERROR(INDEX('Reference Values'!$B$8:$B$12,F61),"?"))</f>
        <v/>
      </c>
      <c r="H61" s="13"/>
      <c r="I61" s="10" t="str">
        <f>IF(H61="","",IFERROR(INDEX('Reference Values'!$B$8:$B$12,H61),"?"))</f>
        <v/>
      </c>
      <c r="J61" s="12"/>
      <c r="K61" s="12"/>
      <c r="L61" s="12"/>
    </row>
    <row r="62" spans="1:12" ht="24" customHeight="1" x14ac:dyDescent="0.25">
      <c r="A62" s="7" t="str">
        <f>IF(B62="","",TEXT(57,"P000"))</f>
        <v/>
      </c>
      <c r="B62" s="8"/>
      <c r="C62" s="8"/>
      <c r="D62" s="8"/>
      <c r="E62" s="8"/>
      <c r="F62" s="9"/>
      <c r="G62" s="10" t="str">
        <f>IF(F62="","",IFERROR(INDEX('Reference Values'!$B$8:$B$12,F62),"?"))</f>
        <v/>
      </c>
      <c r="H62" s="9"/>
      <c r="I62" s="10" t="str">
        <f>IF(H62="","",IFERROR(INDEX('Reference Values'!$B$8:$B$12,H62),"?"))</f>
        <v/>
      </c>
      <c r="J62" s="8"/>
      <c r="K62" s="8"/>
      <c r="L62" s="8"/>
    </row>
    <row r="63" spans="1:12" ht="24" customHeight="1" x14ac:dyDescent="0.25">
      <c r="A63" s="11" t="str">
        <f>IF(B63="","",TEXT(58,"P000"))</f>
        <v/>
      </c>
      <c r="B63" s="12"/>
      <c r="C63" s="12"/>
      <c r="D63" s="12"/>
      <c r="E63" s="12"/>
      <c r="F63" s="13"/>
      <c r="G63" s="10" t="str">
        <f>IF(F63="","",IFERROR(INDEX('Reference Values'!$B$8:$B$12,F63),"?"))</f>
        <v/>
      </c>
      <c r="H63" s="13"/>
      <c r="I63" s="10" t="str">
        <f>IF(H63="","",IFERROR(INDEX('Reference Values'!$B$8:$B$12,H63),"?"))</f>
        <v/>
      </c>
      <c r="J63" s="12"/>
      <c r="K63" s="12"/>
      <c r="L63" s="12"/>
    </row>
    <row r="64" spans="1:12" ht="24" customHeight="1" x14ac:dyDescent="0.25">
      <c r="A64" s="7" t="str">
        <f>IF(B64="","",TEXT(59,"P000"))</f>
        <v/>
      </c>
      <c r="B64" s="8"/>
      <c r="C64" s="8"/>
      <c r="D64" s="8"/>
      <c r="E64" s="8"/>
      <c r="F64" s="9"/>
      <c r="G64" s="10" t="str">
        <f>IF(F64="","",IFERROR(INDEX('Reference Values'!$B$8:$B$12,F64),"?"))</f>
        <v/>
      </c>
      <c r="H64" s="9"/>
      <c r="I64" s="10" t="str">
        <f>IF(H64="","",IFERROR(INDEX('Reference Values'!$B$8:$B$12,H64),"?"))</f>
        <v/>
      </c>
      <c r="J64" s="8"/>
      <c r="K64" s="8"/>
      <c r="L64" s="8"/>
    </row>
    <row r="65" spans="1:12" ht="24" customHeight="1" x14ac:dyDescent="0.25">
      <c r="A65" s="11" t="str">
        <f>IF(B65="","",TEXT(60,"P000"))</f>
        <v/>
      </c>
      <c r="B65" s="12"/>
      <c r="C65" s="12"/>
      <c r="D65" s="12"/>
      <c r="E65" s="12"/>
      <c r="F65" s="13"/>
      <c r="G65" s="10" t="str">
        <f>IF(F65="","",IFERROR(INDEX('Reference Values'!$B$8:$B$12,F65),"?"))</f>
        <v/>
      </c>
      <c r="H65" s="13"/>
      <c r="I65" s="10" t="str">
        <f>IF(H65="","",IFERROR(INDEX('Reference Values'!$B$8:$B$12,H65),"?"))</f>
        <v/>
      </c>
      <c r="J65" s="12"/>
      <c r="K65" s="12"/>
      <c r="L65" s="12"/>
    </row>
    <row r="66" spans="1:12" ht="24" customHeight="1" x14ac:dyDescent="0.25">
      <c r="A66" s="7" t="str">
        <f>IF(B66="","",TEXT(61,"P000"))</f>
        <v/>
      </c>
      <c r="B66" s="8"/>
      <c r="C66" s="8"/>
      <c r="D66" s="8"/>
      <c r="E66" s="8"/>
      <c r="F66" s="9"/>
      <c r="G66" s="10" t="str">
        <f>IF(F66="","",IFERROR(INDEX('Reference Values'!$B$8:$B$12,F66),"?"))</f>
        <v/>
      </c>
      <c r="H66" s="9"/>
      <c r="I66" s="10" t="str">
        <f>IF(H66="","",IFERROR(INDEX('Reference Values'!$B$8:$B$12,H66),"?"))</f>
        <v/>
      </c>
      <c r="J66" s="8"/>
      <c r="K66" s="8"/>
      <c r="L66" s="8"/>
    </row>
    <row r="67" spans="1:12" ht="24" customHeight="1" x14ac:dyDescent="0.25">
      <c r="A67" s="11" t="str">
        <f>IF(B67="","",TEXT(62,"P000"))</f>
        <v/>
      </c>
      <c r="B67" s="12"/>
      <c r="C67" s="12"/>
      <c r="D67" s="12"/>
      <c r="E67" s="12"/>
      <c r="F67" s="13"/>
      <c r="G67" s="10" t="str">
        <f>IF(F67="","",IFERROR(INDEX('Reference Values'!$B$8:$B$12,F67),"?"))</f>
        <v/>
      </c>
      <c r="H67" s="13"/>
      <c r="I67" s="10" t="str">
        <f>IF(H67="","",IFERROR(INDEX('Reference Values'!$B$8:$B$12,H67),"?"))</f>
        <v/>
      </c>
      <c r="J67" s="12"/>
      <c r="K67" s="12"/>
      <c r="L67" s="12"/>
    </row>
    <row r="68" spans="1:12" ht="24" customHeight="1" x14ac:dyDescent="0.25">
      <c r="A68" s="7" t="str">
        <f>IF(B68="","",TEXT(63,"P000"))</f>
        <v/>
      </c>
      <c r="B68" s="8"/>
      <c r="C68" s="8"/>
      <c r="D68" s="8"/>
      <c r="E68" s="8"/>
      <c r="F68" s="9"/>
      <c r="G68" s="10" t="str">
        <f>IF(F68="","",IFERROR(INDEX('Reference Values'!$B$8:$B$12,F68),"?"))</f>
        <v/>
      </c>
      <c r="H68" s="9"/>
      <c r="I68" s="10" t="str">
        <f>IF(H68="","",IFERROR(INDEX('Reference Values'!$B$8:$B$12,H68),"?"))</f>
        <v/>
      </c>
      <c r="J68" s="8"/>
      <c r="K68" s="8"/>
      <c r="L68" s="8"/>
    </row>
    <row r="69" spans="1:12" ht="24" customHeight="1" x14ac:dyDescent="0.25">
      <c r="A69" s="11" t="str">
        <f>IF(B69="","",TEXT(64,"P000"))</f>
        <v/>
      </c>
      <c r="B69" s="12"/>
      <c r="C69" s="12"/>
      <c r="D69" s="12"/>
      <c r="E69" s="12"/>
      <c r="F69" s="13"/>
      <c r="G69" s="10" t="str">
        <f>IF(F69="","",IFERROR(INDEX('Reference Values'!$B$8:$B$12,F69),"?"))</f>
        <v/>
      </c>
      <c r="H69" s="13"/>
      <c r="I69" s="10" t="str">
        <f>IF(H69="","",IFERROR(INDEX('Reference Values'!$B$8:$B$12,H69),"?"))</f>
        <v/>
      </c>
      <c r="J69" s="12"/>
      <c r="K69" s="12"/>
      <c r="L69" s="12"/>
    </row>
    <row r="70" spans="1:12" ht="24" customHeight="1" x14ac:dyDescent="0.25">
      <c r="A70" s="7" t="str">
        <f>IF(B70="","",TEXT(65,"P000"))</f>
        <v/>
      </c>
      <c r="B70" s="8"/>
      <c r="C70" s="8"/>
      <c r="D70" s="8"/>
      <c r="E70" s="8"/>
      <c r="F70" s="9"/>
      <c r="G70" s="10" t="str">
        <f>IF(F70="","",IFERROR(INDEX('Reference Values'!$B$8:$B$12,F70),"?"))</f>
        <v/>
      </c>
      <c r="H70" s="9"/>
      <c r="I70" s="10" t="str">
        <f>IF(H70="","",IFERROR(INDEX('Reference Values'!$B$8:$B$12,H70),"?"))</f>
        <v/>
      </c>
      <c r="J70" s="8"/>
      <c r="K70" s="8"/>
      <c r="L70" s="8"/>
    </row>
    <row r="71" spans="1:12" ht="24" customHeight="1" x14ac:dyDescent="0.25">
      <c r="A71" s="11" t="str">
        <f>IF(B71="","",TEXT(66,"P000"))</f>
        <v/>
      </c>
      <c r="B71" s="12"/>
      <c r="C71" s="12"/>
      <c r="D71" s="12"/>
      <c r="E71" s="12"/>
      <c r="F71" s="13"/>
      <c r="G71" s="10" t="str">
        <f>IF(F71="","",IFERROR(INDEX('Reference Values'!$B$8:$B$12,F71),"?"))</f>
        <v/>
      </c>
      <c r="H71" s="13"/>
      <c r="I71" s="10" t="str">
        <f>IF(H71="","",IFERROR(INDEX('Reference Values'!$B$8:$B$12,H71),"?"))</f>
        <v/>
      </c>
      <c r="J71" s="12"/>
      <c r="K71" s="12"/>
      <c r="L71" s="12"/>
    </row>
    <row r="72" spans="1:12" ht="24" customHeight="1" x14ac:dyDescent="0.25">
      <c r="A72" s="7" t="str">
        <f>IF(B72="","",TEXT(67,"P000"))</f>
        <v/>
      </c>
      <c r="B72" s="8"/>
      <c r="C72" s="8"/>
      <c r="D72" s="8"/>
      <c r="E72" s="8"/>
      <c r="F72" s="9"/>
      <c r="G72" s="10" t="str">
        <f>IF(F72="","",IFERROR(INDEX('Reference Values'!$B$8:$B$12,F72),"?"))</f>
        <v/>
      </c>
      <c r="H72" s="9"/>
      <c r="I72" s="10" t="str">
        <f>IF(H72="","",IFERROR(INDEX('Reference Values'!$B$8:$B$12,H72),"?"))</f>
        <v/>
      </c>
      <c r="J72" s="8"/>
      <c r="K72" s="8"/>
      <c r="L72" s="8"/>
    </row>
    <row r="73" spans="1:12" ht="24" customHeight="1" x14ac:dyDescent="0.25">
      <c r="A73" s="11" t="str">
        <f>IF(B73="","",TEXT(68,"P000"))</f>
        <v/>
      </c>
      <c r="B73" s="12"/>
      <c r="C73" s="12"/>
      <c r="D73" s="12"/>
      <c r="E73" s="12"/>
      <c r="F73" s="13"/>
      <c r="G73" s="10" t="str">
        <f>IF(F73="","",IFERROR(INDEX('Reference Values'!$B$8:$B$12,F73),"?"))</f>
        <v/>
      </c>
      <c r="H73" s="13"/>
      <c r="I73" s="10" t="str">
        <f>IF(H73="","",IFERROR(INDEX('Reference Values'!$B$8:$B$12,H73),"?"))</f>
        <v/>
      </c>
      <c r="J73" s="12"/>
      <c r="K73" s="12"/>
      <c r="L73" s="12"/>
    </row>
    <row r="74" spans="1:12" ht="24" customHeight="1" x14ac:dyDescent="0.25">
      <c r="A74" s="7" t="str">
        <f>IF(B74="","",TEXT(69,"P000"))</f>
        <v/>
      </c>
      <c r="B74" s="8"/>
      <c r="C74" s="8"/>
      <c r="D74" s="8"/>
      <c r="E74" s="8"/>
      <c r="F74" s="9"/>
      <c r="G74" s="10" t="str">
        <f>IF(F74="","",IFERROR(INDEX('Reference Values'!$B$8:$B$12,F74),"?"))</f>
        <v/>
      </c>
      <c r="H74" s="9"/>
      <c r="I74" s="10" t="str">
        <f>IF(H74="","",IFERROR(INDEX('Reference Values'!$B$8:$B$12,H74),"?"))</f>
        <v/>
      </c>
      <c r="J74" s="8"/>
      <c r="K74" s="8"/>
      <c r="L74" s="8"/>
    </row>
    <row r="75" spans="1:12" ht="24" customHeight="1" x14ac:dyDescent="0.25">
      <c r="A75" s="11" t="str">
        <f>IF(B75="","",TEXT(70,"P000"))</f>
        <v/>
      </c>
      <c r="B75" s="12"/>
      <c r="C75" s="12"/>
      <c r="D75" s="12"/>
      <c r="E75" s="12"/>
      <c r="F75" s="13"/>
      <c r="G75" s="10" t="str">
        <f>IF(F75="","",IFERROR(INDEX('Reference Values'!$B$8:$B$12,F75),"?"))</f>
        <v/>
      </c>
      <c r="H75" s="13"/>
      <c r="I75" s="10" t="str">
        <f>IF(H75="","",IFERROR(INDEX('Reference Values'!$B$8:$B$12,H75),"?"))</f>
        <v/>
      </c>
      <c r="J75" s="12"/>
      <c r="K75" s="12"/>
      <c r="L75" s="12"/>
    </row>
    <row r="76" spans="1:12" ht="24" customHeight="1" x14ac:dyDescent="0.25">
      <c r="A76" s="7" t="str">
        <f>IF(B76="","",TEXT(71,"P000"))</f>
        <v/>
      </c>
      <c r="B76" s="8"/>
      <c r="C76" s="8"/>
      <c r="D76" s="8"/>
      <c r="E76" s="8"/>
      <c r="F76" s="9"/>
      <c r="G76" s="10" t="str">
        <f>IF(F76="","",IFERROR(INDEX('Reference Values'!$B$8:$B$12,F76),"?"))</f>
        <v/>
      </c>
      <c r="H76" s="9"/>
      <c r="I76" s="10" t="str">
        <f>IF(H76="","",IFERROR(INDEX('Reference Values'!$B$8:$B$12,H76),"?"))</f>
        <v/>
      </c>
      <c r="J76" s="8"/>
      <c r="K76" s="8"/>
      <c r="L76" s="8"/>
    </row>
    <row r="77" spans="1:12" ht="24" customHeight="1" x14ac:dyDescent="0.25">
      <c r="A77" s="11" t="str">
        <f>IF(B77="","",TEXT(72,"P000"))</f>
        <v/>
      </c>
      <c r="B77" s="12"/>
      <c r="C77" s="12"/>
      <c r="D77" s="12"/>
      <c r="E77" s="12"/>
      <c r="F77" s="13"/>
      <c r="G77" s="10" t="str">
        <f>IF(F77="","",IFERROR(INDEX('Reference Values'!$B$8:$B$12,F77),"?"))</f>
        <v/>
      </c>
      <c r="H77" s="13"/>
      <c r="I77" s="10" t="str">
        <f>IF(H77="","",IFERROR(INDEX('Reference Values'!$B$8:$B$12,H77),"?"))</f>
        <v/>
      </c>
      <c r="J77" s="12"/>
      <c r="K77" s="12"/>
      <c r="L77" s="12"/>
    </row>
    <row r="78" spans="1:12" ht="24" customHeight="1" x14ac:dyDescent="0.25">
      <c r="A78" s="7" t="str">
        <f>IF(B78="","",TEXT(73,"P000"))</f>
        <v/>
      </c>
      <c r="B78" s="8"/>
      <c r="C78" s="8"/>
      <c r="D78" s="8"/>
      <c r="E78" s="8"/>
      <c r="F78" s="9"/>
      <c r="G78" s="10" t="str">
        <f>IF(F78="","",IFERROR(INDEX('Reference Values'!$B$8:$B$12,F78),"?"))</f>
        <v/>
      </c>
      <c r="H78" s="9"/>
      <c r="I78" s="10" t="str">
        <f>IF(H78="","",IFERROR(INDEX('Reference Values'!$B$8:$B$12,H78),"?"))</f>
        <v/>
      </c>
      <c r="J78" s="8"/>
      <c r="K78" s="8"/>
      <c r="L78" s="8"/>
    </row>
    <row r="79" spans="1:12" ht="24" customHeight="1" x14ac:dyDescent="0.25">
      <c r="A79" s="11" t="str">
        <f>IF(B79="","",TEXT(74,"P000"))</f>
        <v/>
      </c>
      <c r="B79" s="12"/>
      <c r="C79" s="12"/>
      <c r="D79" s="12"/>
      <c r="E79" s="12"/>
      <c r="F79" s="13"/>
      <c r="G79" s="10" t="str">
        <f>IF(F79="","",IFERROR(INDEX('Reference Values'!$B$8:$B$12,F79),"?"))</f>
        <v/>
      </c>
      <c r="H79" s="13"/>
      <c r="I79" s="10" t="str">
        <f>IF(H79="","",IFERROR(INDEX('Reference Values'!$B$8:$B$12,H79),"?"))</f>
        <v/>
      </c>
      <c r="J79" s="12"/>
      <c r="K79" s="12"/>
      <c r="L79" s="12"/>
    </row>
    <row r="80" spans="1:12" ht="24" customHeight="1" x14ac:dyDescent="0.25">
      <c r="A80" s="7" t="str">
        <f>IF(B80="","",TEXT(75,"P000"))</f>
        <v/>
      </c>
      <c r="B80" s="8"/>
      <c r="C80" s="8"/>
      <c r="D80" s="8"/>
      <c r="E80" s="8"/>
      <c r="F80" s="9"/>
      <c r="G80" s="10" t="str">
        <f>IF(F80="","",IFERROR(INDEX('Reference Values'!$B$8:$B$12,F80),"?"))</f>
        <v/>
      </c>
      <c r="H80" s="9"/>
      <c r="I80" s="10" t="str">
        <f>IF(H80="","",IFERROR(INDEX('Reference Values'!$B$8:$B$12,H80),"?"))</f>
        <v/>
      </c>
      <c r="J80" s="8"/>
      <c r="K80" s="8"/>
      <c r="L80" s="8"/>
    </row>
    <row r="81" spans="1:12" ht="24" customHeight="1" x14ac:dyDescent="0.25">
      <c r="A81" s="11" t="str">
        <f>IF(B81="","",TEXT(76,"P000"))</f>
        <v/>
      </c>
      <c r="B81" s="12"/>
      <c r="C81" s="12"/>
      <c r="D81" s="12"/>
      <c r="E81" s="12"/>
      <c r="F81" s="13"/>
      <c r="G81" s="10" t="str">
        <f>IF(F81="","",IFERROR(INDEX('Reference Values'!$B$8:$B$12,F81),"?"))</f>
        <v/>
      </c>
      <c r="H81" s="13"/>
      <c r="I81" s="10" t="str">
        <f>IF(H81="","",IFERROR(INDEX('Reference Values'!$B$8:$B$12,H81),"?"))</f>
        <v/>
      </c>
      <c r="J81" s="12"/>
      <c r="K81" s="12"/>
      <c r="L81" s="12"/>
    </row>
    <row r="82" spans="1:12" ht="24" customHeight="1" x14ac:dyDescent="0.25">
      <c r="A82" s="7" t="str">
        <f>IF(B82="","",TEXT(77,"P000"))</f>
        <v/>
      </c>
      <c r="B82" s="8"/>
      <c r="C82" s="8"/>
      <c r="D82" s="8"/>
      <c r="E82" s="8"/>
      <c r="F82" s="9"/>
      <c r="G82" s="10" t="str">
        <f>IF(F82="","",IFERROR(INDEX('Reference Values'!$B$8:$B$12,F82),"?"))</f>
        <v/>
      </c>
      <c r="H82" s="9"/>
      <c r="I82" s="10" t="str">
        <f>IF(H82="","",IFERROR(INDEX('Reference Values'!$B$8:$B$12,H82),"?"))</f>
        <v/>
      </c>
      <c r="J82" s="8"/>
      <c r="K82" s="8"/>
      <c r="L82" s="8"/>
    </row>
    <row r="83" spans="1:12" ht="24" customHeight="1" x14ac:dyDescent="0.25">
      <c r="A83" s="11" t="str">
        <f>IF(B83="","",TEXT(78,"P000"))</f>
        <v/>
      </c>
      <c r="B83" s="12"/>
      <c r="C83" s="12"/>
      <c r="D83" s="12"/>
      <c r="E83" s="12"/>
      <c r="F83" s="13"/>
      <c r="G83" s="10" t="str">
        <f>IF(F83="","",IFERROR(INDEX('Reference Values'!$B$8:$B$12,F83),"?"))</f>
        <v/>
      </c>
      <c r="H83" s="13"/>
      <c r="I83" s="10" t="str">
        <f>IF(H83="","",IFERROR(INDEX('Reference Values'!$B$8:$B$12,H83),"?"))</f>
        <v/>
      </c>
      <c r="J83" s="12"/>
      <c r="K83" s="12"/>
      <c r="L83" s="12"/>
    </row>
    <row r="84" spans="1:12" ht="24" customHeight="1" x14ac:dyDescent="0.25">
      <c r="A84" s="7" t="str">
        <f>IF(B84="","",TEXT(79,"P000"))</f>
        <v/>
      </c>
      <c r="B84" s="8"/>
      <c r="C84" s="8"/>
      <c r="D84" s="8"/>
      <c r="E84" s="8"/>
      <c r="F84" s="9"/>
      <c r="G84" s="10" t="str">
        <f>IF(F84="","",IFERROR(INDEX('Reference Values'!$B$8:$B$12,F84),"?"))</f>
        <v/>
      </c>
      <c r="H84" s="9"/>
      <c r="I84" s="10" t="str">
        <f>IF(H84="","",IFERROR(INDEX('Reference Values'!$B$8:$B$12,H84),"?"))</f>
        <v/>
      </c>
      <c r="J84" s="8"/>
      <c r="K84" s="8"/>
      <c r="L84" s="8"/>
    </row>
    <row r="85" spans="1:12" ht="24" customHeight="1" x14ac:dyDescent="0.25">
      <c r="A85" s="11" t="str">
        <f>IF(B85="","",TEXT(80,"P000"))</f>
        <v/>
      </c>
      <c r="B85" s="12"/>
      <c r="C85" s="12"/>
      <c r="D85" s="12"/>
      <c r="E85" s="12"/>
      <c r="F85" s="13"/>
      <c r="G85" s="10" t="str">
        <f>IF(F85="","",IFERROR(INDEX('Reference Values'!$B$8:$B$12,F85),"?"))</f>
        <v/>
      </c>
      <c r="H85" s="13"/>
      <c r="I85" s="10" t="str">
        <f>IF(H85="","",IFERROR(INDEX('Reference Values'!$B$8:$B$12,H85),"?"))</f>
        <v/>
      </c>
      <c r="J85" s="12"/>
      <c r="K85" s="12"/>
      <c r="L85" s="12"/>
    </row>
    <row r="86" spans="1:12" ht="24" customHeight="1" x14ac:dyDescent="0.25">
      <c r="A86" s="7" t="str">
        <f>IF(B86="","",TEXT(81,"P000"))</f>
        <v/>
      </c>
      <c r="B86" s="8"/>
      <c r="C86" s="8"/>
      <c r="D86" s="8"/>
      <c r="E86" s="8"/>
      <c r="F86" s="9"/>
      <c r="G86" s="10" t="str">
        <f>IF(F86="","",IFERROR(INDEX('Reference Values'!$B$8:$B$12,F86),"?"))</f>
        <v/>
      </c>
      <c r="H86" s="9"/>
      <c r="I86" s="10" t="str">
        <f>IF(H86="","",IFERROR(INDEX('Reference Values'!$B$8:$B$12,H86),"?"))</f>
        <v/>
      </c>
      <c r="J86" s="8"/>
      <c r="K86" s="8"/>
      <c r="L86" s="8"/>
    </row>
    <row r="87" spans="1:12" ht="24" customHeight="1" x14ac:dyDescent="0.25">
      <c r="A87" s="11" t="str">
        <f>IF(B87="","",TEXT(82,"P000"))</f>
        <v/>
      </c>
      <c r="B87" s="12"/>
      <c r="C87" s="12"/>
      <c r="D87" s="12"/>
      <c r="E87" s="12"/>
      <c r="F87" s="13"/>
      <c r="G87" s="10" t="str">
        <f>IF(F87="","",IFERROR(INDEX('Reference Values'!$B$8:$B$12,F87),"?"))</f>
        <v/>
      </c>
      <c r="H87" s="13"/>
      <c r="I87" s="10" t="str">
        <f>IF(H87="","",IFERROR(INDEX('Reference Values'!$B$8:$B$12,H87),"?"))</f>
        <v/>
      </c>
      <c r="J87" s="12"/>
      <c r="K87" s="12"/>
      <c r="L87" s="12"/>
    </row>
    <row r="88" spans="1:12" ht="24" customHeight="1" x14ac:dyDescent="0.25">
      <c r="A88" s="7" t="str">
        <f>IF(B88="","",TEXT(83,"P000"))</f>
        <v/>
      </c>
      <c r="B88" s="8"/>
      <c r="C88" s="8"/>
      <c r="D88" s="8"/>
      <c r="E88" s="8"/>
      <c r="F88" s="9"/>
      <c r="G88" s="10" t="str">
        <f>IF(F88="","",IFERROR(INDEX('Reference Values'!$B$8:$B$12,F88),"?"))</f>
        <v/>
      </c>
      <c r="H88" s="9"/>
      <c r="I88" s="10" t="str">
        <f>IF(H88="","",IFERROR(INDEX('Reference Values'!$B$8:$B$12,H88),"?"))</f>
        <v/>
      </c>
      <c r="J88" s="8"/>
      <c r="K88" s="8"/>
      <c r="L88" s="8"/>
    </row>
    <row r="89" spans="1:12" ht="24" customHeight="1" x14ac:dyDescent="0.25">
      <c r="A89" s="11" t="str">
        <f>IF(B89="","",TEXT(84,"P000"))</f>
        <v/>
      </c>
      <c r="B89" s="12"/>
      <c r="C89" s="12"/>
      <c r="D89" s="12"/>
      <c r="E89" s="12"/>
      <c r="F89" s="13"/>
      <c r="G89" s="10" t="str">
        <f>IF(F89="","",IFERROR(INDEX('Reference Values'!$B$8:$B$12,F89),"?"))</f>
        <v/>
      </c>
      <c r="H89" s="13"/>
      <c r="I89" s="10" t="str">
        <f>IF(H89="","",IFERROR(INDEX('Reference Values'!$B$8:$B$12,H89),"?"))</f>
        <v/>
      </c>
      <c r="J89" s="12"/>
      <c r="K89" s="12"/>
      <c r="L89" s="12"/>
    </row>
    <row r="90" spans="1:12" ht="24" customHeight="1" x14ac:dyDescent="0.25">
      <c r="A90" s="7" t="str">
        <f>IF(B90="","",TEXT(85,"P000"))</f>
        <v/>
      </c>
      <c r="B90" s="8"/>
      <c r="C90" s="8"/>
      <c r="D90" s="8"/>
      <c r="E90" s="8"/>
      <c r="F90" s="9"/>
      <c r="G90" s="10" t="str">
        <f>IF(F90="","",IFERROR(INDEX('Reference Values'!$B$8:$B$12,F90),"?"))</f>
        <v/>
      </c>
      <c r="H90" s="9"/>
      <c r="I90" s="10" t="str">
        <f>IF(H90="","",IFERROR(INDEX('Reference Values'!$B$8:$B$12,H90),"?"))</f>
        <v/>
      </c>
      <c r="J90" s="8"/>
      <c r="K90" s="8"/>
      <c r="L90" s="8"/>
    </row>
    <row r="91" spans="1:12" ht="24" customHeight="1" x14ac:dyDescent="0.25">
      <c r="A91" s="11" t="str">
        <f>IF(B91="","",TEXT(86,"P000"))</f>
        <v/>
      </c>
      <c r="B91" s="12"/>
      <c r="C91" s="12"/>
      <c r="D91" s="12"/>
      <c r="E91" s="12"/>
      <c r="F91" s="13"/>
      <c r="G91" s="10" t="str">
        <f>IF(F91="","",IFERROR(INDEX('Reference Values'!$B$8:$B$12,F91),"?"))</f>
        <v/>
      </c>
      <c r="H91" s="13"/>
      <c r="I91" s="10" t="str">
        <f>IF(H91="","",IFERROR(INDEX('Reference Values'!$B$8:$B$12,H91),"?"))</f>
        <v/>
      </c>
      <c r="J91" s="12"/>
      <c r="K91" s="12"/>
      <c r="L91" s="12"/>
    </row>
    <row r="92" spans="1:12" ht="24" customHeight="1" x14ac:dyDescent="0.25">
      <c r="A92" s="7" t="str">
        <f>IF(B92="","",TEXT(87,"P000"))</f>
        <v/>
      </c>
      <c r="B92" s="8"/>
      <c r="C92" s="8"/>
      <c r="D92" s="8"/>
      <c r="E92" s="8"/>
      <c r="F92" s="9"/>
      <c r="G92" s="10" t="str">
        <f>IF(F92="","",IFERROR(INDEX('Reference Values'!$B$8:$B$12,F92),"?"))</f>
        <v/>
      </c>
      <c r="H92" s="9"/>
      <c r="I92" s="10" t="str">
        <f>IF(H92="","",IFERROR(INDEX('Reference Values'!$B$8:$B$12,H92),"?"))</f>
        <v/>
      </c>
      <c r="J92" s="8"/>
      <c r="K92" s="8"/>
      <c r="L92" s="8"/>
    </row>
    <row r="93" spans="1:12" ht="24" customHeight="1" x14ac:dyDescent="0.25">
      <c r="A93" s="11" t="str">
        <f>IF(B93="","",TEXT(88,"P000"))</f>
        <v/>
      </c>
      <c r="B93" s="12"/>
      <c r="C93" s="12"/>
      <c r="D93" s="12"/>
      <c r="E93" s="12"/>
      <c r="F93" s="13"/>
      <c r="G93" s="10" t="str">
        <f>IF(F93="","",IFERROR(INDEX('Reference Values'!$B$8:$B$12,F93),"?"))</f>
        <v/>
      </c>
      <c r="H93" s="13"/>
      <c r="I93" s="10" t="str">
        <f>IF(H93="","",IFERROR(INDEX('Reference Values'!$B$8:$B$12,H93),"?"))</f>
        <v/>
      </c>
      <c r="J93" s="12"/>
      <c r="K93" s="12"/>
      <c r="L93" s="12"/>
    </row>
    <row r="94" spans="1:12" ht="24" customHeight="1" x14ac:dyDescent="0.25">
      <c r="A94" s="7" t="str">
        <f>IF(B94="","",TEXT(89,"P000"))</f>
        <v/>
      </c>
      <c r="B94" s="8"/>
      <c r="C94" s="8"/>
      <c r="D94" s="8"/>
      <c r="E94" s="8"/>
      <c r="F94" s="9"/>
      <c r="G94" s="10" t="str">
        <f>IF(F94="","",IFERROR(INDEX('Reference Values'!$B$8:$B$12,F94),"?"))</f>
        <v/>
      </c>
      <c r="H94" s="9"/>
      <c r="I94" s="10" t="str">
        <f>IF(H94="","",IFERROR(INDEX('Reference Values'!$B$8:$B$12,H94),"?"))</f>
        <v/>
      </c>
      <c r="J94" s="8"/>
      <c r="K94" s="8"/>
      <c r="L94" s="8"/>
    </row>
    <row r="95" spans="1:12" ht="24" customHeight="1" x14ac:dyDescent="0.25">
      <c r="A95" s="11" t="str">
        <f>IF(B95="","",TEXT(90,"P000"))</f>
        <v/>
      </c>
      <c r="B95" s="12"/>
      <c r="C95" s="12"/>
      <c r="D95" s="12"/>
      <c r="E95" s="12"/>
      <c r="F95" s="13"/>
      <c r="G95" s="10" t="str">
        <f>IF(F95="","",IFERROR(INDEX('Reference Values'!$B$8:$B$12,F95),"?"))</f>
        <v/>
      </c>
      <c r="H95" s="13"/>
      <c r="I95" s="10" t="str">
        <f>IF(H95="","",IFERROR(INDEX('Reference Values'!$B$8:$B$12,H95),"?"))</f>
        <v/>
      </c>
      <c r="J95" s="12"/>
      <c r="K95" s="12"/>
      <c r="L95" s="12"/>
    </row>
    <row r="96" spans="1:12" ht="24" customHeight="1" x14ac:dyDescent="0.25">
      <c r="A96" s="7" t="str">
        <f>IF(B96="","",TEXT(91,"P000"))</f>
        <v/>
      </c>
      <c r="B96" s="8"/>
      <c r="C96" s="8"/>
      <c r="D96" s="8"/>
      <c r="E96" s="8"/>
      <c r="F96" s="9"/>
      <c r="G96" s="10" t="str">
        <f>IF(F96="","",IFERROR(INDEX('Reference Values'!$B$8:$B$12,F96),"?"))</f>
        <v/>
      </c>
      <c r="H96" s="9"/>
      <c r="I96" s="10" t="str">
        <f>IF(H96="","",IFERROR(INDEX('Reference Values'!$B$8:$B$12,H96),"?"))</f>
        <v/>
      </c>
      <c r="J96" s="8"/>
      <c r="K96" s="8"/>
      <c r="L96" s="8"/>
    </row>
    <row r="97" spans="1:12" ht="24" customHeight="1" x14ac:dyDescent="0.25">
      <c r="A97" s="11" t="str">
        <f>IF(B97="","",TEXT(92,"P000"))</f>
        <v/>
      </c>
      <c r="B97" s="12"/>
      <c r="C97" s="12"/>
      <c r="D97" s="12"/>
      <c r="E97" s="12"/>
      <c r="F97" s="13"/>
      <c r="G97" s="10" t="str">
        <f>IF(F97="","",IFERROR(INDEX('Reference Values'!$B$8:$B$12,F97),"?"))</f>
        <v/>
      </c>
      <c r="H97" s="13"/>
      <c r="I97" s="10" t="str">
        <f>IF(H97="","",IFERROR(INDEX('Reference Values'!$B$8:$B$12,H97),"?"))</f>
        <v/>
      </c>
      <c r="J97" s="12"/>
      <c r="K97" s="12"/>
      <c r="L97" s="12"/>
    </row>
    <row r="98" spans="1:12" ht="24" customHeight="1" x14ac:dyDescent="0.25">
      <c r="A98" s="7" t="str">
        <f>IF(B98="","",TEXT(93,"P000"))</f>
        <v/>
      </c>
      <c r="B98" s="8"/>
      <c r="C98" s="8"/>
      <c r="D98" s="8"/>
      <c r="E98" s="8"/>
      <c r="F98" s="9"/>
      <c r="G98" s="10" t="str">
        <f>IF(F98="","",IFERROR(INDEX('Reference Values'!$B$8:$B$12,F98),"?"))</f>
        <v/>
      </c>
      <c r="H98" s="9"/>
      <c r="I98" s="10" t="str">
        <f>IF(H98="","",IFERROR(INDEX('Reference Values'!$B$8:$B$12,H98),"?"))</f>
        <v/>
      </c>
      <c r="J98" s="8"/>
      <c r="K98" s="8"/>
      <c r="L98" s="8"/>
    </row>
    <row r="99" spans="1:12" ht="24" customHeight="1" x14ac:dyDescent="0.25">
      <c r="A99" s="11" t="str">
        <f>IF(B99="","",TEXT(94,"P000"))</f>
        <v/>
      </c>
      <c r="B99" s="12"/>
      <c r="C99" s="12"/>
      <c r="D99" s="12"/>
      <c r="E99" s="12"/>
      <c r="F99" s="13"/>
      <c r="G99" s="10" t="str">
        <f>IF(F99="","",IFERROR(INDEX('Reference Values'!$B$8:$B$12,F99),"?"))</f>
        <v/>
      </c>
      <c r="H99" s="13"/>
      <c r="I99" s="10" t="str">
        <f>IF(H99="","",IFERROR(INDEX('Reference Values'!$B$8:$B$12,H99),"?"))</f>
        <v/>
      </c>
      <c r="J99" s="12"/>
      <c r="K99" s="12"/>
      <c r="L99" s="12"/>
    </row>
    <row r="100" spans="1:12" ht="24" customHeight="1" x14ac:dyDescent="0.25">
      <c r="A100" s="7" t="str">
        <f>IF(B100="","",TEXT(95,"P000"))</f>
        <v/>
      </c>
      <c r="B100" s="8"/>
      <c r="C100" s="8"/>
      <c r="D100" s="8"/>
      <c r="E100" s="8"/>
      <c r="F100" s="9"/>
      <c r="G100" s="10" t="str">
        <f>IF(F100="","",IFERROR(INDEX('Reference Values'!$B$8:$B$12,F100),"?"))</f>
        <v/>
      </c>
      <c r="H100" s="9"/>
      <c r="I100" s="10" t="str">
        <f>IF(H100="","",IFERROR(INDEX('Reference Values'!$B$8:$B$12,H100),"?"))</f>
        <v/>
      </c>
      <c r="J100" s="8"/>
      <c r="K100" s="8"/>
      <c r="L100" s="8"/>
    </row>
    <row r="101" spans="1:12" ht="24" customHeight="1" x14ac:dyDescent="0.25">
      <c r="A101" s="11" t="str">
        <f>IF(B101="","",TEXT(96,"P000"))</f>
        <v/>
      </c>
      <c r="B101" s="12"/>
      <c r="C101" s="12"/>
      <c r="D101" s="12"/>
      <c r="E101" s="12"/>
      <c r="F101" s="13"/>
      <c r="G101" s="10" t="str">
        <f>IF(F101="","",IFERROR(INDEX('Reference Values'!$B$8:$B$12,F101),"?"))</f>
        <v/>
      </c>
      <c r="H101" s="13"/>
      <c r="I101" s="10" t="str">
        <f>IF(H101="","",IFERROR(INDEX('Reference Values'!$B$8:$B$12,H101),"?"))</f>
        <v/>
      </c>
      <c r="J101" s="12"/>
      <c r="K101" s="12"/>
      <c r="L101" s="12"/>
    </row>
    <row r="102" spans="1:12" ht="24" customHeight="1" x14ac:dyDescent="0.25">
      <c r="A102" s="7" t="str">
        <f>IF(B102="","",TEXT(97,"P000"))</f>
        <v/>
      </c>
      <c r="B102" s="8"/>
      <c r="C102" s="8"/>
      <c r="D102" s="8"/>
      <c r="E102" s="8"/>
      <c r="F102" s="9"/>
      <c r="G102" s="10" t="str">
        <f>IF(F102="","",IFERROR(INDEX('Reference Values'!$B$8:$B$12,F102),"?"))</f>
        <v/>
      </c>
      <c r="H102" s="9"/>
      <c r="I102" s="10" t="str">
        <f>IF(H102="","",IFERROR(INDEX('Reference Values'!$B$8:$B$12,H102),"?"))</f>
        <v/>
      </c>
      <c r="J102" s="8"/>
      <c r="K102" s="8"/>
      <c r="L102" s="8"/>
    </row>
    <row r="103" spans="1:12" ht="24" customHeight="1" x14ac:dyDescent="0.25">
      <c r="A103" s="11" t="str">
        <f>IF(B103="","",TEXT(98,"P000"))</f>
        <v/>
      </c>
      <c r="B103" s="12"/>
      <c r="C103" s="12"/>
      <c r="D103" s="12"/>
      <c r="E103" s="12"/>
      <c r="F103" s="13"/>
      <c r="G103" s="10" t="str">
        <f>IF(F103="","",IFERROR(INDEX('Reference Values'!$B$8:$B$12,F103),"?"))</f>
        <v/>
      </c>
      <c r="H103" s="13"/>
      <c r="I103" s="10" t="str">
        <f>IF(H103="","",IFERROR(INDEX('Reference Values'!$B$8:$B$12,H103),"?"))</f>
        <v/>
      </c>
      <c r="J103" s="12"/>
      <c r="K103" s="12"/>
      <c r="L103" s="12"/>
    </row>
    <row r="104" spans="1:12" ht="24" customHeight="1" x14ac:dyDescent="0.25">
      <c r="A104" s="7" t="str">
        <f>IF(B104="","",TEXT(99,"P000"))</f>
        <v/>
      </c>
      <c r="B104" s="8"/>
      <c r="C104" s="8"/>
      <c r="D104" s="8"/>
      <c r="E104" s="8"/>
      <c r="F104" s="9"/>
      <c r="G104" s="10" t="str">
        <f>IF(F104="","",IFERROR(INDEX('Reference Values'!$B$8:$B$12,F104),"?"))</f>
        <v/>
      </c>
      <c r="H104" s="9"/>
      <c r="I104" s="10" t="str">
        <f>IF(H104="","",IFERROR(INDEX('Reference Values'!$B$8:$B$12,H104),"?"))</f>
        <v/>
      </c>
      <c r="J104" s="8"/>
      <c r="K104" s="8"/>
      <c r="L104" s="8"/>
    </row>
    <row r="105" spans="1:12" ht="24" customHeight="1" x14ac:dyDescent="0.25">
      <c r="A105" s="11" t="str">
        <f>IF(B105="","",TEXT(100,"P000"))</f>
        <v/>
      </c>
      <c r="B105" s="12"/>
      <c r="C105" s="12"/>
      <c r="D105" s="12"/>
      <c r="E105" s="12"/>
      <c r="F105" s="13"/>
      <c r="G105" s="10" t="str">
        <f>IF(F105="","",IFERROR(INDEX('Reference Values'!$B$8:$B$12,F105),"?"))</f>
        <v/>
      </c>
      <c r="H105" s="13"/>
      <c r="I105" s="10" t="str">
        <f>IF(H105="","",IFERROR(INDEX('Reference Values'!$B$8:$B$12,H105),"?"))</f>
        <v/>
      </c>
      <c r="J105" s="12"/>
      <c r="K105" s="12"/>
      <c r="L105" s="12"/>
    </row>
  </sheetData>
  <autoFilter ref="A5:L5" xr:uid="{00000000-0009-0000-0000-000002000000}"/>
  <mergeCells count="5">
    <mergeCell ref="A2:L2"/>
    <mergeCell ref="A1:L1"/>
    <mergeCell ref="F5:G5"/>
    <mergeCell ref="H5:I5"/>
    <mergeCell ref="A3:L3"/>
  </mergeCells>
  <conditionalFormatting sqref="F6:F105">
    <cfRule type="expression" dxfId="93" priority="1">
      <formula>F6=1</formula>
    </cfRule>
    <cfRule type="expression" dxfId="92" priority="3">
      <formula>F6=2</formula>
    </cfRule>
    <cfRule type="expression" dxfId="91" priority="5">
      <formula>F6=3</formula>
    </cfRule>
    <cfRule type="expression" dxfId="90" priority="7">
      <formula>F6=4</formula>
    </cfRule>
    <cfRule type="expression" dxfId="89" priority="9">
      <formula>F6=5</formula>
    </cfRule>
  </conditionalFormatting>
  <conditionalFormatting sqref="G6:G105">
    <cfRule type="expression" dxfId="88" priority="2">
      <formula>F6=1</formula>
    </cfRule>
    <cfRule type="expression" dxfId="87" priority="4">
      <formula>F6=2</formula>
    </cfRule>
    <cfRule type="expression" dxfId="86" priority="6">
      <formula>F6=3</formula>
    </cfRule>
    <cfRule type="expression" dxfId="85" priority="8">
      <formula>F6=4</formula>
    </cfRule>
    <cfRule type="expression" dxfId="84" priority="10">
      <formula>F6=5</formula>
    </cfRule>
  </conditionalFormatting>
  <conditionalFormatting sqref="H6:H105">
    <cfRule type="expression" dxfId="83" priority="11">
      <formula>H6=1</formula>
    </cfRule>
    <cfRule type="expression" dxfId="82" priority="13">
      <formula>H6=2</formula>
    </cfRule>
    <cfRule type="expression" dxfId="81" priority="15">
      <formula>H6=3</formula>
    </cfRule>
    <cfRule type="expression" dxfId="80" priority="17">
      <formula>H6=4</formula>
    </cfRule>
    <cfRule type="expression" dxfId="79" priority="19">
      <formula>H6=5</formula>
    </cfRule>
  </conditionalFormatting>
  <conditionalFormatting sqref="I6:I105">
    <cfRule type="expression" dxfId="78" priority="12">
      <formula>H6=1</formula>
    </cfRule>
    <cfRule type="expression" dxfId="77" priority="14">
      <formula>H6=2</formula>
    </cfRule>
    <cfRule type="expression" dxfId="76" priority="16">
      <formula>H6=3</formula>
    </cfRule>
    <cfRule type="expression" dxfId="75" priority="18">
      <formula>H6=4</formula>
    </cfRule>
    <cfRule type="expression" dxfId="74"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93" t="str">
        <f>IFERROR(INDEX(_Lang!$B$2:$D$300,MATCH("asset_title",_Lang!$A$2:$A$300,0),IF(Config!$D$9="NL",1,IF(Config!$D$9="FR",2,3))),"[asset_title]")</f>
        <v>Informatieassets</v>
      </c>
      <c r="B1" s="88"/>
      <c r="C1" s="88"/>
      <c r="D1" s="88"/>
      <c r="E1" s="88"/>
      <c r="F1" s="88"/>
      <c r="G1" s="88"/>
      <c r="H1" s="88"/>
      <c r="I1" s="88"/>
    </row>
    <row r="2" spans="1:9" ht="21.95" customHeight="1" x14ac:dyDescent="0.25">
      <c r="A2" s="94" t="str">
        <f>IFERROR(INDEX(_Lang!$B$2:$D$300,MATCH("app_tagline",_Lang!$A$2:$A$300,0),IF(Config!$D$9="NL",1,IF(Config!$D$9="FR",2,3))),"[app_tagline]")</f>
        <v>Governance · Risico · Compliance</v>
      </c>
      <c r="B2" s="88"/>
      <c r="C2" s="88"/>
      <c r="D2" s="88"/>
      <c r="E2" s="88"/>
      <c r="F2" s="88"/>
      <c r="G2" s="88"/>
      <c r="H2" s="88"/>
      <c r="I2" s="88"/>
    </row>
    <row r="3" spans="1:9" ht="21.95" customHeight="1" x14ac:dyDescent="0.25">
      <c r="A3" s="101" t="str">
        <f>IFERROR(INDEX(_Lang!$B$2:$D$300,MATCH("asset_subtitle",_Lang!$A$2:$A$300,0),IF(Config!$D$9="NL",1,IF(Config!$D$9="FR",2,3))),"[asset_subtitle]")</f>
        <v>Voer de informatieactiva in en ken de veiligheidclassificatie toe (1 = Laag … 5 = Kritiek).</v>
      </c>
      <c r="B3" s="88"/>
      <c r="C3" s="88"/>
      <c r="D3" s="88"/>
      <c r="E3" s="88"/>
      <c r="F3" s="88"/>
      <c r="G3" s="88"/>
      <c r="H3" s="88"/>
      <c r="I3" s="88"/>
    </row>
    <row r="4" spans="1:9" ht="8.1" customHeight="1" x14ac:dyDescent="0.25"/>
    <row r="5" spans="1:9" ht="44.1" customHeight="1" x14ac:dyDescent="0.25">
      <c r="A5" s="6" t="str">
        <f>IFERROR(INDEX(_Lang!$B$2:$D$300,MATCH("asset_col_id",_Lang!$A$2:$A$300,0),IF(Config!$D$9="NL",1,IF(Config!$D$9="FR",2,3))),"[asset_col_id]")</f>
        <v>ID</v>
      </c>
      <c r="B5" s="6" t="str">
        <f>IFERROR(INDEX(_Lang!$B$2:$D$300,MATCH("asset_col_naam",_Lang!$A$2:$A$300,0),IF(Config!$D$9="NL",1,IF(Config!$D$9="FR",2,3))),"[asset_col_naam]")</f>
        <v>Naam</v>
      </c>
      <c r="C5" s="6" t="str">
        <f>IFERROR(INDEX(_Lang!$B$2:$D$300,MATCH("asset_col_omschrijving",_Lang!$A$2:$A$300,0),IF(Config!$D$9="NL",1,IF(Config!$D$9="FR",2,3))),"[asset_col_omschrijving]")</f>
        <v>Omschrijving</v>
      </c>
      <c r="D5" s="6" t="str">
        <f>IFERROR(INDEX(_Lang!$B$2:$D$300,MATCH("asset_col_eigenaar",_Lang!$A$2:$A$300,0),IF(Config!$D$9="NL",1,IF(Config!$D$9="FR",2,3))),"[asset_col_eigenaar]")</f>
        <v>Eigenaar</v>
      </c>
      <c r="E5" s="6" t="str">
        <f>IFERROR(INDEX(_Lang!$B$2:$D$300,MATCH("asset_col_dienst",_Lang!$A$2:$A$300,0),IF(Config!$D$9="NL",1,IF(Config!$D$9="FR",2,3))),"[asset_col_dienst]")</f>
        <v>Dienst / Entiteit</v>
      </c>
      <c r="F5" s="100" t="str">
        <f>IFERROR(INDEX(_Lang!$B$2:$D$300,MATCH("asset_col_conf",_Lang!$A$2:$A$300,0),IF(Config!$D$9="NL",1,IF(Config!$D$9="FR",2,3))),"[asset_col_conf]")</f>
        <v>Confidentialiteit</v>
      </c>
      <c r="G5" s="88"/>
      <c r="H5" s="6" t="str">
        <f>IFERROR(INDEX(_Lang!$B$2:$D$300,MATCH("asset_col_opmerkingen",_Lang!$A$2:$A$300,0),IF(Config!$D$9="NL",1,IF(Config!$D$9="FR",2,3))),"[asset_col_opmerkingen]")</f>
        <v>Opmerkingen</v>
      </c>
      <c r="I5" s="6" t="str">
        <f>IFERROR(INDEX(_Lang!$B$2:$D$300,MATCH("asset_col_processes",_Lang!$A$2:$A$300,0),IF(Config!$D$9="NL",1,IF(Config!$D$9="FR",2,3))),"[asset_col_processes]")</f>
        <v>Gebruikt in processen</v>
      </c>
    </row>
    <row r="6" spans="1:9" ht="24" customHeight="1" x14ac:dyDescent="0.25">
      <c r="A6" s="7" t="str">
        <f>IF(B6="","",TEXT(1,"A000"))</f>
        <v/>
      </c>
      <c r="B6" s="8"/>
      <c r="C6" s="8"/>
      <c r="D6" s="8"/>
      <c r="E6" s="8"/>
      <c r="F6" s="9"/>
      <c r="G6" s="10" t="str">
        <f>IF(F6="","",IFERROR(INDEX('Reference Values'!$B$8:$B$12,F6),"?"))</f>
        <v/>
      </c>
      <c r="H6" s="8"/>
      <c r="I6" s="14"/>
    </row>
    <row r="7" spans="1:9" ht="24" customHeight="1" x14ac:dyDescent="0.25">
      <c r="A7" s="11" t="str">
        <f>IF(B7="","",TEXT(2,"A000"))</f>
        <v/>
      </c>
      <c r="B7" s="12"/>
      <c r="C7" s="12"/>
      <c r="D7" s="12"/>
      <c r="E7" s="12"/>
      <c r="F7" s="13"/>
      <c r="G7" s="10" t="str">
        <f>IF(F7="","",IFERROR(INDEX('Reference Values'!$B$8:$B$12,F7),"?"))</f>
        <v/>
      </c>
      <c r="H7" s="12"/>
      <c r="I7" s="14"/>
    </row>
    <row r="8" spans="1:9" ht="24" customHeight="1" x14ac:dyDescent="0.25">
      <c r="A8" s="7" t="str">
        <f>IF(B8="","",TEXT(3,"A000"))</f>
        <v/>
      </c>
      <c r="B8" s="8"/>
      <c r="C8" s="8"/>
      <c r="D8" s="8"/>
      <c r="E8" s="8"/>
      <c r="F8" s="9"/>
      <c r="G8" s="10" t="str">
        <f>IF(F8="","",IFERROR(INDEX('Reference Values'!$B$8:$B$12,F8),"?"))</f>
        <v/>
      </c>
      <c r="H8" s="8"/>
      <c r="I8" s="14"/>
    </row>
    <row r="9" spans="1:9" ht="24" customHeight="1" x14ac:dyDescent="0.25">
      <c r="A9" s="11" t="str">
        <f>IF(B9="","",TEXT(4,"A000"))</f>
        <v/>
      </c>
      <c r="B9" s="12"/>
      <c r="C9" s="12"/>
      <c r="D9" s="12"/>
      <c r="E9" s="12"/>
      <c r="F9" s="13"/>
      <c r="G9" s="10" t="str">
        <f>IF(F9="","",IFERROR(INDEX('Reference Values'!$B$8:$B$12,F9),"?"))</f>
        <v/>
      </c>
      <c r="H9" s="12"/>
      <c r="I9" s="14"/>
    </row>
    <row r="10" spans="1:9" ht="24" customHeight="1" x14ac:dyDescent="0.25">
      <c r="A10" s="7" t="str">
        <f>IF(B10="","",TEXT(5,"A000"))</f>
        <v/>
      </c>
      <c r="B10" s="8"/>
      <c r="C10" s="8"/>
      <c r="D10" s="8"/>
      <c r="E10" s="8"/>
      <c r="F10" s="9"/>
      <c r="G10" s="10" t="str">
        <f>IF(F10="","",IFERROR(INDEX('Reference Values'!$B$8:$B$12,F10),"?"))</f>
        <v/>
      </c>
      <c r="H10" s="8"/>
      <c r="I10" s="14"/>
    </row>
    <row r="11" spans="1:9" ht="24" customHeight="1" x14ac:dyDescent="0.25">
      <c r="A11" s="11" t="str">
        <f>IF(B11="","",TEXT(6,"A000"))</f>
        <v/>
      </c>
      <c r="B11" s="12"/>
      <c r="C11" s="12"/>
      <c r="D11" s="12"/>
      <c r="E11" s="12"/>
      <c r="F11" s="13"/>
      <c r="G11" s="10" t="str">
        <f>IF(F11="","",IFERROR(INDEX('Reference Values'!$B$8:$B$12,F11),"?"))</f>
        <v/>
      </c>
      <c r="H11" s="12"/>
      <c r="I11" s="14"/>
    </row>
    <row r="12" spans="1:9" ht="24" customHeight="1" x14ac:dyDescent="0.25">
      <c r="A12" s="7" t="str">
        <f>IF(B12="","",TEXT(7,"A000"))</f>
        <v/>
      </c>
      <c r="B12" s="8"/>
      <c r="C12" s="8"/>
      <c r="D12" s="8"/>
      <c r="E12" s="8"/>
      <c r="F12" s="9"/>
      <c r="G12" s="10" t="str">
        <f>IF(F12="","",IFERROR(INDEX('Reference Values'!$B$8:$B$12,F12),"?"))</f>
        <v/>
      </c>
      <c r="H12" s="8"/>
      <c r="I12" s="14"/>
    </row>
    <row r="13" spans="1:9" ht="24" customHeight="1" x14ac:dyDescent="0.25">
      <c r="A13" s="11" t="str">
        <f>IF(B13="","",TEXT(8,"A000"))</f>
        <v/>
      </c>
      <c r="B13" s="12"/>
      <c r="C13" s="12"/>
      <c r="D13" s="12"/>
      <c r="E13" s="12"/>
      <c r="F13" s="13"/>
      <c r="G13" s="10" t="str">
        <f>IF(F13="","",IFERROR(INDEX('Reference Values'!$B$8:$B$12,F13),"?"))</f>
        <v/>
      </c>
      <c r="H13" s="12"/>
      <c r="I13" s="14"/>
    </row>
    <row r="14" spans="1:9" ht="24" customHeight="1" x14ac:dyDescent="0.25">
      <c r="A14" s="7" t="str">
        <f>IF(B14="","",TEXT(9,"A000"))</f>
        <v/>
      </c>
      <c r="B14" s="8"/>
      <c r="C14" s="8"/>
      <c r="D14" s="8"/>
      <c r="E14" s="8"/>
      <c r="F14" s="9"/>
      <c r="G14" s="10" t="str">
        <f>IF(F14="","",IFERROR(INDEX('Reference Values'!$B$8:$B$12,F14),"?"))</f>
        <v/>
      </c>
      <c r="H14" s="8"/>
      <c r="I14" s="14"/>
    </row>
    <row r="15" spans="1:9" ht="24" customHeight="1" x14ac:dyDescent="0.25">
      <c r="A15" s="11" t="str">
        <f>IF(B15="","",TEXT(10,"A000"))</f>
        <v/>
      </c>
      <c r="B15" s="12"/>
      <c r="C15" s="12"/>
      <c r="D15" s="12"/>
      <c r="E15" s="12"/>
      <c r="F15" s="13"/>
      <c r="G15" s="10" t="str">
        <f>IF(F15="","",IFERROR(INDEX('Reference Values'!$B$8:$B$12,F15),"?"))</f>
        <v/>
      </c>
      <c r="H15" s="12"/>
      <c r="I15" s="14"/>
    </row>
    <row r="16" spans="1:9" ht="24" customHeight="1" x14ac:dyDescent="0.25">
      <c r="A16" s="7" t="str">
        <f>IF(B16="","",TEXT(11,"A000"))</f>
        <v/>
      </c>
      <c r="B16" s="8"/>
      <c r="C16" s="8"/>
      <c r="D16" s="8"/>
      <c r="E16" s="8"/>
      <c r="F16" s="9"/>
      <c r="G16" s="10" t="str">
        <f>IF(F16="","",IFERROR(INDEX('Reference Values'!$B$8:$B$12,F16),"?"))</f>
        <v/>
      </c>
      <c r="H16" s="8"/>
      <c r="I16" s="14"/>
    </row>
    <row r="17" spans="1:9" ht="24" customHeight="1" x14ac:dyDescent="0.25">
      <c r="A17" s="11" t="str">
        <f>IF(B17="","",TEXT(12,"A000"))</f>
        <v/>
      </c>
      <c r="B17" s="12"/>
      <c r="C17" s="12"/>
      <c r="D17" s="12"/>
      <c r="E17" s="12"/>
      <c r="F17" s="13"/>
      <c r="G17" s="10" t="str">
        <f>IF(F17="","",IFERROR(INDEX('Reference Values'!$B$8:$B$12,F17),"?"))</f>
        <v/>
      </c>
      <c r="H17" s="12"/>
      <c r="I17" s="14"/>
    </row>
    <row r="18" spans="1:9" ht="24" customHeight="1" x14ac:dyDescent="0.25">
      <c r="A18" s="7" t="str">
        <f>IF(B18="","",TEXT(13,"A000"))</f>
        <v/>
      </c>
      <c r="B18" s="8"/>
      <c r="C18" s="8"/>
      <c r="D18" s="8"/>
      <c r="E18" s="8"/>
      <c r="F18" s="9"/>
      <c r="G18" s="10" t="str">
        <f>IF(F18="","",IFERROR(INDEX('Reference Values'!$B$8:$B$12,F18),"?"))</f>
        <v/>
      </c>
      <c r="H18" s="8"/>
      <c r="I18" s="14"/>
    </row>
    <row r="19" spans="1:9" ht="24" customHeight="1" x14ac:dyDescent="0.25">
      <c r="A19" s="11" t="str">
        <f>IF(B19="","",TEXT(14,"A000"))</f>
        <v/>
      </c>
      <c r="B19" s="12"/>
      <c r="C19" s="12"/>
      <c r="D19" s="12"/>
      <c r="E19" s="12"/>
      <c r="F19" s="13"/>
      <c r="G19" s="10" t="str">
        <f>IF(F19="","",IFERROR(INDEX('Reference Values'!$B$8:$B$12,F19),"?"))</f>
        <v/>
      </c>
      <c r="H19" s="12"/>
      <c r="I19" s="14"/>
    </row>
    <row r="20" spans="1:9" ht="24" customHeight="1" x14ac:dyDescent="0.25">
      <c r="A20" s="7" t="str">
        <f>IF(B20="","",TEXT(15,"A000"))</f>
        <v/>
      </c>
      <c r="B20" s="8"/>
      <c r="C20" s="8"/>
      <c r="D20" s="8"/>
      <c r="E20" s="8"/>
      <c r="F20" s="9"/>
      <c r="G20" s="10" t="str">
        <f>IF(F20="","",IFERROR(INDEX('Reference Values'!$B$8:$B$12,F20),"?"))</f>
        <v/>
      </c>
      <c r="H20" s="8"/>
      <c r="I20" s="14"/>
    </row>
    <row r="21" spans="1:9" ht="24" customHeight="1" x14ac:dyDescent="0.25">
      <c r="A21" s="11" t="str">
        <f>IF(B21="","",TEXT(16,"A000"))</f>
        <v/>
      </c>
      <c r="B21" s="12"/>
      <c r="C21" s="12"/>
      <c r="D21" s="12"/>
      <c r="E21" s="12"/>
      <c r="F21" s="13"/>
      <c r="G21" s="10" t="str">
        <f>IF(F21="","",IFERROR(INDEX('Reference Values'!$B$8:$B$12,F21),"?"))</f>
        <v/>
      </c>
      <c r="H21" s="12"/>
      <c r="I21" s="14"/>
    </row>
    <row r="22" spans="1:9" ht="24" customHeight="1" x14ac:dyDescent="0.25">
      <c r="A22" s="7" t="str">
        <f>IF(B22="","",TEXT(17,"A000"))</f>
        <v/>
      </c>
      <c r="B22" s="8"/>
      <c r="C22" s="8"/>
      <c r="D22" s="8"/>
      <c r="E22" s="8"/>
      <c r="F22" s="9"/>
      <c r="G22" s="10" t="str">
        <f>IF(F22="","",IFERROR(INDEX('Reference Values'!$B$8:$B$12,F22),"?"))</f>
        <v/>
      </c>
      <c r="H22" s="8"/>
      <c r="I22" s="14"/>
    </row>
    <row r="23" spans="1:9" ht="24" customHeight="1" x14ac:dyDescent="0.25">
      <c r="A23" s="11" t="str">
        <f>IF(B23="","",TEXT(18,"A000"))</f>
        <v/>
      </c>
      <c r="B23" s="12"/>
      <c r="C23" s="12"/>
      <c r="D23" s="12"/>
      <c r="E23" s="12"/>
      <c r="F23" s="13"/>
      <c r="G23" s="10" t="str">
        <f>IF(F23="","",IFERROR(INDEX('Reference Values'!$B$8:$B$12,F23),"?"))</f>
        <v/>
      </c>
      <c r="H23" s="12"/>
      <c r="I23" s="14"/>
    </row>
    <row r="24" spans="1:9" ht="24" customHeight="1" x14ac:dyDescent="0.25">
      <c r="A24" s="7" t="str">
        <f>IF(B24="","",TEXT(19,"A000"))</f>
        <v/>
      </c>
      <c r="B24" s="8"/>
      <c r="C24" s="8"/>
      <c r="D24" s="8"/>
      <c r="E24" s="8"/>
      <c r="F24" s="9"/>
      <c r="G24" s="10" t="str">
        <f>IF(F24="","",IFERROR(INDEX('Reference Values'!$B$8:$B$12,F24),"?"))</f>
        <v/>
      </c>
      <c r="H24" s="8"/>
      <c r="I24" s="14"/>
    </row>
    <row r="25" spans="1:9" ht="24" customHeight="1" x14ac:dyDescent="0.25">
      <c r="A25" s="11" t="str">
        <f>IF(B25="","",TEXT(20,"A000"))</f>
        <v/>
      </c>
      <c r="B25" s="12"/>
      <c r="C25" s="12"/>
      <c r="D25" s="12"/>
      <c r="E25" s="12"/>
      <c r="F25" s="13"/>
      <c r="G25" s="10" t="str">
        <f>IF(F25="","",IFERROR(INDEX('Reference Values'!$B$8:$B$12,F25),"?"))</f>
        <v/>
      </c>
      <c r="H25" s="12"/>
      <c r="I25" s="14"/>
    </row>
    <row r="26" spans="1:9" ht="24" customHeight="1" x14ac:dyDescent="0.25">
      <c r="A26" s="7" t="str">
        <f>IF(B26="","",TEXT(21,"A000"))</f>
        <v/>
      </c>
      <c r="B26" s="8"/>
      <c r="C26" s="8"/>
      <c r="D26" s="8"/>
      <c r="E26" s="8"/>
      <c r="F26" s="9"/>
      <c r="G26" s="10" t="str">
        <f>IF(F26="","",IFERROR(INDEX('Reference Values'!$B$8:$B$12,F26),"?"))</f>
        <v/>
      </c>
      <c r="H26" s="8"/>
      <c r="I26" s="14"/>
    </row>
    <row r="27" spans="1:9" ht="24" customHeight="1" x14ac:dyDescent="0.25">
      <c r="A27" s="11" t="str">
        <f>IF(B27="","",TEXT(22,"A000"))</f>
        <v/>
      </c>
      <c r="B27" s="12"/>
      <c r="C27" s="12"/>
      <c r="D27" s="12"/>
      <c r="E27" s="12"/>
      <c r="F27" s="13"/>
      <c r="G27" s="10" t="str">
        <f>IF(F27="","",IFERROR(INDEX('Reference Values'!$B$8:$B$12,F27),"?"))</f>
        <v/>
      </c>
      <c r="H27" s="12"/>
      <c r="I27" s="14"/>
    </row>
    <row r="28" spans="1:9" ht="24" customHeight="1" x14ac:dyDescent="0.25">
      <c r="A28" s="7" t="str">
        <f>IF(B28="","",TEXT(23,"A000"))</f>
        <v/>
      </c>
      <c r="B28" s="8"/>
      <c r="C28" s="8"/>
      <c r="D28" s="8"/>
      <c r="E28" s="8"/>
      <c r="F28" s="9"/>
      <c r="G28" s="10" t="str">
        <f>IF(F28="","",IFERROR(INDEX('Reference Values'!$B$8:$B$12,F28),"?"))</f>
        <v/>
      </c>
      <c r="H28" s="8"/>
      <c r="I28" s="14"/>
    </row>
    <row r="29" spans="1:9" ht="24" customHeight="1" x14ac:dyDescent="0.25">
      <c r="A29" s="11" t="str">
        <f>IF(B29="","",TEXT(24,"A000"))</f>
        <v/>
      </c>
      <c r="B29" s="12"/>
      <c r="C29" s="12"/>
      <c r="D29" s="12"/>
      <c r="E29" s="12"/>
      <c r="F29" s="13"/>
      <c r="G29" s="10" t="str">
        <f>IF(F29="","",IFERROR(INDEX('Reference Values'!$B$8:$B$12,F29),"?"))</f>
        <v/>
      </c>
      <c r="H29" s="12"/>
      <c r="I29" s="14"/>
    </row>
    <row r="30" spans="1:9" ht="24" customHeight="1" x14ac:dyDescent="0.25">
      <c r="A30" s="7" t="str">
        <f>IF(B30="","",TEXT(25,"A000"))</f>
        <v/>
      </c>
      <c r="B30" s="8"/>
      <c r="C30" s="8"/>
      <c r="D30" s="8"/>
      <c r="E30" s="8"/>
      <c r="F30" s="9"/>
      <c r="G30" s="10" t="str">
        <f>IF(F30="","",IFERROR(INDEX('Reference Values'!$B$8:$B$12,F30),"?"))</f>
        <v/>
      </c>
      <c r="H30" s="8"/>
      <c r="I30" s="14"/>
    </row>
    <row r="31" spans="1:9" ht="24" customHeight="1" x14ac:dyDescent="0.25">
      <c r="A31" s="11" t="str">
        <f>IF(B31="","",TEXT(26,"A000"))</f>
        <v/>
      </c>
      <c r="B31" s="12"/>
      <c r="C31" s="12"/>
      <c r="D31" s="12"/>
      <c r="E31" s="12"/>
      <c r="F31" s="13"/>
      <c r="G31" s="10" t="str">
        <f>IF(F31="","",IFERROR(INDEX('Reference Values'!$B$8:$B$12,F31),"?"))</f>
        <v/>
      </c>
      <c r="H31" s="12"/>
      <c r="I31" s="14"/>
    </row>
    <row r="32" spans="1:9" ht="24" customHeight="1" x14ac:dyDescent="0.25">
      <c r="A32" s="7" t="str">
        <f>IF(B32="","",TEXT(27,"A000"))</f>
        <v/>
      </c>
      <c r="B32" s="8"/>
      <c r="C32" s="8"/>
      <c r="D32" s="8"/>
      <c r="E32" s="8"/>
      <c r="F32" s="9"/>
      <c r="G32" s="10" t="str">
        <f>IF(F32="","",IFERROR(INDEX('Reference Values'!$B$8:$B$12,F32),"?"))</f>
        <v/>
      </c>
      <c r="H32" s="8"/>
      <c r="I32" s="14"/>
    </row>
    <row r="33" spans="1:9" ht="24" customHeight="1" x14ac:dyDescent="0.25">
      <c r="A33" s="11" t="str">
        <f>IF(B33="","",TEXT(28,"A000"))</f>
        <v/>
      </c>
      <c r="B33" s="12"/>
      <c r="C33" s="12"/>
      <c r="D33" s="12"/>
      <c r="E33" s="12"/>
      <c r="F33" s="13"/>
      <c r="G33" s="10" t="str">
        <f>IF(F33="","",IFERROR(INDEX('Reference Values'!$B$8:$B$12,F33),"?"))</f>
        <v/>
      </c>
      <c r="H33" s="12"/>
      <c r="I33" s="14"/>
    </row>
    <row r="34" spans="1:9" ht="24" customHeight="1" x14ac:dyDescent="0.25">
      <c r="A34" s="7" t="str">
        <f>IF(B34="","",TEXT(29,"A000"))</f>
        <v/>
      </c>
      <c r="B34" s="8"/>
      <c r="C34" s="8"/>
      <c r="D34" s="8"/>
      <c r="E34" s="8"/>
      <c r="F34" s="9"/>
      <c r="G34" s="10" t="str">
        <f>IF(F34="","",IFERROR(INDEX('Reference Values'!$B$8:$B$12,F34),"?"))</f>
        <v/>
      </c>
      <c r="H34" s="8"/>
      <c r="I34" s="14"/>
    </row>
    <row r="35" spans="1:9" ht="24" customHeight="1" x14ac:dyDescent="0.25">
      <c r="A35" s="11" t="str">
        <f>IF(B35="","",TEXT(30,"A000"))</f>
        <v/>
      </c>
      <c r="B35" s="12"/>
      <c r="C35" s="12"/>
      <c r="D35" s="12"/>
      <c r="E35" s="12"/>
      <c r="F35" s="13"/>
      <c r="G35" s="10" t="str">
        <f>IF(F35="","",IFERROR(INDEX('Reference Values'!$B$8:$B$12,F35),"?"))</f>
        <v/>
      </c>
      <c r="H35" s="12"/>
      <c r="I35" s="14"/>
    </row>
    <row r="36" spans="1:9" ht="24" customHeight="1" x14ac:dyDescent="0.25">
      <c r="A36" s="7" t="str">
        <f>IF(B36="","",TEXT(31,"A000"))</f>
        <v/>
      </c>
      <c r="B36" s="8"/>
      <c r="C36" s="8"/>
      <c r="D36" s="8"/>
      <c r="E36" s="8"/>
      <c r="F36" s="9"/>
      <c r="G36" s="10" t="str">
        <f>IF(F36="","",IFERROR(INDEX('Reference Values'!$B$8:$B$12,F36),"?"))</f>
        <v/>
      </c>
      <c r="H36" s="8"/>
      <c r="I36" s="14"/>
    </row>
    <row r="37" spans="1:9" ht="24" customHeight="1" x14ac:dyDescent="0.25">
      <c r="A37" s="11" t="str">
        <f>IF(B37="","",TEXT(32,"A000"))</f>
        <v/>
      </c>
      <c r="B37" s="12"/>
      <c r="C37" s="12"/>
      <c r="D37" s="12"/>
      <c r="E37" s="12"/>
      <c r="F37" s="13"/>
      <c r="G37" s="10" t="str">
        <f>IF(F37="","",IFERROR(INDEX('Reference Values'!$B$8:$B$12,F37),"?"))</f>
        <v/>
      </c>
      <c r="H37" s="12"/>
      <c r="I37" s="14"/>
    </row>
    <row r="38" spans="1:9" ht="24" customHeight="1" x14ac:dyDescent="0.25">
      <c r="A38" s="7" t="str">
        <f>IF(B38="","",TEXT(33,"A000"))</f>
        <v/>
      </c>
      <c r="B38" s="8"/>
      <c r="C38" s="8"/>
      <c r="D38" s="8"/>
      <c r="E38" s="8"/>
      <c r="F38" s="9"/>
      <c r="G38" s="10" t="str">
        <f>IF(F38="","",IFERROR(INDEX('Reference Values'!$B$8:$B$12,F38),"?"))</f>
        <v/>
      </c>
      <c r="H38" s="8"/>
      <c r="I38" s="14"/>
    </row>
    <row r="39" spans="1:9" ht="24" customHeight="1" x14ac:dyDescent="0.25">
      <c r="A39" s="11" t="str">
        <f>IF(B39="","",TEXT(34,"A000"))</f>
        <v/>
      </c>
      <c r="B39" s="12"/>
      <c r="C39" s="12"/>
      <c r="D39" s="12"/>
      <c r="E39" s="12"/>
      <c r="F39" s="13"/>
      <c r="G39" s="10" t="str">
        <f>IF(F39="","",IFERROR(INDEX('Reference Values'!$B$8:$B$12,F39),"?"))</f>
        <v/>
      </c>
      <c r="H39" s="12"/>
      <c r="I39" s="14"/>
    </row>
    <row r="40" spans="1:9" ht="24" customHeight="1" x14ac:dyDescent="0.25">
      <c r="A40" s="7" t="str">
        <f>IF(B40="","",TEXT(35,"A000"))</f>
        <v/>
      </c>
      <c r="B40" s="8"/>
      <c r="C40" s="8"/>
      <c r="D40" s="8"/>
      <c r="E40" s="8"/>
      <c r="F40" s="9"/>
      <c r="G40" s="10" t="str">
        <f>IF(F40="","",IFERROR(INDEX('Reference Values'!$B$8:$B$12,F40),"?"))</f>
        <v/>
      </c>
      <c r="H40" s="8"/>
      <c r="I40" s="14"/>
    </row>
    <row r="41" spans="1:9" ht="24" customHeight="1" x14ac:dyDescent="0.25">
      <c r="A41" s="11" t="str">
        <f>IF(B41="","",TEXT(36,"A000"))</f>
        <v/>
      </c>
      <c r="B41" s="12"/>
      <c r="C41" s="12"/>
      <c r="D41" s="12"/>
      <c r="E41" s="12"/>
      <c r="F41" s="13"/>
      <c r="G41" s="10" t="str">
        <f>IF(F41="","",IFERROR(INDEX('Reference Values'!$B$8:$B$12,F41),"?"))</f>
        <v/>
      </c>
      <c r="H41" s="12"/>
      <c r="I41" s="14"/>
    </row>
    <row r="42" spans="1:9" ht="24" customHeight="1" x14ac:dyDescent="0.25">
      <c r="A42" s="7" t="str">
        <f>IF(B42="","",TEXT(37,"A000"))</f>
        <v/>
      </c>
      <c r="B42" s="8"/>
      <c r="C42" s="8"/>
      <c r="D42" s="8"/>
      <c r="E42" s="8"/>
      <c r="F42" s="9"/>
      <c r="G42" s="10" t="str">
        <f>IF(F42="","",IFERROR(INDEX('Reference Values'!$B$8:$B$12,F42),"?"))</f>
        <v/>
      </c>
      <c r="H42" s="8"/>
      <c r="I42" s="14"/>
    </row>
    <row r="43" spans="1:9" ht="24" customHeight="1" x14ac:dyDescent="0.25">
      <c r="A43" s="11" t="str">
        <f>IF(B43="","",TEXT(38,"A000"))</f>
        <v/>
      </c>
      <c r="B43" s="12"/>
      <c r="C43" s="12"/>
      <c r="D43" s="12"/>
      <c r="E43" s="12"/>
      <c r="F43" s="13"/>
      <c r="G43" s="10" t="str">
        <f>IF(F43="","",IFERROR(INDEX('Reference Values'!$B$8:$B$12,F43),"?"))</f>
        <v/>
      </c>
      <c r="H43" s="12"/>
      <c r="I43" s="14"/>
    </row>
    <row r="44" spans="1:9" ht="24" customHeight="1" x14ac:dyDescent="0.25">
      <c r="A44" s="7" t="str">
        <f>IF(B44="","",TEXT(39,"A000"))</f>
        <v/>
      </c>
      <c r="B44" s="8"/>
      <c r="C44" s="8"/>
      <c r="D44" s="8"/>
      <c r="E44" s="8"/>
      <c r="F44" s="9"/>
      <c r="G44" s="10" t="str">
        <f>IF(F44="","",IFERROR(INDEX('Reference Values'!$B$8:$B$12,F44),"?"))</f>
        <v/>
      </c>
      <c r="H44" s="8"/>
      <c r="I44" s="14"/>
    </row>
    <row r="45" spans="1:9" ht="24" customHeight="1" x14ac:dyDescent="0.25">
      <c r="A45" s="11" t="str">
        <f>IF(B45="","",TEXT(40,"A000"))</f>
        <v/>
      </c>
      <c r="B45" s="12"/>
      <c r="C45" s="12"/>
      <c r="D45" s="12"/>
      <c r="E45" s="12"/>
      <c r="F45" s="13"/>
      <c r="G45" s="10" t="str">
        <f>IF(F45="","",IFERROR(INDEX('Reference Values'!$B$8:$B$12,F45),"?"))</f>
        <v/>
      </c>
      <c r="H45" s="12"/>
      <c r="I45" s="14"/>
    </row>
    <row r="46" spans="1:9" ht="24" customHeight="1" x14ac:dyDescent="0.25">
      <c r="A46" s="7" t="str">
        <f>IF(B46="","",TEXT(41,"A000"))</f>
        <v/>
      </c>
      <c r="B46" s="8"/>
      <c r="C46" s="8"/>
      <c r="D46" s="8"/>
      <c r="E46" s="8"/>
      <c r="F46" s="9"/>
      <c r="G46" s="10" t="str">
        <f>IF(F46="","",IFERROR(INDEX('Reference Values'!$B$8:$B$12,F46),"?"))</f>
        <v/>
      </c>
      <c r="H46" s="8"/>
      <c r="I46" s="14"/>
    </row>
    <row r="47" spans="1:9" ht="24" customHeight="1" x14ac:dyDescent="0.25">
      <c r="A47" s="11" t="str">
        <f>IF(B47="","",TEXT(42,"A000"))</f>
        <v/>
      </c>
      <c r="B47" s="12"/>
      <c r="C47" s="12"/>
      <c r="D47" s="12"/>
      <c r="E47" s="12"/>
      <c r="F47" s="13"/>
      <c r="G47" s="10" t="str">
        <f>IF(F47="","",IFERROR(INDEX('Reference Values'!$B$8:$B$12,F47),"?"))</f>
        <v/>
      </c>
      <c r="H47" s="12"/>
      <c r="I47" s="14"/>
    </row>
    <row r="48" spans="1:9" ht="24" customHeight="1" x14ac:dyDescent="0.25">
      <c r="A48" s="7" t="str">
        <f>IF(B48="","",TEXT(43,"A000"))</f>
        <v/>
      </c>
      <c r="B48" s="8"/>
      <c r="C48" s="8"/>
      <c r="D48" s="8"/>
      <c r="E48" s="8"/>
      <c r="F48" s="9"/>
      <c r="G48" s="10" t="str">
        <f>IF(F48="","",IFERROR(INDEX('Reference Values'!$B$8:$B$12,F48),"?"))</f>
        <v/>
      </c>
      <c r="H48" s="8"/>
      <c r="I48" s="14"/>
    </row>
    <row r="49" spans="1:9" ht="24" customHeight="1" x14ac:dyDescent="0.25">
      <c r="A49" s="11" t="str">
        <f>IF(B49="","",TEXT(44,"A000"))</f>
        <v/>
      </c>
      <c r="B49" s="12"/>
      <c r="C49" s="12"/>
      <c r="D49" s="12"/>
      <c r="E49" s="12"/>
      <c r="F49" s="13"/>
      <c r="G49" s="10" t="str">
        <f>IF(F49="","",IFERROR(INDEX('Reference Values'!$B$8:$B$12,F49),"?"))</f>
        <v/>
      </c>
      <c r="H49" s="12"/>
      <c r="I49" s="14"/>
    </row>
    <row r="50" spans="1:9" ht="24" customHeight="1" x14ac:dyDescent="0.25">
      <c r="A50" s="7" t="str">
        <f>IF(B50="","",TEXT(45,"A000"))</f>
        <v/>
      </c>
      <c r="B50" s="8"/>
      <c r="C50" s="8"/>
      <c r="D50" s="8"/>
      <c r="E50" s="8"/>
      <c r="F50" s="9"/>
      <c r="G50" s="10" t="str">
        <f>IF(F50="","",IFERROR(INDEX('Reference Values'!$B$8:$B$12,F50),"?"))</f>
        <v/>
      </c>
      <c r="H50" s="8"/>
      <c r="I50" s="14"/>
    </row>
    <row r="51" spans="1:9" ht="24" customHeight="1" x14ac:dyDescent="0.25">
      <c r="A51" s="11" t="str">
        <f>IF(B51="","",TEXT(46,"A000"))</f>
        <v/>
      </c>
      <c r="B51" s="12"/>
      <c r="C51" s="12"/>
      <c r="D51" s="12"/>
      <c r="E51" s="12"/>
      <c r="F51" s="13"/>
      <c r="G51" s="10" t="str">
        <f>IF(F51="","",IFERROR(INDEX('Reference Values'!$B$8:$B$12,F51),"?"))</f>
        <v/>
      </c>
      <c r="H51" s="12"/>
      <c r="I51" s="14"/>
    </row>
    <row r="52" spans="1:9" ht="24" customHeight="1" x14ac:dyDescent="0.25">
      <c r="A52" s="7" t="str">
        <f>IF(B52="","",TEXT(47,"A000"))</f>
        <v/>
      </c>
      <c r="B52" s="8"/>
      <c r="C52" s="8"/>
      <c r="D52" s="8"/>
      <c r="E52" s="8"/>
      <c r="F52" s="9"/>
      <c r="G52" s="10" t="str">
        <f>IF(F52="","",IFERROR(INDEX('Reference Values'!$B$8:$B$12,F52),"?"))</f>
        <v/>
      </c>
      <c r="H52" s="8"/>
      <c r="I52" s="14"/>
    </row>
    <row r="53" spans="1:9" ht="24" customHeight="1" x14ac:dyDescent="0.25">
      <c r="A53" s="11" t="str">
        <f>IF(B53="","",TEXT(48,"A000"))</f>
        <v/>
      </c>
      <c r="B53" s="12"/>
      <c r="C53" s="12"/>
      <c r="D53" s="12"/>
      <c r="E53" s="12"/>
      <c r="F53" s="13"/>
      <c r="G53" s="10" t="str">
        <f>IF(F53="","",IFERROR(INDEX('Reference Values'!$B$8:$B$12,F53),"?"))</f>
        <v/>
      </c>
      <c r="H53" s="12"/>
      <c r="I53" s="14"/>
    </row>
    <row r="54" spans="1:9" ht="24" customHeight="1" x14ac:dyDescent="0.25">
      <c r="A54" s="7" t="str">
        <f>IF(B54="","",TEXT(49,"A000"))</f>
        <v/>
      </c>
      <c r="B54" s="8"/>
      <c r="C54" s="8"/>
      <c r="D54" s="8"/>
      <c r="E54" s="8"/>
      <c r="F54" s="9"/>
      <c r="G54" s="10" t="str">
        <f>IF(F54="","",IFERROR(INDEX('Reference Values'!$B$8:$B$12,F54),"?"))</f>
        <v/>
      </c>
      <c r="H54" s="8"/>
      <c r="I54" s="14"/>
    </row>
    <row r="55" spans="1:9" ht="24" customHeight="1" x14ac:dyDescent="0.25">
      <c r="A55" s="11" t="str">
        <f>IF(B55="","",TEXT(50,"A000"))</f>
        <v/>
      </c>
      <c r="B55" s="12"/>
      <c r="C55" s="12"/>
      <c r="D55" s="12"/>
      <c r="E55" s="12"/>
      <c r="F55" s="13"/>
      <c r="G55" s="10" t="str">
        <f>IF(F55="","",IFERROR(INDEX('Reference Values'!$B$8:$B$12,F55),"?"))</f>
        <v/>
      </c>
      <c r="H55" s="12"/>
      <c r="I55" s="14"/>
    </row>
    <row r="56" spans="1:9" ht="24" customHeight="1" x14ac:dyDescent="0.25">
      <c r="A56" s="7" t="str">
        <f>IF(B56="","",TEXT(51,"A000"))</f>
        <v/>
      </c>
      <c r="B56" s="8"/>
      <c r="C56" s="8"/>
      <c r="D56" s="8"/>
      <c r="E56" s="8"/>
      <c r="F56" s="9"/>
      <c r="G56" s="10" t="str">
        <f>IF(F56="","",IFERROR(INDEX('Reference Values'!$B$8:$B$12,F56),"?"))</f>
        <v/>
      </c>
      <c r="H56" s="8"/>
      <c r="I56" s="14"/>
    </row>
    <row r="57" spans="1:9" ht="24" customHeight="1" x14ac:dyDescent="0.25">
      <c r="A57" s="11" t="str">
        <f>IF(B57="","",TEXT(52,"A000"))</f>
        <v/>
      </c>
      <c r="B57" s="12"/>
      <c r="C57" s="12"/>
      <c r="D57" s="12"/>
      <c r="E57" s="12"/>
      <c r="F57" s="13"/>
      <c r="G57" s="10" t="str">
        <f>IF(F57="","",IFERROR(INDEX('Reference Values'!$B$8:$B$12,F57),"?"))</f>
        <v/>
      </c>
      <c r="H57" s="12"/>
      <c r="I57" s="14"/>
    </row>
    <row r="58" spans="1:9" ht="24" customHeight="1" x14ac:dyDescent="0.25">
      <c r="A58" s="7" t="str">
        <f>IF(B58="","",TEXT(53,"A000"))</f>
        <v/>
      </c>
      <c r="B58" s="8"/>
      <c r="C58" s="8"/>
      <c r="D58" s="8"/>
      <c r="E58" s="8"/>
      <c r="F58" s="9"/>
      <c r="G58" s="10" t="str">
        <f>IF(F58="","",IFERROR(INDEX('Reference Values'!$B$8:$B$12,F58),"?"))</f>
        <v/>
      </c>
      <c r="H58" s="8"/>
      <c r="I58" s="14"/>
    </row>
    <row r="59" spans="1:9" ht="24" customHeight="1" x14ac:dyDescent="0.25">
      <c r="A59" s="11" t="str">
        <f>IF(B59="","",TEXT(54,"A000"))</f>
        <v/>
      </c>
      <c r="B59" s="12"/>
      <c r="C59" s="12"/>
      <c r="D59" s="12"/>
      <c r="E59" s="12"/>
      <c r="F59" s="13"/>
      <c r="G59" s="10" t="str">
        <f>IF(F59="","",IFERROR(INDEX('Reference Values'!$B$8:$B$12,F59),"?"))</f>
        <v/>
      </c>
      <c r="H59" s="12"/>
      <c r="I59" s="14"/>
    </row>
    <row r="60" spans="1:9" ht="24" customHeight="1" x14ac:dyDescent="0.25">
      <c r="A60" s="7" t="str">
        <f>IF(B60="","",TEXT(55,"A000"))</f>
        <v/>
      </c>
      <c r="B60" s="8"/>
      <c r="C60" s="8"/>
      <c r="D60" s="8"/>
      <c r="E60" s="8"/>
      <c r="F60" s="9"/>
      <c r="G60" s="10" t="str">
        <f>IF(F60="","",IFERROR(INDEX('Reference Values'!$B$8:$B$12,F60),"?"))</f>
        <v/>
      </c>
      <c r="H60" s="8"/>
      <c r="I60" s="14"/>
    </row>
    <row r="61" spans="1:9" ht="24" customHeight="1" x14ac:dyDescent="0.25">
      <c r="A61" s="11" t="str">
        <f>IF(B61="","",TEXT(56,"A000"))</f>
        <v/>
      </c>
      <c r="B61" s="12"/>
      <c r="C61" s="12"/>
      <c r="D61" s="12"/>
      <c r="E61" s="12"/>
      <c r="F61" s="13"/>
      <c r="G61" s="10" t="str">
        <f>IF(F61="","",IFERROR(INDEX('Reference Values'!$B$8:$B$12,F61),"?"))</f>
        <v/>
      </c>
      <c r="H61" s="12"/>
      <c r="I61" s="14"/>
    </row>
    <row r="62" spans="1:9" ht="24" customHeight="1" x14ac:dyDescent="0.25">
      <c r="A62" s="7" t="str">
        <f>IF(B62="","",TEXT(57,"A000"))</f>
        <v/>
      </c>
      <c r="B62" s="8"/>
      <c r="C62" s="8"/>
      <c r="D62" s="8"/>
      <c r="E62" s="8"/>
      <c r="F62" s="9"/>
      <c r="G62" s="10" t="str">
        <f>IF(F62="","",IFERROR(INDEX('Reference Values'!$B$8:$B$12,F62),"?"))</f>
        <v/>
      </c>
      <c r="H62" s="8"/>
      <c r="I62" s="14"/>
    </row>
    <row r="63" spans="1:9" ht="24" customHeight="1" x14ac:dyDescent="0.25">
      <c r="A63" s="11" t="str">
        <f>IF(B63="","",TEXT(58,"A000"))</f>
        <v/>
      </c>
      <c r="B63" s="12"/>
      <c r="C63" s="12"/>
      <c r="D63" s="12"/>
      <c r="E63" s="12"/>
      <c r="F63" s="13"/>
      <c r="G63" s="10" t="str">
        <f>IF(F63="","",IFERROR(INDEX('Reference Values'!$B$8:$B$12,F63),"?"))</f>
        <v/>
      </c>
      <c r="H63" s="12"/>
      <c r="I63" s="14"/>
    </row>
    <row r="64" spans="1:9" ht="24" customHeight="1" x14ac:dyDescent="0.25">
      <c r="A64" s="7" t="str">
        <f>IF(B64="","",TEXT(59,"A000"))</f>
        <v/>
      </c>
      <c r="B64" s="8"/>
      <c r="C64" s="8"/>
      <c r="D64" s="8"/>
      <c r="E64" s="8"/>
      <c r="F64" s="9"/>
      <c r="G64" s="10" t="str">
        <f>IF(F64="","",IFERROR(INDEX('Reference Values'!$B$8:$B$12,F64),"?"))</f>
        <v/>
      </c>
      <c r="H64" s="8"/>
      <c r="I64" s="14"/>
    </row>
    <row r="65" spans="1:9" ht="24" customHeight="1" x14ac:dyDescent="0.25">
      <c r="A65" s="11" t="str">
        <f>IF(B65="","",TEXT(60,"A000"))</f>
        <v/>
      </c>
      <c r="B65" s="12"/>
      <c r="C65" s="12"/>
      <c r="D65" s="12"/>
      <c r="E65" s="12"/>
      <c r="F65" s="13"/>
      <c r="G65" s="10" t="str">
        <f>IF(F65="","",IFERROR(INDEX('Reference Values'!$B$8:$B$12,F65),"?"))</f>
        <v/>
      </c>
      <c r="H65" s="12"/>
      <c r="I65" s="14"/>
    </row>
    <row r="66" spans="1:9" ht="24" customHeight="1" x14ac:dyDescent="0.25">
      <c r="A66" s="7" t="str">
        <f>IF(B66="","",TEXT(61,"A000"))</f>
        <v/>
      </c>
      <c r="B66" s="8"/>
      <c r="C66" s="8"/>
      <c r="D66" s="8"/>
      <c r="E66" s="8"/>
      <c r="F66" s="9"/>
      <c r="G66" s="10" t="str">
        <f>IF(F66="","",IFERROR(INDEX('Reference Values'!$B$8:$B$12,F66),"?"))</f>
        <v/>
      </c>
      <c r="H66" s="8"/>
      <c r="I66" s="14"/>
    </row>
    <row r="67" spans="1:9" ht="24" customHeight="1" x14ac:dyDescent="0.25">
      <c r="A67" s="11" t="str">
        <f>IF(B67="","",TEXT(62,"A000"))</f>
        <v/>
      </c>
      <c r="B67" s="12"/>
      <c r="C67" s="12"/>
      <c r="D67" s="12"/>
      <c r="E67" s="12"/>
      <c r="F67" s="13"/>
      <c r="G67" s="10" t="str">
        <f>IF(F67="","",IFERROR(INDEX('Reference Values'!$B$8:$B$12,F67),"?"))</f>
        <v/>
      </c>
      <c r="H67" s="12"/>
      <c r="I67" s="14"/>
    </row>
    <row r="68" spans="1:9" ht="24" customHeight="1" x14ac:dyDescent="0.25">
      <c r="A68" s="7" t="str">
        <f>IF(B68="","",TEXT(63,"A000"))</f>
        <v/>
      </c>
      <c r="B68" s="8"/>
      <c r="C68" s="8"/>
      <c r="D68" s="8"/>
      <c r="E68" s="8"/>
      <c r="F68" s="9"/>
      <c r="G68" s="10" t="str">
        <f>IF(F68="","",IFERROR(INDEX('Reference Values'!$B$8:$B$12,F68),"?"))</f>
        <v/>
      </c>
      <c r="H68" s="8"/>
      <c r="I68" s="14"/>
    </row>
    <row r="69" spans="1:9" ht="24" customHeight="1" x14ac:dyDescent="0.25">
      <c r="A69" s="11" t="str">
        <f>IF(B69="","",TEXT(64,"A000"))</f>
        <v/>
      </c>
      <c r="B69" s="12"/>
      <c r="C69" s="12"/>
      <c r="D69" s="12"/>
      <c r="E69" s="12"/>
      <c r="F69" s="13"/>
      <c r="G69" s="10" t="str">
        <f>IF(F69="","",IFERROR(INDEX('Reference Values'!$B$8:$B$12,F69),"?"))</f>
        <v/>
      </c>
      <c r="H69" s="12"/>
      <c r="I69" s="14"/>
    </row>
    <row r="70" spans="1:9" ht="24" customHeight="1" x14ac:dyDescent="0.25">
      <c r="A70" s="7" t="str">
        <f>IF(B70="","",TEXT(65,"A000"))</f>
        <v/>
      </c>
      <c r="B70" s="8"/>
      <c r="C70" s="8"/>
      <c r="D70" s="8"/>
      <c r="E70" s="8"/>
      <c r="F70" s="9"/>
      <c r="G70" s="10" t="str">
        <f>IF(F70="","",IFERROR(INDEX('Reference Values'!$B$8:$B$12,F70),"?"))</f>
        <v/>
      </c>
      <c r="H70" s="8"/>
      <c r="I70" s="14"/>
    </row>
    <row r="71" spans="1:9" ht="24" customHeight="1" x14ac:dyDescent="0.25">
      <c r="A71" s="11" t="str">
        <f>IF(B71="","",TEXT(66,"A000"))</f>
        <v/>
      </c>
      <c r="B71" s="12"/>
      <c r="C71" s="12"/>
      <c r="D71" s="12"/>
      <c r="E71" s="12"/>
      <c r="F71" s="13"/>
      <c r="G71" s="10" t="str">
        <f>IF(F71="","",IFERROR(INDEX('Reference Values'!$B$8:$B$12,F71),"?"))</f>
        <v/>
      </c>
      <c r="H71" s="12"/>
      <c r="I71" s="14"/>
    </row>
    <row r="72" spans="1:9" ht="24" customHeight="1" x14ac:dyDescent="0.25">
      <c r="A72" s="7" t="str">
        <f>IF(B72="","",TEXT(67,"A000"))</f>
        <v/>
      </c>
      <c r="B72" s="8"/>
      <c r="C72" s="8"/>
      <c r="D72" s="8"/>
      <c r="E72" s="8"/>
      <c r="F72" s="9"/>
      <c r="G72" s="10" t="str">
        <f>IF(F72="","",IFERROR(INDEX('Reference Values'!$B$8:$B$12,F72),"?"))</f>
        <v/>
      </c>
      <c r="H72" s="8"/>
      <c r="I72" s="14"/>
    </row>
    <row r="73" spans="1:9" ht="24" customHeight="1" x14ac:dyDescent="0.25">
      <c r="A73" s="11" t="str">
        <f>IF(B73="","",TEXT(68,"A000"))</f>
        <v/>
      </c>
      <c r="B73" s="12"/>
      <c r="C73" s="12"/>
      <c r="D73" s="12"/>
      <c r="E73" s="12"/>
      <c r="F73" s="13"/>
      <c r="G73" s="10" t="str">
        <f>IF(F73="","",IFERROR(INDEX('Reference Values'!$B$8:$B$12,F73),"?"))</f>
        <v/>
      </c>
      <c r="H73" s="12"/>
      <c r="I73" s="14"/>
    </row>
    <row r="74" spans="1:9" ht="24" customHeight="1" x14ac:dyDescent="0.25">
      <c r="A74" s="7" t="str">
        <f>IF(B74="","",TEXT(69,"A000"))</f>
        <v/>
      </c>
      <c r="B74" s="8"/>
      <c r="C74" s="8"/>
      <c r="D74" s="8"/>
      <c r="E74" s="8"/>
      <c r="F74" s="9"/>
      <c r="G74" s="10" t="str">
        <f>IF(F74="","",IFERROR(INDEX('Reference Values'!$B$8:$B$12,F74),"?"))</f>
        <v/>
      </c>
      <c r="H74" s="8"/>
      <c r="I74" s="14"/>
    </row>
    <row r="75" spans="1:9" ht="24" customHeight="1" x14ac:dyDescent="0.25">
      <c r="A75" s="11" t="str">
        <f>IF(B75="","",TEXT(70,"A000"))</f>
        <v/>
      </c>
      <c r="B75" s="12"/>
      <c r="C75" s="12"/>
      <c r="D75" s="12"/>
      <c r="E75" s="12"/>
      <c r="F75" s="13"/>
      <c r="G75" s="10" t="str">
        <f>IF(F75="","",IFERROR(INDEX('Reference Values'!$B$8:$B$12,F75),"?"))</f>
        <v/>
      </c>
      <c r="H75" s="12"/>
      <c r="I75" s="14"/>
    </row>
    <row r="76" spans="1:9" ht="24" customHeight="1" x14ac:dyDescent="0.25">
      <c r="A76" s="7" t="str">
        <f>IF(B76="","",TEXT(71,"A000"))</f>
        <v/>
      </c>
      <c r="B76" s="8"/>
      <c r="C76" s="8"/>
      <c r="D76" s="8"/>
      <c r="E76" s="8"/>
      <c r="F76" s="9"/>
      <c r="G76" s="10" t="str">
        <f>IF(F76="","",IFERROR(INDEX('Reference Values'!$B$8:$B$12,F76),"?"))</f>
        <v/>
      </c>
      <c r="H76" s="8"/>
      <c r="I76" s="14"/>
    </row>
    <row r="77" spans="1:9" ht="24" customHeight="1" x14ac:dyDescent="0.25">
      <c r="A77" s="11" t="str">
        <f>IF(B77="","",TEXT(72,"A000"))</f>
        <v/>
      </c>
      <c r="B77" s="12"/>
      <c r="C77" s="12"/>
      <c r="D77" s="12"/>
      <c r="E77" s="12"/>
      <c r="F77" s="13"/>
      <c r="G77" s="10" t="str">
        <f>IF(F77="","",IFERROR(INDEX('Reference Values'!$B$8:$B$12,F77),"?"))</f>
        <v/>
      </c>
      <c r="H77" s="12"/>
      <c r="I77" s="14"/>
    </row>
    <row r="78" spans="1:9" ht="24" customHeight="1" x14ac:dyDescent="0.25">
      <c r="A78" s="7" t="str">
        <f>IF(B78="","",TEXT(73,"A000"))</f>
        <v/>
      </c>
      <c r="B78" s="8"/>
      <c r="C78" s="8"/>
      <c r="D78" s="8"/>
      <c r="E78" s="8"/>
      <c r="F78" s="9"/>
      <c r="G78" s="10" t="str">
        <f>IF(F78="","",IFERROR(INDEX('Reference Values'!$B$8:$B$12,F78),"?"))</f>
        <v/>
      </c>
      <c r="H78" s="8"/>
      <c r="I78" s="14"/>
    </row>
    <row r="79" spans="1:9" ht="24" customHeight="1" x14ac:dyDescent="0.25">
      <c r="A79" s="11" t="str">
        <f>IF(B79="","",TEXT(74,"A000"))</f>
        <v/>
      </c>
      <c r="B79" s="12"/>
      <c r="C79" s="12"/>
      <c r="D79" s="12"/>
      <c r="E79" s="12"/>
      <c r="F79" s="13"/>
      <c r="G79" s="10" t="str">
        <f>IF(F79="","",IFERROR(INDEX('Reference Values'!$B$8:$B$12,F79),"?"))</f>
        <v/>
      </c>
      <c r="H79" s="12"/>
      <c r="I79" s="14"/>
    </row>
    <row r="80" spans="1:9" ht="24" customHeight="1" x14ac:dyDescent="0.25">
      <c r="A80" s="7" t="str">
        <f>IF(B80="","",TEXT(75,"A000"))</f>
        <v/>
      </c>
      <c r="B80" s="8"/>
      <c r="C80" s="8"/>
      <c r="D80" s="8"/>
      <c r="E80" s="8"/>
      <c r="F80" s="9"/>
      <c r="G80" s="10" t="str">
        <f>IF(F80="","",IFERROR(INDEX('Reference Values'!$B$8:$B$12,F80),"?"))</f>
        <v/>
      </c>
      <c r="H80" s="8"/>
      <c r="I80" s="14"/>
    </row>
    <row r="81" spans="1:9" ht="24" customHeight="1" x14ac:dyDescent="0.25">
      <c r="A81" s="11" t="str">
        <f>IF(B81="","",TEXT(76,"A000"))</f>
        <v/>
      </c>
      <c r="B81" s="12"/>
      <c r="C81" s="12"/>
      <c r="D81" s="12"/>
      <c r="E81" s="12"/>
      <c r="F81" s="13"/>
      <c r="G81" s="10" t="str">
        <f>IF(F81="","",IFERROR(INDEX('Reference Values'!$B$8:$B$12,F81),"?"))</f>
        <v/>
      </c>
      <c r="H81" s="12"/>
      <c r="I81" s="14"/>
    </row>
    <row r="82" spans="1:9" ht="24" customHeight="1" x14ac:dyDescent="0.25">
      <c r="A82" s="7" t="str">
        <f>IF(B82="","",TEXT(77,"A000"))</f>
        <v/>
      </c>
      <c r="B82" s="8"/>
      <c r="C82" s="8"/>
      <c r="D82" s="8"/>
      <c r="E82" s="8"/>
      <c r="F82" s="9"/>
      <c r="G82" s="10" t="str">
        <f>IF(F82="","",IFERROR(INDEX('Reference Values'!$B$8:$B$12,F82),"?"))</f>
        <v/>
      </c>
      <c r="H82" s="8"/>
      <c r="I82" s="14"/>
    </row>
    <row r="83" spans="1:9" ht="24" customHeight="1" x14ac:dyDescent="0.25">
      <c r="A83" s="11" t="str">
        <f>IF(B83="","",TEXT(78,"A000"))</f>
        <v/>
      </c>
      <c r="B83" s="12"/>
      <c r="C83" s="12"/>
      <c r="D83" s="12"/>
      <c r="E83" s="12"/>
      <c r="F83" s="13"/>
      <c r="G83" s="10" t="str">
        <f>IF(F83="","",IFERROR(INDEX('Reference Values'!$B$8:$B$12,F83),"?"))</f>
        <v/>
      </c>
      <c r="H83" s="12"/>
      <c r="I83" s="14"/>
    </row>
    <row r="84" spans="1:9" ht="24" customHeight="1" x14ac:dyDescent="0.25">
      <c r="A84" s="7" t="str">
        <f>IF(B84="","",TEXT(79,"A000"))</f>
        <v/>
      </c>
      <c r="B84" s="8"/>
      <c r="C84" s="8"/>
      <c r="D84" s="8"/>
      <c r="E84" s="8"/>
      <c r="F84" s="9"/>
      <c r="G84" s="10" t="str">
        <f>IF(F84="","",IFERROR(INDEX('Reference Values'!$B$8:$B$12,F84),"?"))</f>
        <v/>
      </c>
      <c r="H84" s="8"/>
      <c r="I84" s="14"/>
    </row>
    <row r="85" spans="1:9" ht="24" customHeight="1" x14ac:dyDescent="0.25">
      <c r="A85" s="11" t="str">
        <f>IF(B85="","",TEXT(80,"A000"))</f>
        <v/>
      </c>
      <c r="B85" s="12"/>
      <c r="C85" s="12"/>
      <c r="D85" s="12"/>
      <c r="E85" s="12"/>
      <c r="F85" s="13"/>
      <c r="G85" s="10" t="str">
        <f>IF(F85="","",IFERROR(INDEX('Reference Values'!$B$8:$B$12,F85),"?"))</f>
        <v/>
      </c>
      <c r="H85" s="12"/>
      <c r="I85" s="14"/>
    </row>
    <row r="86" spans="1:9" ht="24" customHeight="1" x14ac:dyDescent="0.25">
      <c r="A86" s="7" t="str">
        <f>IF(B86="","",TEXT(81,"A000"))</f>
        <v/>
      </c>
      <c r="B86" s="8"/>
      <c r="C86" s="8"/>
      <c r="D86" s="8"/>
      <c r="E86" s="8"/>
      <c r="F86" s="9"/>
      <c r="G86" s="10" t="str">
        <f>IF(F86="","",IFERROR(INDEX('Reference Values'!$B$8:$B$12,F86),"?"))</f>
        <v/>
      </c>
      <c r="H86" s="8"/>
      <c r="I86" s="14"/>
    </row>
    <row r="87" spans="1:9" ht="24" customHeight="1" x14ac:dyDescent="0.25">
      <c r="A87" s="11" t="str">
        <f>IF(B87="","",TEXT(82,"A000"))</f>
        <v/>
      </c>
      <c r="B87" s="12"/>
      <c r="C87" s="12"/>
      <c r="D87" s="12"/>
      <c r="E87" s="12"/>
      <c r="F87" s="13"/>
      <c r="G87" s="10" t="str">
        <f>IF(F87="","",IFERROR(INDEX('Reference Values'!$B$8:$B$12,F87),"?"))</f>
        <v/>
      </c>
      <c r="H87" s="12"/>
      <c r="I87" s="14"/>
    </row>
    <row r="88" spans="1:9" ht="24" customHeight="1" x14ac:dyDescent="0.25">
      <c r="A88" s="7" t="str">
        <f>IF(B88="","",TEXT(83,"A000"))</f>
        <v/>
      </c>
      <c r="B88" s="8"/>
      <c r="C88" s="8"/>
      <c r="D88" s="8"/>
      <c r="E88" s="8"/>
      <c r="F88" s="9"/>
      <c r="G88" s="10" t="str">
        <f>IF(F88="","",IFERROR(INDEX('Reference Values'!$B$8:$B$12,F88),"?"))</f>
        <v/>
      </c>
      <c r="H88" s="8"/>
      <c r="I88" s="14"/>
    </row>
    <row r="89" spans="1:9" ht="24" customHeight="1" x14ac:dyDescent="0.25">
      <c r="A89" s="11" t="str">
        <f>IF(B89="","",TEXT(84,"A000"))</f>
        <v/>
      </c>
      <c r="B89" s="12"/>
      <c r="C89" s="12"/>
      <c r="D89" s="12"/>
      <c r="E89" s="12"/>
      <c r="F89" s="13"/>
      <c r="G89" s="10" t="str">
        <f>IF(F89="","",IFERROR(INDEX('Reference Values'!$B$8:$B$12,F89),"?"))</f>
        <v/>
      </c>
      <c r="H89" s="12"/>
      <c r="I89" s="14"/>
    </row>
    <row r="90" spans="1:9" ht="24" customHeight="1" x14ac:dyDescent="0.25">
      <c r="A90" s="7" t="str">
        <f>IF(B90="","",TEXT(85,"A000"))</f>
        <v/>
      </c>
      <c r="B90" s="8"/>
      <c r="C90" s="8"/>
      <c r="D90" s="8"/>
      <c r="E90" s="8"/>
      <c r="F90" s="9"/>
      <c r="G90" s="10" t="str">
        <f>IF(F90="","",IFERROR(INDEX('Reference Values'!$B$8:$B$12,F90),"?"))</f>
        <v/>
      </c>
      <c r="H90" s="8"/>
      <c r="I90" s="14"/>
    </row>
    <row r="91" spans="1:9" ht="24" customHeight="1" x14ac:dyDescent="0.25">
      <c r="A91" s="11" t="str">
        <f>IF(B91="","",TEXT(86,"A000"))</f>
        <v/>
      </c>
      <c r="B91" s="12"/>
      <c r="C91" s="12"/>
      <c r="D91" s="12"/>
      <c r="E91" s="12"/>
      <c r="F91" s="13"/>
      <c r="G91" s="10" t="str">
        <f>IF(F91="","",IFERROR(INDEX('Reference Values'!$B$8:$B$12,F91),"?"))</f>
        <v/>
      </c>
      <c r="H91" s="12"/>
      <c r="I91" s="14"/>
    </row>
    <row r="92" spans="1:9" ht="24" customHeight="1" x14ac:dyDescent="0.25">
      <c r="A92" s="7" t="str">
        <f>IF(B92="","",TEXT(87,"A000"))</f>
        <v/>
      </c>
      <c r="B92" s="8"/>
      <c r="C92" s="8"/>
      <c r="D92" s="8"/>
      <c r="E92" s="8"/>
      <c r="F92" s="9"/>
      <c r="G92" s="10" t="str">
        <f>IF(F92="","",IFERROR(INDEX('Reference Values'!$B$8:$B$12,F92),"?"))</f>
        <v/>
      </c>
      <c r="H92" s="8"/>
      <c r="I92" s="14"/>
    </row>
    <row r="93" spans="1:9" ht="24" customHeight="1" x14ac:dyDescent="0.25">
      <c r="A93" s="11" t="str">
        <f>IF(B93="","",TEXT(88,"A000"))</f>
        <v/>
      </c>
      <c r="B93" s="12"/>
      <c r="C93" s="12"/>
      <c r="D93" s="12"/>
      <c r="E93" s="12"/>
      <c r="F93" s="13"/>
      <c r="G93" s="10" t="str">
        <f>IF(F93="","",IFERROR(INDEX('Reference Values'!$B$8:$B$12,F93),"?"))</f>
        <v/>
      </c>
      <c r="H93" s="12"/>
      <c r="I93" s="14"/>
    </row>
    <row r="94" spans="1:9" ht="24" customHeight="1" x14ac:dyDescent="0.25">
      <c r="A94" s="7" t="str">
        <f>IF(B94="","",TEXT(89,"A000"))</f>
        <v/>
      </c>
      <c r="B94" s="8"/>
      <c r="C94" s="8"/>
      <c r="D94" s="8"/>
      <c r="E94" s="8"/>
      <c r="F94" s="9"/>
      <c r="G94" s="10" t="str">
        <f>IF(F94="","",IFERROR(INDEX('Reference Values'!$B$8:$B$12,F94),"?"))</f>
        <v/>
      </c>
      <c r="H94" s="8"/>
      <c r="I94" s="14"/>
    </row>
    <row r="95" spans="1:9" ht="24" customHeight="1" x14ac:dyDescent="0.25">
      <c r="A95" s="11" t="str">
        <f>IF(B95="","",TEXT(90,"A000"))</f>
        <v/>
      </c>
      <c r="B95" s="12"/>
      <c r="C95" s="12"/>
      <c r="D95" s="12"/>
      <c r="E95" s="12"/>
      <c r="F95" s="13"/>
      <c r="G95" s="10" t="str">
        <f>IF(F95="","",IFERROR(INDEX('Reference Values'!$B$8:$B$12,F95),"?"))</f>
        <v/>
      </c>
      <c r="H95" s="12"/>
      <c r="I95" s="14"/>
    </row>
    <row r="96" spans="1:9" ht="24" customHeight="1" x14ac:dyDescent="0.25">
      <c r="A96" s="7" t="str">
        <f>IF(B96="","",TEXT(91,"A000"))</f>
        <v/>
      </c>
      <c r="B96" s="8"/>
      <c r="C96" s="8"/>
      <c r="D96" s="8"/>
      <c r="E96" s="8"/>
      <c r="F96" s="9"/>
      <c r="G96" s="10" t="str">
        <f>IF(F96="","",IFERROR(INDEX('Reference Values'!$B$8:$B$12,F96),"?"))</f>
        <v/>
      </c>
      <c r="H96" s="8"/>
      <c r="I96" s="14"/>
    </row>
    <row r="97" spans="1:9" ht="24" customHeight="1" x14ac:dyDescent="0.25">
      <c r="A97" s="11" t="str">
        <f>IF(B97="","",TEXT(92,"A000"))</f>
        <v/>
      </c>
      <c r="B97" s="12"/>
      <c r="C97" s="12"/>
      <c r="D97" s="12"/>
      <c r="E97" s="12"/>
      <c r="F97" s="13"/>
      <c r="G97" s="10" t="str">
        <f>IF(F97="","",IFERROR(INDEX('Reference Values'!$B$8:$B$12,F97),"?"))</f>
        <v/>
      </c>
      <c r="H97" s="12"/>
      <c r="I97" s="14"/>
    </row>
    <row r="98" spans="1:9" ht="24" customHeight="1" x14ac:dyDescent="0.25">
      <c r="A98" s="7" t="str">
        <f>IF(B98="","",TEXT(93,"A000"))</f>
        <v/>
      </c>
      <c r="B98" s="8"/>
      <c r="C98" s="8"/>
      <c r="D98" s="8"/>
      <c r="E98" s="8"/>
      <c r="F98" s="9"/>
      <c r="G98" s="10" t="str">
        <f>IF(F98="","",IFERROR(INDEX('Reference Values'!$B$8:$B$12,F98),"?"))</f>
        <v/>
      </c>
      <c r="H98" s="8"/>
      <c r="I98" s="14"/>
    </row>
    <row r="99" spans="1:9" ht="24" customHeight="1" x14ac:dyDescent="0.25">
      <c r="A99" s="11" t="str">
        <f>IF(B99="","",TEXT(94,"A000"))</f>
        <v/>
      </c>
      <c r="B99" s="12"/>
      <c r="C99" s="12"/>
      <c r="D99" s="12"/>
      <c r="E99" s="12"/>
      <c r="F99" s="13"/>
      <c r="G99" s="10" t="str">
        <f>IF(F99="","",IFERROR(INDEX('Reference Values'!$B$8:$B$12,F99),"?"))</f>
        <v/>
      </c>
      <c r="H99" s="12"/>
      <c r="I99" s="14"/>
    </row>
    <row r="100" spans="1:9" ht="24" customHeight="1" x14ac:dyDescent="0.25">
      <c r="A100" s="7" t="str">
        <f>IF(B100="","",TEXT(95,"A000"))</f>
        <v/>
      </c>
      <c r="B100" s="8"/>
      <c r="C100" s="8"/>
      <c r="D100" s="8"/>
      <c r="E100" s="8"/>
      <c r="F100" s="9"/>
      <c r="G100" s="10" t="str">
        <f>IF(F100="","",IFERROR(INDEX('Reference Values'!$B$8:$B$12,F100),"?"))</f>
        <v/>
      </c>
      <c r="H100" s="8"/>
      <c r="I100" s="14"/>
    </row>
    <row r="101" spans="1:9" ht="24" customHeight="1" x14ac:dyDescent="0.25">
      <c r="A101" s="11" t="str">
        <f>IF(B101="","",TEXT(96,"A000"))</f>
        <v/>
      </c>
      <c r="B101" s="12"/>
      <c r="C101" s="12"/>
      <c r="D101" s="12"/>
      <c r="E101" s="12"/>
      <c r="F101" s="13"/>
      <c r="G101" s="10" t="str">
        <f>IF(F101="","",IFERROR(INDEX('Reference Values'!$B$8:$B$12,F101),"?"))</f>
        <v/>
      </c>
      <c r="H101" s="12"/>
      <c r="I101" s="14"/>
    </row>
    <row r="102" spans="1:9" ht="24" customHeight="1" x14ac:dyDescent="0.25">
      <c r="A102" s="7" t="str">
        <f>IF(B102="","",TEXT(97,"A000"))</f>
        <v/>
      </c>
      <c r="B102" s="8"/>
      <c r="C102" s="8"/>
      <c r="D102" s="8"/>
      <c r="E102" s="8"/>
      <c r="F102" s="9"/>
      <c r="G102" s="10" t="str">
        <f>IF(F102="","",IFERROR(INDEX('Reference Values'!$B$8:$B$12,F102),"?"))</f>
        <v/>
      </c>
      <c r="H102" s="8"/>
      <c r="I102" s="14"/>
    </row>
    <row r="103" spans="1:9" ht="24" customHeight="1" x14ac:dyDescent="0.25">
      <c r="A103" s="11" t="str">
        <f>IF(B103="","",TEXT(98,"A000"))</f>
        <v/>
      </c>
      <c r="B103" s="12"/>
      <c r="C103" s="12"/>
      <c r="D103" s="12"/>
      <c r="E103" s="12"/>
      <c r="F103" s="13"/>
      <c r="G103" s="10" t="str">
        <f>IF(F103="","",IFERROR(INDEX('Reference Values'!$B$8:$B$12,F103),"?"))</f>
        <v/>
      </c>
      <c r="H103" s="12"/>
      <c r="I103" s="14"/>
    </row>
    <row r="104" spans="1:9" ht="24" customHeight="1" x14ac:dyDescent="0.25">
      <c r="A104" s="7" t="str">
        <f>IF(B104="","",TEXT(99,"A000"))</f>
        <v/>
      </c>
      <c r="B104" s="8"/>
      <c r="C104" s="8"/>
      <c r="D104" s="8"/>
      <c r="E104" s="8"/>
      <c r="F104" s="9"/>
      <c r="G104" s="10" t="str">
        <f>IF(F104="","",IFERROR(INDEX('Reference Values'!$B$8:$B$12,F104),"?"))</f>
        <v/>
      </c>
      <c r="H104" s="8"/>
      <c r="I104" s="14"/>
    </row>
    <row r="105" spans="1:9" ht="24" customHeight="1" x14ac:dyDescent="0.25">
      <c r="A105" s="11" t="str">
        <f>IF(B105="","",TEXT(100,"A000"))</f>
        <v/>
      </c>
      <c r="B105" s="12"/>
      <c r="C105" s="12"/>
      <c r="D105" s="12"/>
      <c r="E105" s="12"/>
      <c r="F105" s="13"/>
      <c r="G105" s="10" t="str">
        <f>IF(F105="","",IFERROR(INDEX('Reference Values'!$B$8:$B$12,F105),"?"))</f>
        <v/>
      </c>
      <c r="H105" s="12"/>
      <c r="I105" s="14"/>
    </row>
  </sheetData>
  <autoFilter ref="A5:I5" xr:uid="{00000000-0009-0000-0000-000003000000}"/>
  <mergeCells count="4">
    <mergeCell ref="A1:I1"/>
    <mergeCell ref="A3:I3"/>
    <mergeCell ref="A2:I2"/>
    <mergeCell ref="F5:G5"/>
  </mergeCells>
  <conditionalFormatting sqref="F6:F105">
    <cfRule type="expression" dxfId="73" priority="1">
      <formula>F6=1</formula>
    </cfRule>
    <cfRule type="expression" dxfId="72" priority="3">
      <formula>F6=2</formula>
    </cfRule>
    <cfRule type="expression" dxfId="71" priority="5">
      <formula>F6=3</formula>
    </cfRule>
    <cfRule type="expression" dxfId="70" priority="7">
      <formula>F6=4</formula>
    </cfRule>
    <cfRule type="expression" dxfId="69" priority="9">
      <formula>F6=5</formula>
    </cfRule>
  </conditionalFormatting>
  <conditionalFormatting sqref="G6:G105">
    <cfRule type="expression" dxfId="68" priority="2">
      <formula>F6=1</formula>
    </cfRule>
    <cfRule type="expression" dxfId="67" priority="4">
      <formula>F6=2</formula>
    </cfRule>
    <cfRule type="expression" dxfId="66" priority="6">
      <formula>F6=3</formula>
    </cfRule>
    <cfRule type="expression" dxfId="65" priority="8">
      <formula>F6=4</formula>
    </cfRule>
    <cfRule type="expression" dxfId="64"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Y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10" customWidth="1"/>
    <col min="7" max="7" width="24" customWidth="1"/>
    <col min="8" max="9" width="35" customWidth="1"/>
    <col min="10" max="10" width="4" customWidth="1"/>
    <col min="11" max="11" width="15" customWidth="1"/>
    <col min="12" max="12" width="4" customWidth="1"/>
    <col min="13" max="13" width="15" customWidth="1"/>
    <col min="14" max="14" width="4" customWidth="1"/>
    <col min="15" max="15" width="15" customWidth="1"/>
    <col min="16" max="16" width="4" customWidth="1"/>
    <col min="17" max="17" width="15" customWidth="1"/>
    <col min="18" max="18" width="4" customWidth="1"/>
    <col min="19" max="19" width="15" customWidth="1"/>
    <col min="20" max="20" width="4" customWidth="1"/>
    <col min="21" max="21" width="15" customWidth="1"/>
    <col min="22" max="25" width="35" customWidth="1"/>
  </cols>
  <sheetData>
    <row r="1" spans="1:25" ht="51.95" customHeight="1" x14ac:dyDescent="0.25">
      <c r="A1" s="93" t="str">
        <f>IFERROR(INDEX(_Lang!$B$2:$D$300,MATCH("dep_title",_Lang!$A$2:$A$300,0),IF(Config!$D$9="NL",1,IF(Config!$D$9="FR",2,3))),"[dep_title]")</f>
        <v>Afhankelijke Assets</v>
      </c>
      <c r="B1" s="88"/>
      <c r="C1" s="88"/>
      <c r="D1" s="88"/>
      <c r="E1" s="88"/>
      <c r="F1" s="88"/>
      <c r="G1" s="88"/>
      <c r="H1" s="88"/>
      <c r="I1" s="88"/>
      <c r="J1" s="88"/>
      <c r="K1" s="88"/>
      <c r="L1" s="88"/>
      <c r="M1" s="88"/>
      <c r="N1" s="88"/>
      <c r="O1" s="88"/>
      <c r="P1" s="88"/>
      <c r="Q1" s="88"/>
      <c r="R1" s="88"/>
      <c r="S1" s="88"/>
      <c r="T1" s="88"/>
      <c r="U1" s="88"/>
      <c r="V1" s="88"/>
      <c r="W1" s="88"/>
      <c r="X1" s="88"/>
      <c r="Y1" s="88"/>
    </row>
    <row r="2" spans="1:25" ht="21.95" customHeight="1" x14ac:dyDescent="0.25">
      <c r="A2" s="94" t="str">
        <f>IFERROR(INDEX(_Lang!$B$2:$D$300,MATCH("app_tagline",_Lang!$A$2:$A$300,0),IF(Config!$D$9="NL",1,IF(Config!$D$9="FR",2,3))),"[app_tagline]")</f>
        <v>Governance · Risico · Compliance</v>
      </c>
      <c r="B2" s="88"/>
      <c r="C2" s="88"/>
      <c r="D2" s="88"/>
      <c r="E2" s="88"/>
      <c r="F2" s="88"/>
      <c r="G2" s="88"/>
      <c r="H2" s="88"/>
      <c r="I2" s="88"/>
      <c r="J2" s="88"/>
      <c r="K2" s="88"/>
      <c r="L2" s="88"/>
      <c r="M2" s="88"/>
      <c r="N2" s="88"/>
      <c r="O2" s="88"/>
      <c r="P2" s="88"/>
      <c r="Q2" s="88"/>
      <c r="R2" s="88"/>
      <c r="S2" s="88"/>
      <c r="T2" s="88"/>
      <c r="U2" s="88"/>
      <c r="V2" s="88"/>
      <c r="W2" s="88"/>
      <c r="X2" s="88"/>
      <c r="Y2" s="88"/>
    </row>
    <row r="3" spans="1:25" ht="21.95" customHeight="1" x14ac:dyDescent="0.25">
      <c r="A3" s="101" t="str">
        <f>IFERROR(INDEX(_Lang!$B$2:$D$300,MATCH("dep_subtitle",_Lang!$A$2:$A$300,0),IF(Config!$D$9="NL",1,IF(Config!$D$9="FR",2,3))),"[dep_subtitle]")</f>
        <v>Overzicht van systemen, infrastructuur en diensten waarvan processen afhankelijk zijn</v>
      </c>
      <c r="B3" s="88"/>
      <c r="C3" s="88"/>
      <c r="D3" s="88"/>
      <c r="E3" s="88"/>
      <c r="F3" s="88"/>
      <c r="G3" s="88"/>
      <c r="H3" s="88"/>
      <c r="I3" s="88"/>
      <c r="J3" s="88"/>
      <c r="K3" s="88"/>
      <c r="L3" s="88"/>
      <c r="M3" s="88"/>
      <c r="N3" s="88"/>
      <c r="O3" s="88"/>
      <c r="P3" s="88"/>
      <c r="Q3" s="88"/>
      <c r="R3" s="88"/>
      <c r="S3" s="88"/>
      <c r="T3" s="88"/>
      <c r="U3" s="88"/>
      <c r="V3" s="88"/>
      <c r="W3" s="88"/>
      <c r="X3" s="88"/>
      <c r="Y3" s="88"/>
    </row>
    <row r="4" spans="1:25" ht="21.95" customHeight="1" x14ac:dyDescent="0.25">
      <c r="J4" s="104" t="str">
        <f>IFERROR(INDEX(_Lang!$B$2:$D$300,MATCH("dep_sec_req_header",_Lang!$A$2:$A$300,0),IF(Config!$D$9="NL",1,IF(Config!$D$9="FR",2,3))),"[dep_sec_req_header]")</f>
        <v>Security Requirements</v>
      </c>
      <c r="K4" s="88"/>
      <c r="L4" s="88"/>
      <c r="M4" s="88"/>
      <c r="N4" s="88"/>
      <c r="O4" s="88"/>
      <c r="P4" s="105" t="str">
        <f>IFERROR(INDEX(_Lang!$B$2:$D$300,MATCH("dep_sec_obj_header",_Lang!$A$2:$A$300,0),IF(Config!$D$9="NL",1,IF(Config!$D$9="FR",2,3))),"[dep_sec_obj_header]")</f>
        <v>Security Objectives</v>
      </c>
      <c r="Q4" s="88"/>
      <c r="R4" s="88"/>
      <c r="S4" s="88"/>
      <c r="T4" s="88"/>
      <c r="U4" s="88"/>
      <c r="V4" s="103" t="str">
        <f>IFERROR(INDEX(_Lang!$B$2:$D$300,MATCH("dep_gap_header",_Lang!$A$2:$A$300,0),IF(Config!$D$9="NL",1,IF(Config!$D$9="FR",2,3))),"[dep_gap_header]")</f>
        <v>Gap Analyse</v>
      </c>
      <c r="W4" s="88"/>
      <c r="X4" s="88"/>
    </row>
    <row r="5" spans="1:25" ht="44.1" customHeight="1" x14ac:dyDescent="0.25">
      <c r="A5" s="6" t="str">
        <f>IFERROR(INDEX(_Lang!$B$2:$D$300,MATCH("dep_col_id",_Lang!$A$2:$A$300,0),IF(Config!$D$9="NL",1,IF(Config!$D$9="FR",2,3))),"[dep_col_id]")</f>
        <v>ID</v>
      </c>
      <c r="B5" s="6" t="str">
        <f>IFERROR(INDEX(_Lang!$B$2:$D$300,MATCH("dep_col_naam",_Lang!$A$2:$A$300,0),IF(Config!$D$9="NL",1,IF(Config!$D$9="FR",2,3))),"[dep_col_naam]")</f>
        <v>Naam</v>
      </c>
      <c r="C5" s="6" t="str">
        <f>IFERROR(INDEX(_Lang!$B$2:$D$300,MATCH("dep_col_omschrijving",_Lang!$A$2:$A$300,0),IF(Config!$D$9="NL",1,IF(Config!$D$9="FR",2,3))),"[dep_col_omschrijving]")</f>
        <v>Omschrijving</v>
      </c>
      <c r="D5" s="6" t="str">
        <f>IFERROR(INDEX(_Lang!$B$2:$D$300,MATCH("dep_col_eigenaar",_Lang!$A$2:$A$300,0),IF(Config!$D$9="NL",1,IF(Config!$D$9="FR",2,3))),"[dep_col_eigenaar]")</f>
        <v>Eigenaar</v>
      </c>
      <c r="E5" s="6" t="str">
        <f>IFERROR(INDEX(_Lang!$B$2:$D$300,MATCH("dep_col_dienst",_Lang!$A$2:$A$300,0),IF(Config!$D$9="NL",1,IF(Config!$D$9="FR",2,3))),"[dep_col_dienst]")</f>
        <v>Dienst / Entiteit</v>
      </c>
      <c r="F5" s="6" t="str">
        <f>IFERROR(INDEX(_Lang!$B$2:$D$300,MATCH("dep_col_overarching",_Lang!$A$2:$A$300,0),IF(Config!$D$9="NL",1,IF(Config!$D$9="FR",2,3))),"[dep_col_overarching]")</f>
        <v>Overarching</v>
      </c>
      <c r="G5" s="6" t="str">
        <f>IFERROR(INDEX(_Lang!$B$2:$D$300,MATCH("dep_col_opmerkingen",_Lang!$A$2:$A$300,0),IF(Config!$D$9="NL",1,IF(Config!$D$9="FR",2,3))),"[dep_col_opmerkingen]")</f>
        <v>Opmerkingen</v>
      </c>
      <c r="H5" s="6" t="str">
        <f>IFERROR(INDEX(_Lang!$B$2:$D$300,MATCH("dep_col_processes",_Lang!$A$2:$A$300,0),IF(Config!$D$9="NL",1,IF(Config!$D$9="FR",2,3))),"[dep_col_processes]")</f>
        <v>Gebruikt door processen</v>
      </c>
      <c r="I5" s="6" t="str">
        <f>IFERROR(INDEX(_Lang!$B$2:$D$300,MATCH("dep_col_linked_info",_Lang!$A$2:$A$300,0),IF(Config!$D$9="NL",1,IF(Config!$D$9="FR",2,3))),"[dep_col_linked_info]")</f>
        <v>Informatieassets (via processen)</v>
      </c>
      <c r="J5" s="102" t="str">
        <f>IFERROR(INDEX(_Lang!$B$2:$D$300,MATCH("dep_col_conf",_Lang!$A$2:$A$300,0),IF(Config!$D$9="NL",1,IF(Config!$D$9="FR",2,3))),"[dep_col_conf]")</f>
        <v>Confidentialiteit</v>
      </c>
      <c r="K5" s="88"/>
      <c r="L5" s="102" t="str">
        <f>IFERROR(INDEX(_Lang!$B$2:$D$300,MATCH("dep_col_integ",_Lang!$A$2:$A$300,0),IF(Config!$D$9="NL",1,IF(Config!$D$9="FR",2,3))),"[dep_col_integ]")</f>
        <v>Integriteit</v>
      </c>
      <c r="M5" s="88"/>
      <c r="N5" s="102" t="str">
        <f>IFERROR(INDEX(_Lang!$B$2:$D$300,MATCH("dep_col_avail",_Lang!$A$2:$A$300,0),IF(Config!$D$9="NL",1,IF(Config!$D$9="FR",2,3))),"[dep_col_avail]")</f>
        <v>Beschikbaarheid</v>
      </c>
      <c r="O5" s="88"/>
      <c r="P5" s="100" t="str">
        <f>IFERROR(INDEX(_Lang!$B$2:$D$300,MATCH("dep_col_conf",_Lang!$A$2:$A$300,0),IF(Config!$D$9="NL",1,IF(Config!$D$9="FR",2,3))),"[dep_col_conf]")</f>
        <v>Confidentialiteit</v>
      </c>
      <c r="Q5" s="88"/>
      <c r="R5" s="100" t="str">
        <f>IFERROR(INDEX(_Lang!$B$2:$D$300,MATCH("dep_col_integ",_Lang!$A$2:$A$300,0),IF(Config!$D$9="NL",1,IF(Config!$D$9="FR",2,3))),"[dep_col_integ]")</f>
        <v>Integriteit</v>
      </c>
      <c r="S5" s="88"/>
      <c r="T5" s="100" t="str">
        <f>IFERROR(INDEX(_Lang!$B$2:$D$300,MATCH("dep_col_avail",_Lang!$A$2:$A$300,0),IF(Config!$D$9="NL",1,IF(Config!$D$9="FR",2,3))),"[dep_col_avail]")</f>
        <v>Beschikbaarheid</v>
      </c>
      <c r="U5" s="88"/>
      <c r="V5" s="15" t="str">
        <f>IFERROR(INDEX(_Lang!$B$2:$D$300,MATCH("dep_col_gap_conf",_Lang!$A$2:$A$300,0),IF(Config!$D$9="NL",1,IF(Config!$D$9="FR",2,3))),"[dep_col_gap_conf]")</f>
        <v>Conf. niet gedekt (info assets)</v>
      </c>
      <c r="W5" s="15" t="str">
        <f>IFERROR(INDEX(_Lang!$B$2:$D$300,MATCH("dep_col_gap_integ",_Lang!$A$2:$A$300,0),IF(Config!$D$9="NL",1,IF(Config!$D$9="FR",2,3))),"[dep_col_gap_integ]")</f>
        <v>Int. niet gedekt (processen)</v>
      </c>
      <c r="X5" s="15" t="str">
        <f>IFERROR(INDEX(_Lang!$B$2:$D$300,MATCH("dep_col_gap_avail",_Lang!$A$2:$A$300,0),IF(Config!$D$9="NL",1,IF(Config!$D$9="FR",2,3))),"[dep_col_gap_avail]")</f>
        <v>Beschikb. niet gedekt (processen)</v>
      </c>
      <c r="Y5" s="6" t="str">
        <f>IFERROR(INDEX(_Lang!$B$2:$D$300,MATCH("dep_col_obj_commentaar",_Lang!$A$2:$A$300,0),IF(Config!$D$9="NL",1,IF(Config!$D$9="FR",2,3))),"[dep_col_obj_commentaar]")</f>
        <v>Commentaar</v>
      </c>
    </row>
    <row r="6" spans="1:25" ht="24" customHeight="1" x14ac:dyDescent="0.25">
      <c r="A6" s="7" t="str">
        <f>IF(B6="","","D"&amp;TEXT(1,"000"))</f>
        <v/>
      </c>
      <c r="B6" s="16"/>
      <c r="C6" s="16"/>
      <c r="D6" s="16"/>
      <c r="E6" s="16"/>
      <c r="F6" s="17"/>
      <c r="G6" s="16"/>
      <c r="H6" s="14"/>
      <c r="I6" s="14"/>
      <c r="J6" s="18"/>
      <c r="K6" s="10" t="str">
        <f>IF(J6="","",IFERROR(INDEX('Reference Values'!$B$8:$B$12,J6),"?"))</f>
        <v/>
      </c>
      <c r="L6" s="18"/>
      <c r="M6" s="10" t="str">
        <f>IF(L6="","",IFERROR(INDEX('Reference Values'!$B$8:$B$12,L6),"?"))</f>
        <v/>
      </c>
      <c r="N6" s="18"/>
      <c r="O6" s="10" t="str">
        <f>IF(N6="","",IFERROR(INDEX('Reference Values'!$B$8:$B$12,N6),"?"))</f>
        <v/>
      </c>
      <c r="P6" s="19"/>
      <c r="Q6" s="20" t="str">
        <f>IF(P6="","",IFERROR(INDEX('Reference Values'!$B$8:$B$12,P6),"?"))</f>
        <v/>
      </c>
      <c r="R6" s="19"/>
      <c r="S6" s="20" t="str">
        <f>IF(R6="","",IFERROR(INDEX('Reference Values'!$B$8:$B$12,R6),"?"))</f>
        <v/>
      </c>
      <c r="T6" s="19"/>
      <c r="U6" s="20" t="str">
        <f>IF(T6="","",IFERROR(INDEX('Reference Values'!$B$8:$B$12,T6),"?"))</f>
        <v/>
      </c>
      <c r="V6" s="14"/>
      <c r="W6" s="14"/>
      <c r="X6" s="14"/>
      <c r="Y6" s="21"/>
    </row>
    <row r="7" spans="1:25" ht="24" customHeight="1" x14ac:dyDescent="0.25">
      <c r="A7" s="11" t="str">
        <f>IF(B7="","","D"&amp;TEXT(2,"000"))</f>
        <v/>
      </c>
      <c r="B7" s="22"/>
      <c r="C7" s="22"/>
      <c r="D7" s="22"/>
      <c r="E7" s="22"/>
      <c r="F7" s="23"/>
      <c r="G7" s="22"/>
      <c r="H7" s="14"/>
      <c r="I7" s="14"/>
      <c r="J7" s="18"/>
      <c r="K7" s="10" t="str">
        <f>IF(J7="","",IFERROR(INDEX('Reference Values'!$B$8:$B$12,J7),"?"))</f>
        <v/>
      </c>
      <c r="L7" s="18"/>
      <c r="M7" s="10" t="str">
        <f>IF(L7="","",IFERROR(INDEX('Reference Values'!$B$8:$B$12,L7),"?"))</f>
        <v/>
      </c>
      <c r="N7" s="18"/>
      <c r="O7" s="10" t="str">
        <f>IF(N7="","",IFERROR(INDEX('Reference Values'!$B$8:$B$12,N7),"?"))</f>
        <v/>
      </c>
      <c r="P7" s="24"/>
      <c r="Q7" s="20" t="str">
        <f>IF(P7="","",IFERROR(INDEX('Reference Values'!$B$8:$B$12,P7),"?"))</f>
        <v/>
      </c>
      <c r="R7" s="24"/>
      <c r="S7" s="20" t="str">
        <f>IF(R7="","",IFERROR(INDEX('Reference Values'!$B$8:$B$12,R7),"?"))</f>
        <v/>
      </c>
      <c r="T7" s="24"/>
      <c r="U7" s="20" t="str">
        <f>IF(T7="","",IFERROR(INDEX('Reference Values'!$B$8:$B$12,T7),"?"))</f>
        <v/>
      </c>
      <c r="V7" s="14"/>
      <c r="W7" s="14"/>
      <c r="X7" s="14"/>
      <c r="Y7" s="25"/>
    </row>
    <row r="8" spans="1:25" ht="24" customHeight="1" x14ac:dyDescent="0.25">
      <c r="A8" s="7" t="str">
        <f>IF(B8="","","D"&amp;TEXT(3,"000"))</f>
        <v/>
      </c>
      <c r="B8" s="16"/>
      <c r="C8" s="16"/>
      <c r="D8" s="16"/>
      <c r="E8" s="16"/>
      <c r="F8" s="17"/>
      <c r="G8" s="16"/>
      <c r="H8" s="14"/>
      <c r="I8" s="14"/>
      <c r="J8" s="18"/>
      <c r="K8" s="10" t="str">
        <f>IF(J8="","",IFERROR(INDEX('Reference Values'!$B$8:$B$12,J8),"?"))</f>
        <v/>
      </c>
      <c r="L8" s="18"/>
      <c r="M8" s="10" t="str">
        <f>IF(L8="","",IFERROR(INDEX('Reference Values'!$B$8:$B$12,L8),"?"))</f>
        <v/>
      </c>
      <c r="N8" s="18"/>
      <c r="O8" s="10" t="str">
        <f>IF(N8="","",IFERROR(INDEX('Reference Values'!$B$8:$B$12,N8),"?"))</f>
        <v/>
      </c>
      <c r="P8" s="19"/>
      <c r="Q8" s="20" t="str">
        <f>IF(P8="","",IFERROR(INDEX('Reference Values'!$B$8:$B$12,P8),"?"))</f>
        <v/>
      </c>
      <c r="R8" s="19"/>
      <c r="S8" s="20" t="str">
        <f>IF(R8="","",IFERROR(INDEX('Reference Values'!$B$8:$B$12,R8),"?"))</f>
        <v/>
      </c>
      <c r="T8" s="19"/>
      <c r="U8" s="20" t="str">
        <f>IF(T8="","",IFERROR(INDEX('Reference Values'!$B$8:$B$12,T8),"?"))</f>
        <v/>
      </c>
      <c r="V8" s="14"/>
      <c r="W8" s="14"/>
      <c r="X8" s="14"/>
      <c r="Y8" s="21"/>
    </row>
    <row r="9" spans="1:25" ht="24" customHeight="1" x14ac:dyDescent="0.25">
      <c r="A9" s="11" t="str">
        <f>IF(B9="","","D"&amp;TEXT(4,"000"))</f>
        <v/>
      </c>
      <c r="B9" s="22"/>
      <c r="C9" s="22"/>
      <c r="D9" s="22"/>
      <c r="E9" s="22"/>
      <c r="F9" s="23"/>
      <c r="G9" s="22"/>
      <c r="H9" s="14"/>
      <c r="I9" s="14"/>
      <c r="J9" s="18"/>
      <c r="K9" s="10" t="str">
        <f>IF(J9="","",IFERROR(INDEX('Reference Values'!$B$8:$B$12,J9),"?"))</f>
        <v/>
      </c>
      <c r="L9" s="18"/>
      <c r="M9" s="10" t="str">
        <f>IF(L9="","",IFERROR(INDEX('Reference Values'!$B$8:$B$12,L9),"?"))</f>
        <v/>
      </c>
      <c r="N9" s="18"/>
      <c r="O9" s="10" t="str">
        <f>IF(N9="","",IFERROR(INDEX('Reference Values'!$B$8:$B$12,N9),"?"))</f>
        <v/>
      </c>
      <c r="P9" s="24"/>
      <c r="Q9" s="20" t="str">
        <f>IF(P9="","",IFERROR(INDEX('Reference Values'!$B$8:$B$12,P9),"?"))</f>
        <v/>
      </c>
      <c r="R9" s="24"/>
      <c r="S9" s="20" t="str">
        <f>IF(R9="","",IFERROR(INDEX('Reference Values'!$B$8:$B$12,R9),"?"))</f>
        <v/>
      </c>
      <c r="T9" s="24"/>
      <c r="U9" s="20" t="str">
        <f>IF(T9="","",IFERROR(INDEX('Reference Values'!$B$8:$B$12,T9),"?"))</f>
        <v/>
      </c>
      <c r="V9" s="14"/>
      <c r="W9" s="14"/>
      <c r="X9" s="14"/>
      <c r="Y9" s="25"/>
    </row>
    <row r="10" spans="1:25" ht="24" customHeight="1" x14ac:dyDescent="0.25">
      <c r="A10" s="7" t="str">
        <f>IF(B10="","","D"&amp;TEXT(5,"000"))</f>
        <v/>
      </c>
      <c r="B10" s="16"/>
      <c r="C10" s="16"/>
      <c r="D10" s="16"/>
      <c r="E10" s="16"/>
      <c r="F10" s="17"/>
      <c r="G10" s="16"/>
      <c r="H10" s="14"/>
      <c r="I10" s="14"/>
      <c r="J10" s="18"/>
      <c r="K10" s="10" t="str">
        <f>IF(J10="","",IFERROR(INDEX('Reference Values'!$B$8:$B$12,J10),"?"))</f>
        <v/>
      </c>
      <c r="L10" s="18"/>
      <c r="M10" s="10" t="str">
        <f>IF(L10="","",IFERROR(INDEX('Reference Values'!$B$8:$B$12,L10),"?"))</f>
        <v/>
      </c>
      <c r="N10" s="18"/>
      <c r="O10" s="10" t="str">
        <f>IF(N10="","",IFERROR(INDEX('Reference Values'!$B$8:$B$12,N10),"?"))</f>
        <v/>
      </c>
      <c r="P10" s="19"/>
      <c r="Q10" s="20" t="str">
        <f>IF(P10="","",IFERROR(INDEX('Reference Values'!$B$8:$B$12,P10),"?"))</f>
        <v/>
      </c>
      <c r="R10" s="19"/>
      <c r="S10" s="20" t="str">
        <f>IF(R10="","",IFERROR(INDEX('Reference Values'!$B$8:$B$12,R10),"?"))</f>
        <v/>
      </c>
      <c r="T10" s="19"/>
      <c r="U10" s="20" t="str">
        <f>IF(T10="","",IFERROR(INDEX('Reference Values'!$B$8:$B$12,T10),"?"))</f>
        <v/>
      </c>
      <c r="V10" s="14"/>
      <c r="W10" s="14"/>
      <c r="X10" s="14"/>
      <c r="Y10" s="21"/>
    </row>
    <row r="11" spans="1:25" ht="24" customHeight="1" x14ac:dyDescent="0.25">
      <c r="A11" s="11" t="str">
        <f>IF(B11="","","D"&amp;TEXT(6,"000"))</f>
        <v/>
      </c>
      <c r="B11" s="22"/>
      <c r="C11" s="22"/>
      <c r="D11" s="22"/>
      <c r="E11" s="22"/>
      <c r="F11" s="23"/>
      <c r="G11" s="22"/>
      <c r="H11" s="14"/>
      <c r="I11" s="14"/>
      <c r="J11" s="18"/>
      <c r="K11" s="10" t="str">
        <f>IF(J11="","",IFERROR(INDEX('Reference Values'!$B$8:$B$12,J11),"?"))</f>
        <v/>
      </c>
      <c r="L11" s="18"/>
      <c r="M11" s="10" t="str">
        <f>IF(L11="","",IFERROR(INDEX('Reference Values'!$B$8:$B$12,L11),"?"))</f>
        <v/>
      </c>
      <c r="N11" s="18"/>
      <c r="O11" s="10" t="str">
        <f>IF(N11="","",IFERROR(INDEX('Reference Values'!$B$8:$B$12,N11),"?"))</f>
        <v/>
      </c>
      <c r="P11" s="24"/>
      <c r="Q11" s="20" t="str">
        <f>IF(P11="","",IFERROR(INDEX('Reference Values'!$B$8:$B$12,P11),"?"))</f>
        <v/>
      </c>
      <c r="R11" s="24"/>
      <c r="S11" s="20" t="str">
        <f>IF(R11="","",IFERROR(INDEX('Reference Values'!$B$8:$B$12,R11),"?"))</f>
        <v/>
      </c>
      <c r="T11" s="24"/>
      <c r="U11" s="20" t="str">
        <f>IF(T11="","",IFERROR(INDEX('Reference Values'!$B$8:$B$12,T11),"?"))</f>
        <v/>
      </c>
      <c r="V11" s="14"/>
      <c r="W11" s="14"/>
      <c r="X11" s="14"/>
      <c r="Y11" s="25"/>
    </row>
    <row r="12" spans="1:25" ht="24" customHeight="1" x14ac:dyDescent="0.25">
      <c r="A12" s="7" t="str">
        <f>IF(B12="","","D"&amp;TEXT(7,"000"))</f>
        <v/>
      </c>
      <c r="B12" s="16"/>
      <c r="C12" s="16"/>
      <c r="D12" s="16"/>
      <c r="E12" s="16"/>
      <c r="F12" s="17"/>
      <c r="G12" s="16"/>
      <c r="H12" s="14"/>
      <c r="I12" s="14"/>
      <c r="J12" s="18"/>
      <c r="K12" s="10" t="str">
        <f>IF(J12="","",IFERROR(INDEX('Reference Values'!$B$8:$B$12,J12),"?"))</f>
        <v/>
      </c>
      <c r="L12" s="18"/>
      <c r="M12" s="10" t="str">
        <f>IF(L12="","",IFERROR(INDEX('Reference Values'!$B$8:$B$12,L12),"?"))</f>
        <v/>
      </c>
      <c r="N12" s="18"/>
      <c r="O12" s="10" t="str">
        <f>IF(N12="","",IFERROR(INDEX('Reference Values'!$B$8:$B$12,N12),"?"))</f>
        <v/>
      </c>
      <c r="P12" s="19"/>
      <c r="Q12" s="20" t="str">
        <f>IF(P12="","",IFERROR(INDEX('Reference Values'!$B$8:$B$12,P12),"?"))</f>
        <v/>
      </c>
      <c r="R12" s="19"/>
      <c r="S12" s="20" t="str">
        <f>IF(R12="","",IFERROR(INDEX('Reference Values'!$B$8:$B$12,R12),"?"))</f>
        <v/>
      </c>
      <c r="T12" s="19"/>
      <c r="U12" s="20" t="str">
        <f>IF(T12="","",IFERROR(INDEX('Reference Values'!$B$8:$B$12,T12),"?"))</f>
        <v/>
      </c>
      <c r="V12" s="14"/>
      <c r="W12" s="14"/>
      <c r="X12" s="14"/>
      <c r="Y12" s="21"/>
    </row>
    <row r="13" spans="1:25" ht="24" customHeight="1" x14ac:dyDescent="0.25">
      <c r="A13" s="11" t="str">
        <f>IF(B13="","","D"&amp;TEXT(8,"000"))</f>
        <v/>
      </c>
      <c r="B13" s="22"/>
      <c r="C13" s="22"/>
      <c r="D13" s="22"/>
      <c r="E13" s="22"/>
      <c r="F13" s="23"/>
      <c r="G13" s="22"/>
      <c r="H13" s="14"/>
      <c r="I13" s="14"/>
      <c r="J13" s="18"/>
      <c r="K13" s="10" t="str">
        <f>IF(J13="","",IFERROR(INDEX('Reference Values'!$B$8:$B$12,J13),"?"))</f>
        <v/>
      </c>
      <c r="L13" s="18"/>
      <c r="M13" s="10" t="str">
        <f>IF(L13="","",IFERROR(INDEX('Reference Values'!$B$8:$B$12,L13),"?"))</f>
        <v/>
      </c>
      <c r="N13" s="18"/>
      <c r="O13" s="10" t="str">
        <f>IF(N13="","",IFERROR(INDEX('Reference Values'!$B$8:$B$12,N13),"?"))</f>
        <v/>
      </c>
      <c r="P13" s="24"/>
      <c r="Q13" s="20" t="str">
        <f>IF(P13="","",IFERROR(INDEX('Reference Values'!$B$8:$B$12,P13),"?"))</f>
        <v/>
      </c>
      <c r="R13" s="24"/>
      <c r="S13" s="20" t="str">
        <f>IF(R13="","",IFERROR(INDEX('Reference Values'!$B$8:$B$12,R13),"?"))</f>
        <v/>
      </c>
      <c r="T13" s="24"/>
      <c r="U13" s="20" t="str">
        <f>IF(T13="","",IFERROR(INDEX('Reference Values'!$B$8:$B$12,T13),"?"))</f>
        <v/>
      </c>
      <c r="V13" s="14"/>
      <c r="W13" s="14"/>
      <c r="X13" s="14"/>
      <c r="Y13" s="25"/>
    </row>
    <row r="14" spans="1:25" ht="24" customHeight="1" x14ac:dyDescent="0.25">
      <c r="A14" s="7" t="str">
        <f>IF(B14="","","D"&amp;TEXT(9,"000"))</f>
        <v/>
      </c>
      <c r="B14" s="16"/>
      <c r="C14" s="16"/>
      <c r="D14" s="16"/>
      <c r="E14" s="16"/>
      <c r="F14" s="17"/>
      <c r="G14" s="16"/>
      <c r="H14" s="14"/>
      <c r="I14" s="14"/>
      <c r="J14" s="18"/>
      <c r="K14" s="10" t="str">
        <f>IF(J14="","",IFERROR(INDEX('Reference Values'!$B$8:$B$12,J14),"?"))</f>
        <v/>
      </c>
      <c r="L14" s="18"/>
      <c r="M14" s="10" t="str">
        <f>IF(L14="","",IFERROR(INDEX('Reference Values'!$B$8:$B$12,L14),"?"))</f>
        <v/>
      </c>
      <c r="N14" s="18"/>
      <c r="O14" s="10" t="str">
        <f>IF(N14="","",IFERROR(INDEX('Reference Values'!$B$8:$B$12,N14),"?"))</f>
        <v/>
      </c>
      <c r="P14" s="19"/>
      <c r="Q14" s="20" t="str">
        <f>IF(P14="","",IFERROR(INDEX('Reference Values'!$B$8:$B$12,P14),"?"))</f>
        <v/>
      </c>
      <c r="R14" s="19"/>
      <c r="S14" s="20" t="str">
        <f>IF(R14="","",IFERROR(INDEX('Reference Values'!$B$8:$B$12,R14),"?"))</f>
        <v/>
      </c>
      <c r="T14" s="19"/>
      <c r="U14" s="20" t="str">
        <f>IF(T14="","",IFERROR(INDEX('Reference Values'!$B$8:$B$12,T14),"?"))</f>
        <v/>
      </c>
      <c r="V14" s="14"/>
      <c r="W14" s="14"/>
      <c r="X14" s="14"/>
      <c r="Y14" s="21"/>
    </row>
    <row r="15" spans="1:25" ht="24" customHeight="1" x14ac:dyDescent="0.25">
      <c r="A15" s="11" t="str">
        <f>IF(B15="","","D"&amp;TEXT(10,"000"))</f>
        <v/>
      </c>
      <c r="B15" s="22"/>
      <c r="C15" s="22"/>
      <c r="D15" s="22"/>
      <c r="E15" s="22"/>
      <c r="F15" s="23"/>
      <c r="G15" s="22"/>
      <c r="H15" s="14"/>
      <c r="I15" s="14"/>
      <c r="J15" s="18"/>
      <c r="K15" s="10" t="str">
        <f>IF(J15="","",IFERROR(INDEX('Reference Values'!$B$8:$B$12,J15),"?"))</f>
        <v/>
      </c>
      <c r="L15" s="18"/>
      <c r="M15" s="10" t="str">
        <f>IF(L15="","",IFERROR(INDEX('Reference Values'!$B$8:$B$12,L15),"?"))</f>
        <v/>
      </c>
      <c r="N15" s="18"/>
      <c r="O15" s="10" t="str">
        <f>IF(N15="","",IFERROR(INDEX('Reference Values'!$B$8:$B$12,N15),"?"))</f>
        <v/>
      </c>
      <c r="P15" s="24"/>
      <c r="Q15" s="20" t="str">
        <f>IF(P15="","",IFERROR(INDEX('Reference Values'!$B$8:$B$12,P15),"?"))</f>
        <v/>
      </c>
      <c r="R15" s="24"/>
      <c r="S15" s="20" t="str">
        <f>IF(R15="","",IFERROR(INDEX('Reference Values'!$B$8:$B$12,R15),"?"))</f>
        <v/>
      </c>
      <c r="T15" s="24"/>
      <c r="U15" s="20" t="str">
        <f>IF(T15="","",IFERROR(INDEX('Reference Values'!$B$8:$B$12,T15),"?"))</f>
        <v/>
      </c>
      <c r="V15" s="14"/>
      <c r="W15" s="14"/>
      <c r="X15" s="14"/>
      <c r="Y15" s="25"/>
    </row>
    <row r="16" spans="1:25" ht="24" customHeight="1" x14ac:dyDescent="0.25">
      <c r="A16" s="7" t="str">
        <f>IF(B16="","","D"&amp;TEXT(11,"000"))</f>
        <v/>
      </c>
      <c r="B16" s="16"/>
      <c r="C16" s="16"/>
      <c r="D16" s="16"/>
      <c r="E16" s="16"/>
      <c r="F16" s="17"/>
      <c r="G16" s="16"/>
      <c r="H16" s="14"/>
      <c r="I16" s="14"/>
      <c r="J16" s="18"/>
      <c r="K16" s="10" t="str">
        <f>IF(J16="","",IFERROR(INDEX('Reference Values'!$B$8:$B$12,J16),"?"))</f>
        <v/>
      </c>
      <c r="L16" s="18"/>
      <c r="M16" s="10" t="str">
        <f>IF(L16="","",IFERROR(INDEX('Reference Values'!$B$8:$B$12,L16),"?"))</f>
        <v/>
      </c>
      <c r="N16" s="18"/>
      <c r="O16" s="10" t="str">
        <f>IF(N16="","",IFERROR(INDEX('Reference Values'!$B$8:$B$12,N16),"?"))</f>
        <v/>
      </c>
      <c r="P16" s="19"/>
      <c r="Q16" s="20" t="str">
        <f>IF(P16="","",IFERROR(INDEX('Reference Values'!$B$8:$B$12,P16),"?"))</f>
        <v/>
      </c>
      <c r="R16" s="19"/>
      <c r="S16" s="20" t="str">
        <f>IF(R16="","",IFERROR(INDEX('Reference Values'!$B$8:$B$12,R16),"?"))</f>
        <v/>
      </c>
      <c r="T16" s="19"/>
      <c r="U16" s="20" t="str">
        <f>IF(T16="","",IFERROR(INDEX('Reference Values'!$B$8:$B$12,T16),"?"))</f>
        <v/>
      </c>
      <c r="V16" s="14"/>
      <c r="W16" s="14"/>
      <c r="X16" s="14"/>
      <c r="Y16" s="21"/>
    </row>
    <row r="17" spans="1:25" ht="24" customHeight="1" x14ac:dyDescent="0.25">
      <c r="A17" s="11" t="str">
        <f>IF(B17="","","D"&amp;TEXT(12,"000"))</f>
        <v/>
      </c>
      <c r="B17" s="22"/>
      <c r="C17" s="22"/>
      <c r="D17" s="22"/>
      <c r="E17" s="22"/>
      <c r="F17" s="23"/>
      <c r="G17" s="22"/>
      <c r="H17" s="14"/>
      <c r="I17" s="14"/>
      <c r="J17" s="18"/>
      <c r="K17" s="10" t="str">
        <f>IF(J17="","",IFERROR(INDEX('Reference Values'!$B$8:$B$12,J17),"?"))</f>
        <v/>
      </c>
      <c r="L17" s="18"/>
      <c r="M17" s="10" t="str">
        <f>IF(L17="","",IFERROR(INDEX('Reference Values'!$B$8:$B$12,L17),"?"))</f>
        <v/>
      </c>
      <c r="N17" s="18"/>
      <c r="O17" s="10" t="str">
        <f>IF(N17="","",IFERROR(INDEX('Reference Values'!$B$8:$B$12,N17),"?"))</f>
        <v/>
      </c>
      <c r="P17" s="24"/>
      <c r="Q17" s="20" t="str">
        <f>IF(P17="","",IFERROR(INDEX('Reference Values'!$B$8:$B$12,P17),"?"))</f>
        <v/>
      </c>
      <c r="R17" s="24"/>
      <c r="S17" s="20" t="str">
        <f>IF(R17="","",IFERROR(INDEX('Reference Values'!$B$8:$B$12,R17),"?"))</f>
        <v/>
      </c>
      <c r="T17" s="24"/>
      <c r="U17" s="20" t="str">
        <f>IF(T17="","",IFERROR(INDEX('Reference Values'!$B$8:$B$12,T17),"?"))</f>
        <v/>
      </c>
      <c r="V17" s="14"/>
      <c r="W17" s="14"/>
      <c r="X17" s="14"/>
      <c r="Y17" s="25"/>
    </row>
    <row r="18" spans="1:25" ht="24" customHeight="1" x14ac:dyDescent="0.25">
      <c r="A18" s="7" t="str">
        <f>IF(B18="","","D"&amp;TEXT(13,"000"))</f>
        <v/>
      </c>
      <c r="B18" s="16"/>
      <c r="C18" s="16"/>
      <c r="D18" s="16"/>
      <c r="E18" s="16"/>
      <c r="F18" s="17"/>
      <c r="G18" s="16"/>
      <c r="H18" s="14"/>
      <c r="I18" s="14"/>
      <c r="J18" s="18"/>
      <c r="K18" s="10" t="str">
        <f>IF(J18="","",IFERROR(INDEX('Reference Values'!$B$8:$B$12,J18),"?"))</f>
        <v/>
      </c>
      <c r="L18" s="18"/>
      <c r="M18" s="10" t="str">
        <f>IF(L18="","",IFERROR(INDEX('Reference Values'!$B$8:$B$12,L18),"?"))</f>
        <v/>
      </c>
      <c r="N18" s="18"/>
      <c r="O18" s="10" t="str">
        <f>IF(N18="","",IFERROR(INDEX('Reference Values'!$B$8:$B$12,N18),"?"))</f>
        <v/>
      </c>
      <c r="P18" s="19"/>
      <c r="Q18" s="20" t="str">
        <f>IF(P18="","",IFERROR(INDEX('Reference Values'!$B$8:$B$12,P18),"?"))</f>
        <v/>
      </c>
      <c r="R18" s="19"/>
      <c r="S18" s="20" t="str">
        <f>IF(R18="","",IFERROR(INDEX('Reference Values'!$B$8:$B$12,R18),"?"))</f>
        <v/>
      </c>
      <c r="T18" s="19"/>
      <c r="U18" s="20" t="str">
        <f>IF(T18="","",IFERROR(INDEX('Reference Values'!$B$8:$B$12,T18),"?"))</f>
        <v/>
      </c>
      <c r="V18" s="14"/>
      <c r="W18" s="14"/>
      <c r="X18" s="14"/>
      <c r="Y18" s="21"/>
    </row>
    <row r="19" spans="1:25" ht="24" customHeight="1" x14ac:dyDescent="0.25">
      <c r="A19" s="11" t="str">
        <f>IF(B19="","","D"&amp;TEXT(14,"000"))</f>
        <v/>
      </c>
      <c r="B19" s="22"/>
      <c r="C19" s="22"/>
      <c r="D19" s="22"/>
      <c r="E19" s="22"/>
      <c r="F19" s="23"/>
      <c r="G19" s="22"/>
      <c r="H19" s="14"/>
      <c r="I19" s="14"/>
      <c r="J19" s="18"/>
      <c r="K19" s="10" t="str">
        <f>IF(J19="","",IFERROR(INDEX('Reference Values'!$B$8:$B$12,J19),"?"))</f>
        <v/>
      </c>
      <c r="L19" s="18"/>
      <c r="M19" s="10" t="str">
        <f>IF(L19="","",IFERROR(INDEX('Reference Values'!$B$8:$B$12,L19),"?"))</f>
        <v/>
      </c>
      <c r="N19" s="18"/>
      <c r="O19" s="10" t="str">
        <f>IF(N19="","",IFERROR(INDEX('Reference Values'!$B$8:$B$12,N19),"?"))</f>
        <v/>
      </c>
      <c r="P19" s="24"/>
      <c r="Q19" s="20" t="str">
        <f>IF(P19="","",IFERROR(INDEX('Reference Values'!$B$8:$B$12,P19),"?"))</f>
        <v/>
      </c>
      <c r="R19" s="24"/>
      <c r="S19" s="20" t="str">
        <f>IF(R19="","",IFERROR(INDEX('Reference Values'!$B$8:$B$12,R19),"?"))</f>
        <v/>
      </c>
      <c r="T19" s="24"/>
      <c r="U19" s="20" t="str">
        <f>IF(T19="","",IFERROR(INDEX('Reference Values'!$B$8:$B$12,T19),"?"))</f>
        <v/>
      </c>
      <c r="V19" s="14"/>
      <c r="W19" s="14"/>
      <c r="X19" s="14"/>
      <c r="Y19" s="25"/>
    </row>
    <row r="20" spans="1:25" ht="24" customHeight="1" x14ac:dyDescent="0.25">
      <c r="A20" s="7" t="str">
        <f>IF(B20="","","D"&amp;TEXT(15,"000"))</f>
        <v/>
      </c>
      <c r="B20" s="16"/>
      <c r="C20" s="16"/>
      <c r="D20" s="16"/>
      <c r="E20" s="16"/>
      <c r="F20" s="17"/>
      <c r="G20" s="16"/>
      <c r="H20" s="14"/>
      <c r="I20" s="14"/>
      <c r="J20" s="18"/>
      <c r="K20" s="10" t="str">
        <f>IF(J20="","",IFERROR(INDEX('Reference Values'!$B$8:$B$12,J20),"?"))</f>
        <v/>
      </c>
      <c r="L20" s="18"/>
      <c r="M20" s="10" t="str">
        <f>IF(L20="","",IFERROR(INDEX('Reference Values'!$B$8:$B$12,L20),"?"))</f>
        <v/>
      </c>
      <c r="N20" s="18"/>
      <c r="O20" s="10" t="str">
        <f>IF(N20="","",IFERROR(INDEX('Reference Values'!$B$8:$B$12,N20),"?"))</f>
        <v/>
      </c>
      <c r="P20" s="19"/>
      <c r="Q20" s="20" t="str">
        <f>IF(P20="","",IFERROR(INDEX('Reference Values'!$B$8:$B$12,P20),"?"))</f>
        <v/>
      </c>
      <c r="R20" s="19"/>
      <c r="S20" s="20" t="str">
        <f>IF(R20="","",IFERROR(INDEX('Reference Values'!$B$8:$B$12,R20),"?"))</f>
        <v/>
      </c>
      <c r="T20" s="19"/>
      <c r="U20" s="20" t="str">
        <f>IF(T20="","",IFERROR(INDEX('Reference Values'!$B$8:$B$12,T20),"?"))</f>
        <v/>
      </c>
      <c r="V20" s="14"/>
      <c r="W20" s="14"/>
      <c r="X20" s="14"/>
      <c r="Y20" s="21"/>
    </row>
    <row r="21" spans="1:25" ht="24" customHeight="1" x14ac:dyDescent="0.25">
      <c r="A21" s="11" t="str">
        <f>IF(B21="","","D"&amp;TEXT(16,"000"))</f>
        <v/>
      </c>
      <c r="B21" s="22"/>
      <c r="C21" s="22"/>
      <c r="D21" s="22"/>
      <c r="E21" s="22"/>
      <c r="F21" s="23"/>
      <c r="G21" s="22"/>
      <c r="H21" s="14"/>
      <c r="I21" s="14"/>
      <c r="J21" s="18"/>
      <c r="K21" s="10" t="str">
        <f>IF(J21="","",IFERROR(INDEX('Reference Values'!$B$8:$B$12,J21),"?"))</f>
        <v/>
      </c>
      <c r="L21" s="18"/>
      <c r="M21" s="10" t="str">
        <f>IF(L21="","",IFERROR(INDEX('Reference Values'!$B$8:$B$12,L21),"?"))</f>
        <v/>
      </c>
      <c r="N21" s="18"/>
      <c r="O21" s="10" t="str">
        <f>IF(N21="","",IFERROR(INDEX('Reference Values'!$B$8:$B$12,N21),"?"))</f>
        <v/>
      </c>
      <c r="P21" s="24"/>
      <c r="Q21" s="20" t="str">
        <f>IF(P21="","",IFERROR(INDEX('Reference Values'!$B$8:$B$12,P21),"?"))</f>
        <v/>
      </c>
      <c r="R21" s="24"/>
      <c r="S21" s="20" t="str">
        <f>IF(R21="","",IFERROR(INDEX('Reference Values'!$B$8:$B$12,R21),"?"))</f>
        <v/>
      </c>
      <c r="T21" s="24"/>
      <c r="U21" s="20" t="str">
        <f>IF(T21="","",IFERROR(INDEX('Reference Values'!$B$8:$B$12,T21),"?"))</f>
        <v/>
      </c>
      <c r="V21" s="14"/>
      <c r="W21" s="14"/>
      <c r="X21" s="14"/>
      <c r="Y21" s="25"/>
    </row>
    <row r="22" spans="1:25" ht="24" customHeight="1" x14ac:dyDescent="0.25">
      <c r="A22" s="7" t="str">
        <f>IF(B22="","","D"&amp;TEXT(17,"000"))</f>
        <v/>
      </c>
      <c r="B22" s="16"/>
      <c r="C22" s="16"/>
      <c r="D22" s="16"/>
      <c r="E22" s="16"/>
      <c r="F22" s="17"/>
      <c r="G22" s="16"/>
      <c r="H22" s="14"/>
      <c r="I22" s="14"/>
      <c r="J22" s="18"/>
      <c r="K22" s="10" t="str">
        <f>IF(J22="","",IFERROR(INDEX('Reference Values'!$B$8:$B$12,J22),"?"))</f>
        <v/>
      </c>
      <c r="L22" s="18"/>
      <c r="M22" s="10" t="str">
        <f>IF(L22="","",IFERROR(INDEX('Reference Values'!$B$8:$B$12,L22),"?"))</f>
        <v/>
      </c>
      <c r="N22" s="18"/>
      <c r="O22" s="10" t="str">
        <f>IF(N22="","",IFERROR(INDEX('Reference Values'!$B$8:$B$12,N22),"?"))</f>
        <v/>
      </c>
      <c r="P22" s="19"/>
      <c r="Q22" s="20" t="str">
        <f>IF(P22="","",IFERROR(INDEX('Reference Values'!$B$8:$B$12,P22),"?"))</f>
        <v/>
      </c>
      <c r="R22" s="19"/>
      <c r="S22" s="20" t="str">
        <f>IF(R22="","",IFERROR(INDEX('Reference Values'!$B$8:$B$12,R22),"?"))</f>
        <v/>
      </c>
      <c r="T22" s="19"/>
      <c r="U22" s="20" t="str">
        <f>IF(T22="","",IFERROR(INDEX('Reference Values'!$B$8:$B$12,T22),"?"))</f>
        <v/>
      </c>
      <c r="V22" s="14"/>
      <c r="W22" s="14"/>
      <c r="X22" s="14"/>
      <c r="Y22" s="21"/>
    </row>
    <row r="23" spans="1:25" ht="24" customHeight="1" x14ac:dyDescent="0.25">
      <c r="A23" s="11" t="str">
        <f>IF(B23="","","D"&amp;TEXT(18,"000"))</f>
        <v/>
      </c>
      <c r="B23" s="22"/>
      <c r="C23" s="22"/>
      <c r="D23" s="22"/>
      <c r="E23" s="22"/>
      <c r="F23" s="23"/>
      <c r="G23" s="22"/>
      <c r="H23" s="14"/>
      <c r="I23" s="14"/>
      <c r="J23" s="18"/>
      <c r="K23" s="10" t="str">
        <f>IF(J23="","",IFERROR(INDEX('Reference Values'!$B$8:$B$12,J23),"?"))</f>
        <v/>
      </c>
      <c r="L23" s="18"/>
      <c r="M23" s="10" t="str">
        <f>IF(L23="","",IFERROR(INDEX('Reference Values'!$B$8:$B$12,L23),"?"))</f>
        <v/>
      </c>
      <c r="N23" s="18"/>
      <c r="O23" s="10" t="str">
        <f>IF(N23="","",IFERROR(INDEX('Reference Values'!$B$8:$B$12,N23),"?"))</f>
        <v/>
      </c>
      <c r="P23" s="24"/>
      <c r="Q23" s="20" t="str">
        <f>IF(P23="","",IFERROR(INDEX('Reference Values'!$B$8:$B$12,P23),"?"))</f>
        <v/>
      </c>
      <c r="R23" s="24"/>
      <c r="S23" s="20" t="str">
        <f>IF(R23="","",IFERROR(INDEX('Reference Values'!$B$8:$B$12,R23),"?"))</f>
        <v/>
      </c>
      <c r="T23" s="24"/>
      <c r="U23" s="20" t="str">
        <f>IF(T23="","",IFERROR(INDEX('Reference Values'!$B$8:$B$12,T23),"?"))</f>
        <v/>
      </c>
      <c r="V23" s="14"/>
      <c r="W23" s="14"/>
      <c r="X23" s="14"/>
      <c r="Y23" s="25"/>
    </row>
    <row r="24" spans="1:25" ht="24" customHeight="1" x14ac:dyDescent="0.25">
      <c r="A24" s="7" t="str">
        <f>IF(B24="","","D"&amp;TEXT(19,"000"))</f>
        <v/>
      </c>
      <c r="B24" s="16"/>
      <c r="C24" s="16"/>
      <c r="D24" s="16"/>
      <c r="E24" s="16"/>
      <c r="F24" s="17"/>
      <c r="G24" s="16"/>
      <c r="H24" s="14"/>
      <c r="I24" s="14"/>
      <c r="J24" s="18"/>
      <c r="K24" s="10" t="str">
        <f>IF(J24="","",IFERROR(INDEX('Reference Values'!$B$8:$B$12,J24),"?"))</f>
        <v/>
      </c>
      <c r="L24" s="18"/>
      <c r="M24" s="10" t="str">
        <f>IF(L24="","",IFERROR(INDEX('Reference Values'!$B$8:$B$12,L24),"?"))</f>
        <v/>
      </c>
      <c r="N24" s="18"/>
      <c r="O24" s="10" t="str">
        <f>IF(N24="","",IFERROR(INDEX('Reference Values'!$B$8:$B$12,N24),"?"))</f>
        <v/>
      </c>
      <c r="P24" s="19"/>
      <c r="Q24" s="20" t="str">
        <f>IF(P24="","",IFERROR(INDEX('Reference Values'!$B$8:$B$12,P24),"?"))</f>
        <v/>
      </c>
      <c r="R24" s="19"/>
      <c r="S24" s="20" t="str">
        <f>IF(R24="","",IFERROR(INDEX('Reference Values'!$B$8:$B$12,R24),"?"))</f>
        <v/>
      </c>
      <c r="T24" s="19"/>
      <c r="U24" s="20" t="str">
        <f>IF(T24="","",IFERROR(INDEX('Reference Values'!$B$8:$B$12,T24),"?"))</f>
        <v/>
      </c>
      <c r="V24" s="14"/>
      <c r="W24" s="14"/>
      <c r="X24" s="14"/>
      <c r="Y24" s="21"/>
    </row>
    <row r="25" spans="1:25" ht="24" customHeight="1" x14ac:dyDescent="0.25">
      <c r="A25" s="11" t="str">
        <f>IF(B25="","","D"&amp;TEXT(20,"000"))</f>
        <v/>
      </c>
      <c r="B25" s="22"/>
      <c r="C25" s="22"/>
      <c r="D25" s="22"/>
      <c r="E25" s="22"/>
      <c r="F25" s="23"/>
      <c r="G25" s="22"/>
      <c r="H25" s="14"/>
      <c r="I25" s="14"/>
      <c r="J25" s="18"/>
      <c r="K25" s="10" t="str">
        <f>IF(J25="","",IFERROR(INDEX('Reference Values'!$B$8:$B$12,J25),"?"))</f>
        <v/>
      </c>
      <c r="L25" s="18"/>
      <c r="M25" s="10" t="str">
        <f>IF(L25="","",IFERROR(INDEX('Reference Values'!$B$8:$B$12,L25),"?"))</f>
        <v/>
      </c>
      <c r="N25" s="18"/>
      <c r="O25" s="10" t="str">
        <f>IF(N25="","",IFERROR(INDEX('Reference Values'!$B$8:$B$12,N25),"?"))</f>
        <v/>
      </c>
      <c r="P25" s="24"/>
      <c r="Q25" s="20" t="str">
        <f>IF(P25="","",IFERROR(INDEX('Reference Values'!$B$8:$B$12,P25),"?"))</f>
        <v/>
      </c>
      <c r="R25" s="24"/>
      <c r="S25" s="20" t="str">
        <f>IF(R25="","",IFERROR(INDEX('Reference Values'!$B$8:$B$12,R25),"?"))</f>
        <v/>
      </c>
      <c r="T25" s="24"/>
      <c r="U25" s="20" t="str">
        <f>IF(T25="","",IFERROR(INDEX('Reference Values'!$B$8:$B$12,T25),"?"))</f>
        <v/>
      </c>
      <c r="V25" s="14"/>
      <c r="W25" s="14"/>
      <c r="X25" s="14"/>
      <c r="Y25" s="25"/>
    </row>
    <row r="26" spans="1:25" ht="24" customHeight="1" x14ac:dyDescent="0.25">
      <c r="A26" s="7" t="str">
        <f>IF(B26="","","D"&amp;TEXT(21,"000"))</f>
        <v/>
      </c>
      <c r="B26" s="16"/>
      <c r="C26" s="16"/>
      <c r="D26" s="16"/>
      <c r="E26" s="16"/>
      <c r="F26" s="17"/>
      <c r="G26" s="16"/>
      <c r="H26" s="14"/>
      <c r="I26" s="14"/>
      <c r="J26" s="18"/>
      <c r="K26" s="10" t="str">
        <f>IF(J26="","",IFERROR(INDEX('Reference Values'!$B$8:$B$12,J26),"?"))</f>
        <v/>
      </c>
      <c r="L26" s="18"/>
      <c r="M26" s="10" t="str">
        <f>IF(L26="","",IFERROR(INDEX('Reference Values'!$B$8:$B$12,L26),"?"))</f>
        <v/>
      </c>
      <c r="N26" s="18"/>
      <c r="O26" s="10" t="str">
        <f>IF(N26="","",IFERROR(INDEX('Reference Values'!$B$8:$B$12,N26),"?"))</f>
        <v/>
      </c>
      <c r="P26" s="19"/>
      <c r="Q26" s="20" t="str">
        <f>IF(P26="","",IFERROR(INDEX('Reference Values'!$B$8:$B$12,P26),"?"))</f>
        <v/>
      </c>
      <c r="R26" s="19"/>
      <c r="S26" s="20" t="str">
        <f>IF(R26="","",IFERROR(INDEX('Reference Values'!$B$8:$B$12,R26),"?"))</f>
        <v/>
      </c>
      <c r="T26" s="19"/>
      <c r="U26" s="20" t="str">
        <f>IF(T26="","",IFERROR(INDEX('Reference Values'!$B$8:$B$12,T26),"?"))</f>
        <v/>
      </c>
      <c r="V26" s="14"/>
      <c r="W26" s="14"/>
      <c r="X26" s="14"/>
      <c r="Y26" s="21"/>
    </row>
    <row r="27" spans="1:25" ht="24" customHeight="1" x14ac:dyDescent="0.25">
      <c r="A27" s="11" t="str">
        <f>IF(B27="","","D"&amp;TEXT(22,"000"))</f>
        <v/>
      </c>
      <c r="B27" s="22"/>
      <c r="C27" s="22"/>
      <c r="D27" s="22"/>
      <c r="E27" s="22"/>
      <c r="F27" s="23"/>
      <c r="G27" s="22"/>
      <c r="H27" s="14"/>
      <c r="I27" s="14"/>
      <c r="J27" s="18"/>
      <c r="K27" s="10" t="str">
        <f>IF(J27="","",IFERROR(INDEX('Reference Values'!$B$8:$B$12,J27),"?"))</f>
        <v/>
      </c>
      <c r="L27" s="18"/>
      <c r="M27" s="10" t="str">
        <f>IF(L27="","",IFERROR(INDEX('Reference Values'!$B$8:$B$12,L27),"?"))</f>
        <v/>
      </c>
      <c r="N27" s="18"/>
      <c r="O27" s="10" t="str">
        <f>IF(N27="","",IFERROR(INDEX('Reference Values'!$B$8:$B$12,N27),"?"))</f>
        <v/>
      </c>
      <c r="P27" s="24"/>
      <c r="Q27" s="20" t="str">
        <f>IF(P27="","",IFERROR(INDEX('Reference Values'!$B$8:$B$12,P27),"?"))</f>
        <v/>
      </c>
      <c r="R27" s="24"/>
      <c r="S27" s="20" t="str">
        <f>IF(R27="","",IFERROR(INDEX('Reference Values'!$B$8:$B$12,R27),"?"))</f>
        <v/>
      </c>
      <c r="T27" s="24"/>
      <c r="U27" s="20" t="str">
        <f>IF(T27="","",IFERROR(INDEX('Reference Values'!$B$8:$B$12,T27),"?"))</f>
        <v/>
      </c>
      <c r="V27" s="14"/>
      <c r="W27" s="14"/>
      <c r="X27" s="14"/>
      <c r="Y27" s="25"/>
    </row>
    <row r="28" spans="1:25" ht="24" customHeight="1" x14ac:dyDescent="0.25">
      <c r="A28" s="7" t="str">
        <f>IF(B28="","","D"&amp;TEXT(23,"000"))</f>
        <v/>
      </c>
      <c r="B28" s="16"/>
      <c r="C28" s="16"/>
      <c r="D28" s="16"/>
      <c r="E28" s="16"/>
      <c r="F28" s="17"/>
      <c r="G28" s="16"/>
      <c r="H28" s="14"/>
      <c r="I28" s="14"/>
      <c r="J28" s="18"/>
      <c r="K28" s="10" t="str">
        <f>IF(J28="","",IFERROR(INDEX('Reference Values'!$B$8:$B$12,J28),"?"))</f>
        <v/>
      </c>
      <c r="L28" s="18"/>
      <c r="M28" s="10" t="str">
        <f>IF(L28="","",IFERROR(INDEX('Reference Values'!$B$8:$B$12,L28),"?"))</f>
        <v/>
      </c>
      <c r="N28" s="18"/>
      <c r="O28" s="10" t="str">
        <f>IF(N28="","",IFERROR(INDEX('Reference Values'!$B$8:$B$12,N28),"?"))</f>
        <v/>
      </c>
      <c r="P28" s="19"/>
      <c r="Q28" s="20" t="str">
        <f>IF(P28="","",IFERROR(INDEX('Reference Values'!$B$8:$B$12,P28),"?"))</f>
        <v/>
      </c>
      <c r="R28" s="19"/>
      <c r="S28" s="20" t="str">
        <f>IF(R28="","",IFERROR(INDEX('Reference Values'!$B$8:$B$12,R28),"?"))</f>
        <v/>
      </c>
      <c r="T28" s="19"/>
      <c r="U28" s="20" t="str">
        <f>IF(T28="","",IFERROR(INDEX('Reference Values'!$B$8:$B$12,T28),"?"))</f>
        <v/>
      </c>
      <c r="V28" s="14"/>
      <c r="W28" s="14"/>
      <c r="X28" s="14"/>
      <c r="Y28" s="21"/>
    </row>
    <row r="29" spans="1:25" ht="24" customHeight="1" x14ac:dyDescent="0.25">
      <c r="A29" s="11" t="str">
        <f>IF(B29="","","D"&amp;TEXT(24,"000"))</f>
        <v/>
      </c>
      <c r="B29" s="22"/>
      <c r="C29" s="22"/>
      <c r="D29" s="22"/>
      <c r="E29" s="22"/>
      <c r="F29" s="23"/>
      <c r="G29" s="22"/>
      <c r="H29" s="14"/>
      <c r="I29" s="14"/>
      <c r="J29" s="18"/>
      <c r="K29" s="10" t="str">
        <f>IF(J29="","",IFERROR(INDEX('Reference Values'!$B$8:$B$12,J29),"?"))</f>
        <v/>
      </c>
      <c r="L29" s="18"/>
      <c r="M29" s="10" t="str">
        <f>IF(L29="","",IFERROR(INDEX('Reference Values'!$B$8:$B$12,L29),"?"))</f>
        <v/>
      </c>
      <c r="N29" s="18"/>
      <c r="O29" s="10" t="str">
        <f>IF(N29="","",IFERROR(INDEX('Reference Values'!$B$8:$B$12,N29),"?"))</f>
        <v/>
      </c>
      <c r="P29" s="24"/>
      <c r="Q29" s="20" t="str">
        <f>IF(P29="","",IFERROR(INDEX('Reference Values'!$B$8:$B$12,P29),"?"))</f>
        <v/>
      </c>
      <c r="R29" s="24"/>
      <c r="S29" s="20" t="str">
        <f>IF(R29="","",IFERROR(INDEX('Reference Values'!$B$8:$B$12,R29),"?"))</f>
        <v/>
      </c>
      <c r="T29" s="24"/>
      <c r="U29" s="20" t="str">
        <f>IF(T29="","",IFERROR(INDEX('Reference Values'!$B$8:$B$12,T29),"?"))</f>
        <v/>
      </c>
      <c r="V29" s="14"/>
      <c r="W29" s="14"/>
      <c r="X29" s="14"/>
      <c r="Y29" s="25"/>
    </row>
    <row r="30" spans="1:25" ht="24" customHeight="1" x14ac:dyDescent="0.25">
      <c r="A30" s="7" t="str">
        <f>IF(B30="","","D"&amp;TEXT(25,"000"))</f>
        <v/>
      </c>
      <c r="B30" s="16"/>
      <c r="C30" s="16"/>
      <c r="D30" s="16"/>
      <c r="E30" s="16"/>
      <c r="F30" s="17"/>
      <c r="G30" s="16"/>
      <c r="H30" s="14"/>
      <c r="I30" s="14"/>
      <c r="J30" s="18"/>
      <c r="K30" s="10" t="str">
        <f>IF(J30="","",IFERROR(INDEX('Reference Values'!$B$8:$B$12,J30),"?"))</f>
        <v/>
      </c>
      <c r="L30" s="18"/>
      <c r="M30" s="10" t="str">
        <f>IF(L30="","",IFERROR(INDEX('Reference Values'!$B$8:$B$12,L30),"?"))</f>
        <v/>
      </c>
      <c r="N30" s="18"/>
      <c r="O30" s="10" t="str">
        <f>IF(N30="","",IFERROR(INDEX('Reference Values'!$B$8:$B$12,N30),"?"))</f>
        <v/>
      </c>
      <c r="P30" s="19"/>
      <c r="Q30" s="20" t="str">
        <f>IF(P30="","",IFERROR(INDEX('Reference Values'!$B$8:$B$12,P30),"?"))</f>
        <v/>
      </c>
      <c r="R30" s="19"/>
      <c r="S30" s="20" t="str">
        <f>IF(R30="","",IFERROR(INDEX('Reference Values'!$B$8:$B$12,R30),"?"))</f>
        <v/>
      </c>
      <c r="T30" s="19"/>
      <c r="U30" s="20" t="str">
        <f>IF(T30="","",IFERROR(INDEX('Reference Values'!$B$8:$B$12,T30),"?"))</f>
        <v/>
      </c>
      <c r="V30" s="14"/>
      <c r="W30" s="14"/>
      <c r="X30" s="14"/>
      <c r="Y30" s="21"/>
    </row>
    <row r="31" spans="1:25" ht="24" customHeight="1" x14ac:dyDescent="0.25">
      <c r="A31" s="11" t="str">
        <f>IF(B31="","","D"&amp;TEXT(26,"000"))</f>
        <v/>
      </c>
      <c r="B31" s="22"/>
      <c r="C31" s="22"/>
      <c r="D31" s="22"/>
      <c r="E31" s="22"/>
      <c r="F31" s="23"/>
      <c r="G31" s="22"/>
      <c r="H31" s="14"/>
      <c r="I31" s="14"/>
      <c r="J31" s="18"/>
      <c r="K31" s="10" t="str">
        <f>IF(J31="","",IFERROR(INDEX('Reference Values'!$B$8:$B$12,J31),"?"))</f>
        <v/>
      </c>
      <c r="L31" s="18"/>
      <c r="M31" s="10" t="str">
        <f>IF(L31="","",IFERROR(INDEX('Reference Values'!$B$8:$B$12,L31),"?"))</f>
        <v/>
      </c>
      <c r="N31" s="18"/>
      <c r="O31" s="10" t="str">
        <f>IF(N31="","",IFERROR(INDEX('Reference Values'!$B$8:$B$12,N31),"?"))</f>
        <v/>
      </c>
      <c r="P31" s="24"/>
      <c r="Q31" s="20" t="str">
        <f>IF(P31="","",IFERROR(INDEX('Reference Values'!$B$8:$B$12,P31),"?"))</f>
        <v/>
      </c>
      <c r="R31" s="24"/>
      <c r="S31" s="20" t="str">
        <f>IF(R31="","",IFERROR(INDEX('Reference Values'!$B$8:$B$12,R31),"?"))</f>
        <v/>
      </c>
      <c r="T31" s="24"/>
      <c r="U31" s="20" t="str">
        <f>IF(T31="","",IFERROR(INDEX('Reference Values'!$B$8:$B$12,T31),"?"))</f>
        <v/>
      </c>
      <c r="V31" s="14"/>
      <c r="W31" s="14"/>
      <c r="X31" s="14"/>
      <c r="Y31" s="25"/>
    </row>
    <row r="32" spans="1:25" ht="24" customHeight="1" x14ac:dyDescent="0.25">
      <c r="A32" s="7" t="str">
        <f>IF(B32="","","D"&amp;TEXT(27,"000"))</f>
        <v/>
      </c>
      <c r="B32" s="16"/>
      <c r="C32" s="16"/>
      <c r="D32" s="16"/>
      <c r="E32" s="16"/>
      <c r="F32" s="17"/>
      <c r="G32" s="16"/>
      <c r="H32" s="14"/>
      <c r="I32" s="14"/>
      <c r="J32" s="18"/>
      <c r="K32" s="10" t="str">
        <f>IF(J32="","",IFERROR(INDEX('Reference Values'!$B$8:$B$12,J32),"?"))</f>
        <v/>
      </c>
      <c r="L32" s="18"/>
      <c r="M32" s="10" t="str">
        <f>IF(L32="","",IFERROR(INDEX('Reference Values'!$B$8:$B$12,L32),"?"))</f>
        <v/>
      </c>
      <c r="N32" s="18"/>
      <c r="O32" s="10" t="str">
        <f>IF(N32="","",IFERROR(INDEX('Reference Values'!$B$8:$B$12,N32),"?"))</f>
        <v/>
      </c>
      <c r="P32" s="19"/>
      <c r="Q32" s="20" t="str">
        <f>IF(P32="","",IFERROR(INDEX('Reference Values'!$B$8:$B$12,P32),"?"))</f>
        <v/>
      </c>
      <c r="R32" s="19"/>
      <c r="S32" s="20" t="str">
        <f>IF(R32="","",IFERROR(INDEX('Reference Values'!$B$8:$B$12,R32),"?"))</f>
        <v/>
      </c>
      <c r="T32" s="19"/>
      <c r="U32" s="20" t="str">
        <f>IF(T32="","",IFERROR(INDEX('Reference Values'!$B$8:$B$12,T32),"?"))</f>
        <v/>
      </c>
      <c r="V32" s="14"/>
      <c r="W32" s="14"/>
      <c r="X32" s="14"/>
      <c r="Y32" s="21"/>
    </row>
    <row r="33" spans="1:25" ht="24" customHeight="1" x14ac:dyDescent="0.25">
      <c r="A33" s="11" t="str">
        <f>IF(B33="","","D"&amp;TEXT(28,"000"))</f>
        <v/>
      </c>
      <c r="B33" s="22"/>
      <c r="C33" s="22"/>
      <c r="D33" s="22"/>
      <c r="E33" s="22"/>
      <c r="F33" s="23"/>
      <c r="G33" s="22"/>
      <c r="H33" s="14"/>
      <c r="I33" s="14"/>
      <c r="J33" s="18"/>
      <c r="K33" s="10" t="str">
        <f>IF(J33="","",IFERROR(INDEX('Reference Values'!$B$8:$B$12,J33),"?"))</f>
        <v/>
      </c>
      <c r="L33" s="18"/>
      <c r="M33" s="10" t="str">
        <f>IF(L33="","",IFERROR(INDEX('Reference Values'!$B$8:$B$12,L33),"?"))</f>
        <v/>
      </c>
      <c r="N33" s="18"/>
      <c r="O33" s="10" t="str">
        <f>IF(N33="","",IFERROR(INDEX('Reference Values'!$B$8:$B$12,N33),"?"))</f>
        <v/>
      </c>
      <c r="P33" s="24"/>
      <c r="Q33" s="20" t="str">
        <f>IF(P33="","",IFERROR(INDEX('Reference Values'!$B$8:$B$12,P33),"?"))</f>
        <v/>
      </c>
      <c r="R33" s="24"/>
      <c r="S33" s="20" t="str">
        <f>IF(R33="","",IFERROR(INDEX('Reference Values'!$B$8:$B$12,R33),"?"))</f>
        <v/>
      </c>
      <c r="T33" s="24"/>
      <c r="U33" s="20" t="str">
        <f>IF(T33="","",IFERROR(INDEX('Reference Values'!$B$8:$B$12,T33),"?"))</f>
        <v/>
      </c>
      <c r="V33" s="14"/>
      <c r="W33" s="14"/>
      <c r="X33" s="14"/>
      <c r="Y33" s="25"/>
    </row>
    <row r="34" spans="1:25" ht="24" customHeight="1" x14ac:dyDescent="0.25">
      <c r="A34" s="7" t="str">
        <f>IF(B34="","","D"&amp;TEXT(29,"000"))</f>
        <v/>
      </c>
      <c r="B34" s="16"/>
      <c r="C34" s="16"/>
      <c r="D34" s="16"/>
      <c r="E34" s="16"/>
      <c r="F34" s="17"/>
      <c r="G34" s="16"/>
      <c r="H34" s="14"/>
      <c r="I34" s="14"/>
      <c r="J34" s="18"/>
      <c r="K34" s="10" t="str">
        <f>IF(J34="","",IFERROR(INDEX('Reference Values'!$B$8:$B$12,J34),"?"))</f>
        <v/>
      </c>
      <c r="L34" s="18"/>
      <c r="M34" s="10" t="str">
        <f>IF(L34="","",IFERROR(INDEX('Reference Values'!$B$8:$B$12,L34),"?"))</f>
        <v/>
      </c>
      <c r="N34" s="18"/>
      <c r="O34" s="10" t="str">
        <f>IF(N34="","",IFERROR(INDEX('Reference Values'!$B$8:$B$12,N34),"?"))</f>
        <v/>
      </c>
      <c r="P34" s="19"/>
      <c r="Q34" s="20" t="str">
        <f>IF(P34="","",IFERROR(INDEX('Reference Values'!$B$8:$B$12,P34),"?"))</f>
        <v/>
      </c>
      <c r="R34" s="19"/>
      <c r="S34" s="20" t="str">
        <f>IF(R34="","",IFERROR(INDEX('Reference Values'!$B$8:$B$12,R34),"?"))</f>
        <v/>
      </c>
      <c r="T34" s="19"/>
      <c r="U34" s="20" t="str">
        <f>IF(T34="","",IFERROR(INDEX('Reference Values'!$B$8:$B$12,T34),"?"))</f>
        <v/>
      </c>
      <c r="V34" s="14"/>
      <c r="W34" s="14"/>
      <c r="X34" s="14"/>
      <c r="Y34" s="21"/>
    </row>
    <row r="35" spans="1:25" ht="24" customHeight="1" x14ac:dyDescent="0.25">
      <c r="A35" s="11" t="str">
        <f>IF(B35="","","D"&amp;TEXT(30,"000"))</f>
        <v/>
      </c>
      <c r="B35" s="22"/>
      <c r="C35" s="22"/>
      <c r="D35" s="22"/>
      <c r="E35" s="22"/>
      <c r="F35" s="23"/>
      <c r="G35" s="22"/>
      <c r="H35" s="14"/>
      <c r="I35" s="14"/>
      <c r="J35" s="18"/>
      <c r="K35" s="10" t="str">
        <f>IF(J35="","",IFERROR(INDEX('Reference Values'!$B$8:$B$12,J35),"?"))</f>
        <v/>
      </c>
      <c r="L35" s="18"/>
      <c r="M35" s="10" t="str">
        <f>IF(L35="","",IFERROR(INDEX('Reference Values'!$B$8:$B$12,L35),"?"))</f>
        <v/>
      </c>
      <c r="N35" s="18"/>
      <c r="O35" s="10" t="str">
        <f>IF(N35="","",IFERROR(INDEX('Reference Values'!$B$8:$B$12,N35),"?"))</f>
        <v/>
      </c>
      <c r="P35" s="24"/>
      <c r="Q35" s="20" t="str">
        <f>IF(P35="","",IFERROR(INDEX('Reference Values'!$B$8:$B$12,P35),"?"))</f>
        <v/>
      </c>
      <c r="R35" s="24"/>
      <c r="S35" s="20" t="str">
        <f>IF(R35="","",IFERROR(INDEX('Reference Values'!$B$8:$B$12,R35),"?"))</f>
        <v/>
      </c>
      <c r="T35" s="24"/>
      <c r="U35" s="20" t="str">
        <f>IF(T35="","",IFERROR(INDEX('Reference Values'!$B$8:$B$12,T35),"?"))</f>
        <v/>
      </c>
      <c r="V35" s="14"/>
      <c r="W35" s="14"/>
      <c r="X35" s="14"/>
      <c r="Y35" s="25"/>
    </row>
    <row r="36" spans="1:25" ht="24" customHeight="1" x14ac:dyDescent="0.25">
      <c r="A36" s="7" t="str">
        <f>IF(B36="","","D"&amp;TEXT(31,"000"))</f>
        <v/>
      </c>
      <c r="B36" s="16"/>
      <c r="C36" s="16"/>
      <c r="D36" s="16"/>
      <c r="E36" s="16"/>
      <c r="F36" s="17"/>
      <c r="G36" s="16"/>
      <c r="H36" s="14"/>
      <c r="I36" s="14"/>
      <c r="J36" s="18"/>
      <c r="K36" s="10" t="str">
        <f>IF(J36="","",IFERROR(INDEX('Reference Values'!$B$8:$B$12,J36),"?"))</f>
        <v/>
      </c>
      <c r="L36" s="18"/>
      <c r="M36" s="10" t="str">
        <f>IF(L36="","",IFERROR(INDEX('Reference Values'!$B$8:$B$12,L36),"?"))</f>
        <v/>
      </c>
      <c r="N36" s="18"/>
      <c r="O36" s="10" t="str">
        <f>IF(N36="","",IFERROR(INDEX('Reference Values'!$B$8:$B$12,N36),"?"))</f>
        <v/>
      </c>
      <c r="P36" s="19"/>
      <c r="Q36" s="20" t="str">
        <f>IF(P36="","",IFERROR(INDEX('Reference Values'!$B$8:$B$12,P36),"?"))</f>
        <v/>
      </c>
      <c r="R36" s="19"/>
      <c r="S36" s="20" t="str">
        <f>IF(R36="","",IFERROR(INDEX('Reference Values'!$B$8:$B$12,R36),"?"))</f>
        <v/>
      </c>
      <c r="T36" s="19"/>
      <c r="U36" s="20" t="str">
        <f>IF(T36="","",IFERROR(INDEX('Reference Values'!$B$8:$B$12,T36),"?"))</f>
        <v/>
      </c>
      <c r="V36" s="14"/>
      <c r="W36" s="14"/>
      <c r="X36" s="14"/>
      <c r="Y36" s="21"/>
    </row>
    <row r="37" spans="1:25" ht="24" customHeight="1" x14ac:dyDescent="0.25">
      <c r="A37" s="11" t="str">
        <f>IF(B37="","","D"&amp;TEXT(32,"000"))</f>
        <v/>
      </c>
      <c r="B37" s="22"/>
      <c r="C37" s="22"/>
      <c r="D37" s="22"/>
      <c r="E37" s="22"/>
      <c r="F37" s="23"/>
      <c r="G37" s="22"/>
      <c r="H37" s="14"/>
      <c r="I37" s="14"/>
      <c r="J37" s="18"/>
      <c r="K37" s="10" t="str">
        <f>IF(J37="","",IFERROR(INDEX('Reference Values'!$B$8:$B$12,J37),"?"))</f>
        <v/>
      </c>
      <c r="L37" s="18"/>
      <c r="M37" s="10" t="str">
        <f>IF(L37="","",IFERROR(INDEX('Reference Values'!$B$8:$B$12,L37),"?"))</f>
        <v/>
      </c>
      <c r="N37" s="18"/>
      <c r="O37" s="10" t="str">
        <f>IF(N37="","",IFERROR(INDEX('Reference Values'!$B$8:$B$12,N37),"?"))</f>
        <v/>
      </c>
      <c r="P37" s="24"/>
      <c r="Q37" s="20" t="str">
        <f>IF(P37="","",IFERROR(INDEX('Reference Values'!$B$8:$B$12,P37),"?"))</f>
        <v/>
      </c>
      <c r="R37" s="24"/>
      <c r="S37" s="20" t="str">
        <f>IF(R37="","",IFERROR(INDEX('Reference Values'!$B$8:$B$12,R37),"?"))</f>
        <v/>
      </c>
      <c r="T37" s="24"/>
      <c r="U37" s="20" t="str">
        <f>IF(T37="","",IFERROR(INDEX('Reference Values'!$B$8:$B$12,T37),"?"))</f>
        <v/>
      </c>
      <c r="V37" s="14"/>
      <c r="W37" s="14"/>
      <c r="X37" s="14"/>
      <c r="Y37" s="25"/>
    </row>
    <row r="38" spans="1:25" ht="24" customHeight="1" x14ac:dyDescent="0.25">
      <c r="A38" s="7" t="str">
        <f>IF(B38="","","D"&amp;TEXT(33,"000"))</f>
        <v/>
      </c>
      <c r="B38" s="16"/>
      <c r="C38" s="16"/>
      <c r="D38" s="16"/>
      <c r="E38" s="16"/>
      <c r="F38" s="17"/>
      <c r="G38" s="16"/>
      <c r="H38" s="14"/>
      <c r="I38" s="14"/>
      <c r="J38" s="18"/>
      <c r="K38" s="10" t="str">
        <f>IF(J38="","",IFERROR(INDEX('Reference Values'!$B$8:$B$12,J38),"?"))</f>
        <v/>
      </c>
      <c r="L38" s="18"/>
      <c r="M38" s="10" t="str">
        <f>IF(L38="","",IFERROR(INDEX('Reference Values'!$B$8:$B$12,L38),"?"))</f>
        <v/>
      </c>
      <c r="N38" s="18"/>
      <c r="O38" s="10" t="str">
        <f>IF(N38="","",IFERROR(INDEX('Reference Values'!$B$8:$B$12,N38),"?"))</f>
        <v/>
      </c>
      <c r="P38" s="19"/>
      <c r="Q38" s="20" t="str">
        <f>IF(P38="","",IFERROR(INDEX('Reference Values'!$B$8:$B$12,P38),"?"))</f>
        <v/>
      </c>
      <c r="R38" s="19"/>
      <c r="S38" s="20" t="str">
        <f>IF(R38="","",IFERROR(INDEX('Reference Values'!$B$8:$B$12,R38),"?"))</f>
        <v/>
      </c>
      <c r="T38" s="19"/>
      <c r="U38" s="20" t="str">
        <f>IF(T38="","",IFERROR(INDEX('Reference Values'!$B$8:$B$12,T38),"?"))</f>
        <v/>
      </c>
      <c r="V38" s="14"/>
      <c r="W38" s="14"/>
      <c r="X38" s="14"/>
      <c r="Y38" s="21"/>
    </row>
    <row r="39" spans="1:25" ht="24" customHeight="1" x14ac:dyDescent="0.25">
      <c r="A39" s="11" t="str">
        <f>IF(B39="","","D"&amp;TEXT(34,"000"))</f>
        <v/>
      </c>
      <c r="B39" s="22"/>
      <c r="C39" s="22"/>
      <c r="D39" s="22"/>
      <c r="E39" s="22"/>
      <c r="F39" s="23"/>
      <c r="G39" s="22"/>
      <c r="H39" s="14"/>
      <c r="I39" s="14"/>
      <c r="J39" s="18"/>
      <c r="K39" s="10" t="str">
        <f>IF(J39="","",IFERROR(INDEX('Reference Values'!$B$8:$B$12,J39),"?"))</f>
        <v/>
      </c>
      <c r="L39" s="18"/>
      <c r="M39" s="10" t="str">
        <f>IF(L39="","",IFERROR(INDEX('Reference Values'!$B$8:$B$12,L39),"?"))</f>
        <v/>
      </c>
      <c r="N39" s="18"/>
      <c r="O39" s="10" t="str">
        <f>IF(N39="","",IFERROR(INDEX('Reference Values'!$B$8:$B$12,N39),"?"))</f>
        <v/>
      </c>
      <c r="P39" s="24"/>
      <c r="Q39" s="20" t="str">
        <f>IF(P39="","",IFERROR(INDEX('Reference Values'!$B$8:$B$12,P39),"?"))</f>
        <v/>
      </c>
      <c r="R39" s="24"/>
      <c r="S39" s="20" t="str">
        <f>IF(R39="","",IFERROR(INDEX('Reference Values'!$B$8:$B$12,R39),"?"))</f>
        <v/>
      </c>
      <c r="T39" s="24"/>
      <c r="U39" s="20" t="str">
        <f>IF(T39="","",IFERROR(INDEX('Reference Values'!$B$8:$B$12,T39),"?"))</f>
        <v/>
      </c>
      <c r="V39" s="14"/>
      <c r="W39" s="14"/>
      <c r="X39" s="14"/>
      <c r="Y39" s="25"/>
    </row>
    <row r="40" spans="1:25" ht="24" customHeight="1" x14ac:dyDescent="0.25">
      <c r="A40" s="7" t="str">
        <f>IF(B40="","","D"&amp;TEXT(35,"000"))</f>
        <v/>
      </c>
      <c r="B40" s="16"/>
      <c r="C40" s="16"/>
      <c r="D40" s="16"/>
      <c r="E40" s="16"/>
      <c r="F40" s="17"/>
      <c r="G40" s="16"/>
      <c r="H40" s="14"/>
      <c r="I40" s="14"/>
      <c r="J40" s="18"/>
      <c r="K40" s="10" t="str">
        <f>IF(J40="","",IFERROR(INDEX('Reference Values'!$B$8:$B$12,J40),"?"))</f>
        <v/>
      </c>
      <c r="L40" s="18"/>
      <c r="M40" s="10" t="str">
        <f>IF(L40="","",IFERROR(INDEX('Reference Values'!$B$8:$B$12,L40),"?"))</f>
        <v/>
      </c>
      <c r="N40" s="18"/>
      <c r="O40" s="10" t="str">
        <f>IF(N40="","",IFERROR(INDEX('Reference Values'!$B$8:$B$12,N40),"?"))</f>
        <v/>
      </c>
      <c r="P40" s="19"/>
      <c r="Q40" s="20" t="str">
        <f>IF(P40="","",IFERROR(INDEX('Reference Values'!$B$8:$B$12,P40),"?"))</f>
        <v/>
      </c>
      <c r="R40" s="19"/>
      <c r="S40" s="20" t="str">
        <f>IF(R40="","",IFERROR(INDEX('Reference Values'!$B$8:$B$12,R40),"?"))</f>
        <v/>
      </c>
      <c r="T40" s="19"/>
      <c r="U40" s="20" t="str">
        <f>IF(T40="","",IFERROR(INDEX('Reference Values'!$B$8:$B$12,T40),"?"))</f>
        <v/>
      </c>
      <c r="V40" s="14"/>
      <c r="W40" s="14"/>
      <c r="X40" s="14"/>
      <c r="Y40" s="21"/>
    </row>
    <row r="41" spans="1:25" ht="24" customHeight="1" x14ac:dyDescent="0.25">
      <c r="A41" s="11" t="str">
        <f>IF(B41="","","D"&amp;TEXT(36,"000"))</f>
        <v/>
      </c>
      <c r="B41" s="22"/>
      <c r="C41" s="22"/>
      <c r="D41" s="22"/>
      <c r="E41" s="22"/>
      <c r="F41" s="23"/>
      <c r="G41" s="22"/>
      <c r="H41" s="14"/>
      <c r="I41" s="14"/>
      <c r="J41" s="18"/>
      <c r="K41" s="10" t="str">
        <f>IF(J41="","",IFERROR(INDEX('Reference Values'!$B$8:$B$12,J41),"?"))</f>
        <v/>
      </c>
      <c r="L41" s="18"/>
      <c r="M41" s="10" t="str">
        <f>IF(L41="","",IFERROR(INDEX('Reference Values'!$B$8:$B$12,L41),"?"))</f>
        <v/>
      </c>
      <c r="N41" s="18"/>
      <c r="O41" s="10" t="str">
        <f>IF(N41="","",IFERROR(INDEX('Reference Values'!$B$8:$B$12,N41),"?"))</f>
        <v/>
      </c>
      <c r="P41" s="24"/>
      <c r="Q41" s="20" t="str">
        <f>IF(P41="","",IFERROR(INDEX('Reference Values'!$B$8:$B$12,P41),"?"))</f>
        <v/>
      </c>
      <c r="R41" s="24"/>
      <c r="S41" s="20" t="str">
        <f>IF(R41="","",IFERROR(INDEX('Reference Values'!$B$8:$B$12,R41),"?"))</f>
        <v/>
      </c>
      <c r="T41" s="24"/>
      <c r="U41" s="20" t="str">
        <f>IF(T41="","",IFERROR(INDEX('Reference Values'!$B$8:$B$12,T41),"?"))</f>
        <v/>
      </c>
      <c r="V41" s="14"/>
      <c r="W41" s="14"/>
      <c r="X41" s="14"/>
      <c r="Y41" s="25"/>
    </row>
    <row r="42" spans="1:25" ht="24" customHeight="1" x14ac:dyDescent="0.25">
      <c r="A42" s="7" t="str">
        <f>IF(B42="","","D"&amp;TEXT(37,"000"))</f>
        <v/>
      </c>
      <c r="B42" s="16"/>
      <c r="C42" s="16"/>
      <c r="D42" s="16"/>
      <c r="E42" s="16"/>
      <c r="F42" s="17"/>
      <c r="G42" s="16"/>
      <c r="H42" s="14"/>
      <c r="I42" s="14"/>
      <c r="J42" s="18"/>
      <c r="K42" s="10" t="str">
        <f>IF(J42="","",IFERROR(INDEX('Reference Values'!$B$8:$B$12,J42),"?"))</f>
        <v/>
      </c>
      <c r="L42" s="18"/>
      <c r="M42" s="10" t="str">
        <f>IF(L42="","",IFERROR(INDEX('Reference Values'!$B$8:$B$12,L42),"?"))</f>
        <v/>
      </c>
      <c r="N42" s="18"/>
      <c r="O42" s="10" t="str">
        <f>IF(N42="","",IFERROR(INDEX('Reference Values'!$B$8:$B$12,N42),"?"))</f>
        <v/>
      </c>
      <c r="P42" s="19"/>
      <c r="Q42" s="20" t="str">
        <f>IF(P42="","",IFERROR(INDEX('Reference Values'!$B$8:$B$12,P42),"?"))</f>
        <v/>
      </c>
      <c r="R42" s="19"/>
      <c r="S42" s="20" t="str">
        <f>IF(R42="","",IFERROR(INDEX('Reference Values'!$B$8:$B$12,R42),"?"))</f>
        <v/>
      </c>
      <c r="T42" s="19"/>
      <c r="U42" s="20" t="str">
        <f>IF(T42="","",IFERROR(INDEX('Reference Values'!$B$8:$B$12,T42),"?"))</f>
        <v/>
      </c>
      <c r="V42" s="14"/>
      <c r="W42" s="14"/>
      <c r="X42" s="14"/>
      <c r="Y42" s="21"/>
    </row>
    <row r="43" spans="1:25" ht="24" customHeight="1" x14ac:dyDescent="0.25">
      <c r="A43" s="11" t="str">
        <f>IF(B43="","","D"&amp;TEXT(38,"000"))</f>
        <v/>
      </c>
      <c r="B43" s="22"/>
      <c r="C43" s="22"/>
      <c r="D43" s="22"/>
      <c r="E43" s="22"/>
      <c r="F43" s="23"/>
      <c r="G43" s="22"/>
      <c r="H43" s="14"/>
      <c r="I43" s="14"/>
      <c r="J43" s="18"/>
      <c r="K43" s="10" t="str">
        <f>IF(J43="","",IFERROR(INDEX('Reference Values'!$B$8:$B$12,J43),"?"))</f>
        <v/>
      </c>
      <c r="L43" s="18"/>
      <c r="M43" s="10" t="str">
        <f>IF(L43="","",IFERROR(INDEX('Reference Values'!$B$8:$B$12,L43),"?"))</f>
        <v/>
      </c>
      <c r="N43" s="18"/>
      <c r="O43" s="10" t="str">
        <f>IF(N43="","",IFERROR(INDEX('Reference Values'!$B$8:$B$12,N43),"?"))</f>
        <v/>
      </c>
      <c r="P43" s="24"/>
      <c r="Q43" s="20" t="str">
        <f>IF(P43="","",IFERROR(INDEX('Reference Values'!$B$8:$B$12,P43),"?"))</f>
        <v/>
      </c>
      <c r="R43" s="24"/>
      <c r="S43" s="20" t="str">
        <f>IF(R43="","",IFERROR(INDEX('Reference Values'!$B$8:$B$12,R43),"?"))</f>
        <v/>
      </c>
      <c r="T43" s="24"/>
      <c r="U43" s="20" t="str">
        <f>IF(T43="","",IFERROR(INDEX('Reference Values'!$B$8:$B$12,T43),"?"))</f>
        <v/>
      </c>
      <c r="V43" s="14"/>
      <c r="W43" s="14"/>
      <c r="X43" s="14"/>
      <c r="Y43" s="25"/>
    </row>
    <row r="44" spans="1:25" ht="24" customHeight="1" x14ac:dyDescent="0.25">
      <c r="A44" s="7" t="str">
        <f>IF(B44="","","D"&amp;TEXT(39,"000"))</f>
        <v/>
      </c>
      <c r="B44" s="16"/>
      <c r="C44" s="16"/>
      <c r="D44" s="16"/>
      <c r="E44" s="16"/>
      <c r="F44" s="17"/>
      <c r="G44" s="16"/>
      <c r="H44" s="14"/>
      <c r="I44" s="14"/>
      <c r="J44" s="18"/>
      <c r="K44" s="10" t="str">
        <f>IF(J44="","",IFERROR(INDEX('Reference Values'!$B$8:$B$12,J44),"?"))</f>
        <v/>
      </c>
      <c r="L44" s="18"/>
      <c r="M44" s="10" t="str">
        <f>IF(L44="","",IFERROR(INDEX('Reference Values'!$B$8:$B$12,L44),"?"))</f>
        <v/>
      </c>
      <c r="N44" s="18"/>
      <c r="O44" s="10" t="str">
        <f>IF(N44="","",IFERROR(INDEX('Reference Values'!$B$8:$B$12,N44),"?"))</f>
        <v/>
      </c>
      <c r="P44" s="19"/>
      <c r="Q44" s="20" t="str">
        <f>IF(P44="","",IFERROR(INDEX('Reference Values'!$B$8:$B$12,P44),"?"))</f>
        <v/>
      </c>
      <c r="R44" s="19"/>
      <c r="S44" s="20" t="str">
        <f>IF(R44="","",IFERROR(INDEX('Reference Values'!$B$8:$B$12,R44),"?"))</f>
        <v/>
      </c>
      <c r="T44" s="19"/>
      <c r="U44" s="20" t="str">
        <f>IF(T44="","",IFERROR(INDEX('Reference Values'!$B$8:$B$12,T44),"?"))</f>
        <v/>
      </c>
      <c r="V44" s="14"/>
      <c r="W44" s="14"/>
      <c r="X44" s="14"/>
      <c r="Y44" s="21"/>
    </row>
    <row r="45" spans="1:25" ht="24" customHeight="1" x14ac:dyDescent="0.25">
      <c r="A45" s="11" t="str">
        <f>IF(B45="","","D"&amp;TEXT(40,"000"))</f>
        <v/>
      </c>
      <c r="B45" s="22"/>
      <c r="C45" s="22"/>
      <c r="D45" s="22"/>
      <c r="E45" s="22"/>
      <c r="F45" s="23"/>
      <c r="G45" s="22"/>
      <c r="H45" s="14"/>
      <c r="I45" s="14"/>
      <c r="J45" s="18"/>
      <c r="K45" s="10" t="str">
        <f>IF(J45="","",IFERROR(INDEX('Reference Values'!$B$8:$B$12,J45),"?"))</f>
        <v/>
      </c>
      <c r="L45" s="18"/>
      <c r="M45" s="10" t="str">
        <f>IF(L45="","",IFERROR(INDEX('Reference Values'!$B$8:$B$12,L45),"?"))</f>
        <v/>
      </c>
      <c r="N45" s="18"/>
      <c r="O45" s="10" t="str">
        <f>IF(N45="","",IFERROR(INDEX('Reference Values'!$B$8:$B$12,N45),"?"))</f>
        <v/>
      </c>
      <c r="P45" s="24"/>
      <c r="Q45" s="20" t="str">
        <f>IF(P45="","",IFERROR(INDEX('Reference Values'!$B$8:$B$12,P45),"?"))</f>
        <v/>
      </c>
      <c r="R45" s="24"/>
      <c r="S45" s="20" t="str">
        <f>IF(R45="","",IFERROR(INDEX('Reference Values'!$B$8:$B$12,R45),"?"))</f>
        <v/>
      </c>
      <c r="T45" s="24"/>
      <c r="U45" s="20" t="str">
        <f>IF(T45="","",IFERROR(INDEX('Reference Values'!$B$8:$B$12,T45),"?"))</f>
        <v/>
      </c>
      <c r="V45" s="14"/>
      <c r="W45" s="14"/>
      <c r="X45" s="14"/>
      <c r="Y45" s="25"/>
    </row>
    <row r="46" spans="1:25" ht="24" customHeight="1" x14ac:dyDescent="0.25">
      <c r="A46" s="7" t="str">
        <f>IF(B46="","","D"&amp;TEXT(41,"000"))</f>
        <v/>
      </c>
      <c r="B46" s="16"/>
      <c r="C46" s="16"/>
      <c r="D46" s="16"/>
      <c r="E46" s="16"/>
      <c r="F46" s="17"/>
      <c r="G46" s="16"/>
      <c r="H46" s="14"/>
      <c r="I46" s="14"/>
      <c r="J46" s="18"/>
      <c r="K46" s="10" t="str">
        <f>IF(J46="","",IFERROR(INDEX('Reference Values'!$B$8:$B$12,J46),"?"))</f>
        <v/>
      </c>
      <c r="L46" s="18"/>
      <c r="M46" s="10" t="str">
        <f>IF(L46="","",IFERROR(INDEX('Reference Values'!$B$8:$B$12,L46),"?"))</f>
        <v/>
      </c>
      <c r="N46" s="18"/>
      <c r="O46" s="10" t="str">
        <f>IF(N46="","",IFERROR(INDEX('Reference Values'!$B$8:$B$12,N46),"?"))</f>
        <v/>
      </c>
      <c r="P46" s="19"/>
      <c r="Q46" s="20" t="str">
        <f>IF(P46="","",IFERROR(INDEX('Reference Values'!$B$8:$B$12,P46),"?"))</f>
        <v/>
      </c>
      <c r="R46" s="19"/>
      <c r="S46" s="20" t="str">
        <f>IF(R46="","",IFERROR(INDEX('Reference Values'!$B$8:$B$12,R46),"?"))</f>
        <v/>
      </c>
      <c r="T46" s="19"/>
      <c r="U46" s="20" t="str">
        <f>IF(T46="","",IFERROR(INDEX('Reference Values'!$B$8:$B$12,T46),"?"))</f>
        <v/>
      </c>
      <c r="V46" s="14"/>
      <c r="W46" s="14"/>
      <c r="X46" s="14"/>
      <c r="Y46" s="21"/>
    </row>
    <row r="47" spans="1:25" ht="24" customHeight="1" x14ac:dyDescent="0.25">
      <c r="A47" s="11" t="str">
        <f>IF(B47="","","D"&amp;TEXT(42,"000"))</f>
        <v/>
      </c>
      <c r="B47" s="22"/>
      <c r="C47" s="22"/>
      <c r="D47" s="22"/>
      <c r="E47" s="22"/>
      <c r="F47" s="23"/>
      <c r="G47" s="22"/>
      <c r="H47" s="14"/>
      <c r="I47" s="14"/>
      <c r="J47" s="18"/>
      <c r="K47" s="10" t="str">
        <f>IF(J47="","",IFERROR(INDEX('Reference Values'!$B$8:$B$12,J47),"?"))</f>
        <v/>
      </c>
      <c r="L47" s="18"/>
      <c r="M47" s="10" t="str">
        <f>IF(L47="","",IFERROR(INDEX('Reference Values'!$B$8:$B$12,L47),"?"))</f>
        <v/>
      </c>
      <c r="N47" s="18"/>
      <c r="O47" s="10" t="str">
        <f>IF(N47="","",IFERROR(INDEX('Reference Values'!$B$8:$B$12,N47),"?"))</f>
        <v/>
      </c>
      <c r="P47" s="24"/>
      <c r="Q47" s="20" t="str">
        <f>IF(P47="","",IFERROR(INDEX('Reference Values'!$B$8:$B$12,P47),"?"))</f>
        <v/>
      </c>
      <c r="R47" s="24"/>
      <c r="S47" s="20" t="str">
        <f>IF(R47="","",IFERROR(INDEX('Reference Values'!$B$8:$B$12,R47),"?"))</f>
        <v/>
      </c>
      <c r="T47" s="24"/>
      <c r="U47" s="20" t="str">
        <f>IF(T47="","",IFERROR(INDEX('Reference Values'!$B$8:$B$12,T47),"?"))</f>
        <v/>
      </c>
      <c r="V47" s="14"/>
      <c r="W47" s="14"/>
      <c r="X47" s="14"/>
      <c r="Y47" s="25"/>
    </row>
    <row r="48" spans="1:25" ht="24" customHeight="1" x14ac:dyDescent="0.25">
      <c r="A48" s="7" t="str">
        <f>IF(B48="","","D"&amp;TEXT(43,"000"))</f>
        <v/>
      </c>
      <c r="B48" s="16"/>
      <c r="C48" s="16"/>
      <c r="D48" s="16"/>
      <c r="E48" s="16"/>
      <c r="F48" s="17"/>
      <c r="G48" s="16"/>
      <c r="H48" s="14"/>
      <c r="I48" s="14"/>
      <c r="J48" s="18"/>
      <c r="K48" s="10" t="str">
        <f>IF(J48="","",IFERROR(INDEX('Reference Values'!$B$8:$B$12,J48),"?"))</f>
        <v/>
      </c>
      <c r="L48" s="18"/>
      <c r="M48" s="10" t="str">
        <f>IF(L48="","",IFERROR(INDEX('Reference Values'!$B$8:$B$12,L48),"?"))</f>
        <v/>
      </c>
      <c r="N48" s="18"/>
      <c r="O48" s="10" t="str">
        <f>IF(N48="","",IFERROR(INDEX('Reference Values'!$B$8:$B$12,N48),"?"))</f>
        <v/>
      </c>
      <c r="P48" s="19"/>
      <c r="Q48" s="20" t="str">
        <f>IF(P48="","",IFERROR(INDEX('Reference Values'!$B$8:$B$12,P48),"?"))</f>
        <v/>
      </c>
      <c r="R48" s="19"/>
      <c r="S48" s="20" t="str">
        <f>IF(R48="","",IFERROR(INDEX('Reference Values'!$B$8:$B$12,R48),"?"))</f>
        <v/>
      </c>
      <c r="T48" s="19"/>
      <c r="U48" s="20" t="str">
        <f>IF(T48="","",IFERROR(INDEX('Reference Values'!$B$8:$B$12,T48),"?"))</f>
        <v/>
      </c>
      <c r="V48" s="14"/>
      <c r="W48" s="14"/>
      <c r="X48" s="14"/>
      <c r="Y48" s="21"/>
    </row>
    <row r="49" spans="1:25" ht="24" customHeight="1" x14ac:dyDescent="0.25">
      <c r="A49" s="11" t="str">
        <f>IF(B49="","","D"&amp;TEXT(44,"000"))</f>
        <v/>
      </c>
      <c r="B49" s="22"/>
      <c r="C49" s="22"/>
      <c r="D49" s="22"/>
      <c r="E49" s="22"/>
      <c r="F49" s="23"/>
      <c r="G49" s="22"/>
      <c r="H49" s="14"/>
      <c r="I49" s="14"/>
      <c r="J49" s="18"/>
      <c r="K49" s="10" t="str">
        <f>IF(J49="","",IFERROR(INDEX('Reference Values'!$B$8:$B$12,J49),"?"))</f>
        <v/>
      </c>
      <c r="L49" s="18"/>
      <c r="M49" s="10" t="str">
        <f>IF(L49="","",IFERROR(INDEX('Reference Values'!$B$8:$B$12,L49),"?"))</f>
        <v/>
      </c>
      <c r="N49" s="18"/>
      <c r="O49" s="10" t="str">
        <f>IF(N49="","",IFERROR(INDEX('Reference Values'!$B$8:$B$12,N49),"?"))</f>
        <v/>
      </c>
      <c r="P49" s="24"/>
      <c r="Q49" s="20" t="str">
        <f>IF(P49="","",IFERROR(INDEX('Reference Values'!$B$8:$B$12,P49),"?"))</f>
        <v/>
      </c>
      <c r="R49" s="24"/>
      <c r="S49" s="20" t="str">
        <f>IF(R49="","",IFERROR(INDEX('Reference Values'!$B$8:$B$12,R49),"?"))</f>
        <v/>
      </c>
      <c r="T49" s="24"/>
      <c r="U49" s="20" t="str">
        <f>IF(T49="","",IFERROR(INDEX('Reference Values'!$B$8:$B$12,T49),"?"))</f>
        <v/>
      </c>
      <c r="V49" s="14"/>
      <c r="W49" s="14"/>
      <c r="X49" s="14"/>
      <c r="Y49" s="25"/>
    </row>
    <row r="50" spans="1:25" ht="24" customHeight="1" x14ac:dyDescent="0.25">
      <c r="A50" s="7" t="str">
        <f>IF(B50="","","D"&amp;TEXT(45,"000"))</f>
        <v/>
      </c>
      <c r="B50" s="16"/>
      <c r="C50" s="16"/>
      <c r="D50" s="16"/>
      <c r="E50" s="16"/>
      <c r="F50" s="17"/>
      <c r="G50" s="16"/>
      <c r="H50" s="14"/>
      <c r="I50" s="14"/>
      <c r="J50" s="18"/>
      <c r="K50" s="10" t="str">
        <f>IF(J50="","",IFERROR(INDEX('Reference Values'!$B$8:$B$12,J50),"?"))</f>
        <v/>
      </c>
      <c r="L50" s="18"/>
      <c r="M50" s="10" t="str">
        <f>IF(L50="","",IFERROR(INDEX('Reference Values'!$B$8:$B$12,L50),"?"))</f>
        <v/>
      </c>
      <c r="N50" s="18"/>
      <c r="O50" s="10" t="str">
        <f>IF(N50="","",IFERROR(INDEX('Reference Values'!$B$8:$B$12,N50),"?"))</f>
        <v/>
      </c>
      <c r="P50" s="19"/>
      <c r="Q50" s="20" t="str">
        <f>IF(P50="","",IFERROR(INDEX('Reference Values'!$B$8:$B$12,P50),"?"))</f>
        <v/>
      </c>
      <c r="R50" s="19"/>
      <c r="S50" s="20" t="str">
        <f>IF(R50="","",IFERROR(INDEX('Reference Values'!$B$8:$B$12,R50),"?"))</f>
        <v/>
      </c>
      <c r="T50" s="19"/>
      <c r="U50" s="20" t="str">
        <f>IF(T50="","",IFERROR(INDEX('Reference Values'!$B$8:$B$12,T50),"?"))</f>
        <v/>
      </c>
      <c r="V50" s="14"/>
      <c r="W50" s="14"/>
      <c r="X50" s="14"/>
      <c r="Y50" s="21"/>
    </row>
    <row r="51" spans="1:25" ht="24" customHeight="1" x14ac:dyDescent="0.25">
      <c r="A51" s="11" t="str">
        <f>IF(B51="","","D"&amp;TEXT(46,"000"))</f>
        <v/>
      </c>
      <c r="B51" s="22"/>
      <c r="C51" s="22"/>
      <c r="D51" s="22"/>
      <c r="E51" s="22"/>
      <c r="F51" s="23"/>
      <c r="G51" s="22"/>
      <c r="H51" s="14"/>
      <c r="I51" s="14"/>
      <c r="J51" s="18"/>
      <c r="K51" s="10" t="str">
        <f>IF(J51="","",IFERROR(INDEX('Reference Values'!$B$8:$B$12,J51),"?"))</f>
        <v/>
      </c>
      <c r="L51" s="18"/>
      <c r="M51" s="10" t="str">
        <f>IF(L51="","",IFERROR(INDEX('Reference Values'!$B$8:$B$12,L51),"?"))</f>
        <v/>
      </c>
      <c r="N51" s="18"/>
      <c r="O51" s="10" t="str">
        <f>IF(N51="","",IFERROR(INDEX('Reference Values'!$B$8:$B$12,N51),"?"))</f>
        <v/>
      </c>
      <c r="P51" s="24"/>
      <c r="Q51" s="20" t="str">
        <f>IF(P51="","",IFERROR(INDEX('Reference Values'!$B$8:$B$12,P51),"?"))</f>
        <v/>
      </c>
      <c r="R51" s="24"/>
      <c r="S51" s="20" t="str">
        <f>IF(R51="","",IFERROR(INDEX('Reference Values'!$B$8:$B$12,R51),"?"))</f>
        <v/>
      </c>
      <c r="T51" s="24"/>
      <c r="U51" s="20" t="str">
        <f>IF(T51="","",IFERROR(INDEX('Reference Values'!$B$8:$B$12,T51),"?"))</f>
        <v/>
      </c>
      <c r="V51" s="14"/>
      <c r="W51" s="14"/>
      <c r="X51" s="14"/>
      <c r="Y51" s="25"/>
    </row>
    <row r="52" spans="1:25" ht="24" customHeight="1" x14ac:dyDescent="0.25">
      <c r="A52" s="7" t="str">
        <f>IF(B52="","","D"&amp;TEXT(47,"000"))</f>
        <v/>
      </c>
      <c r="B52" s="16"/>
      <c r="C52" s="16"/>
      <c r="D52" s="16"/>
      <c r="E52" s="16"/>
      <c r="F52" s="17"/>
      <c r="G52" s="16"/>
      <c r="H52" s="14"/>
      <c r="I52" s="14"/>
      <c r="J52" s="18"/>
      <c r="K52" s="10" t="str">
        <f>IF(J52="","",IFERROR(INDEX('Reference Values'!$B$8:$B$12,J52),"?"))</f>
        <v/>
      </c>
      <c r="L52" s="18"/>
      <c r="M52" s="10" t="str">
        <f>IF(L52="","",IFERROR(INDEX('Reference Values'!$B$8:$B$12,L52),"?"))</f>
        <v/>
      </c>
      <c r="N52" s="18"/>
      <c r="O52" s="10" t="str">
        <f>IF(N52="","",IFERROR(INDEX('Reference Values'!$B$8:$B$12,N52),"?"))</f>
        <v/>
      </c>
      <c r="P52" s="19"/>
      <c r="Q52" s="20" t="str">
        <f>IF(P52="","",IFERROR(INDEX('Reference Values'!$B$8:$B$12,P52),"?"))</f>
        <v/>
      </c>
      <c r="R52" s="19"/>
      <c r="S52" s="20" t="str">
        <f>IF(R52="","",IFERROR(INDEX('Reference Values'!$B$8:$B$12,R52),"?"))</f>
        <v/>
      </c>
      <c r="T52" s="19"/>
      <c r="U52" s="20" t="str">
        <f>IF(T52="","",IFERROR(INDEX('Reference Values'!$B$8:$B$12,T52),"?"))</f>
        <v/>
      </c>
      <c r="V52" s="14"/>
      <c r="W52" s="14"/>
      <c r="X52" s="14"/>
      <c r="Y52" s="21"/>
    </row>
    <row r="53" spans="1:25" ht="24" customHeight="1" x14ac:dyDescent="0.25">
      <c r="A53" s="11" t="str">
        <f>IF(B53="","","D"&amp;TEXT(48,"000"))</f>
        <v/>
      </c>
      <c r="B53" s="22"/>
      <c r="C53" s="22"/>
      <c r="D53" s="22"/>
      <c r="E53" s="22"/>
      <c r="F53" s="23"/>
      <c r="G53" s="22"/>
      <c r="H53" s="14"/>
      <c r="I53" s="14"/>
      <c r="J53" s="18"/>
      <c r="K53" s="10" t="str">
        <f>IF(J53="","",IFERROR(INDEX('Reference Values'!$B$8:$B$12,J53),"?"))</f>
        <v/>
      </c>
      <c r="L53" s="18"/>
      <c r="M53" s="10" t="str">
        <f>IF(L53="","",IFERROR(INDEX('Reference Values'!$B$8:$B$12,L53),"?"))</f>
        <v/>
      </c>
      <c r="N53" s="18"/>
      <c r="O53" s="10" t="str">
        <f>IF(N53="","",IFERROR(INDEX('Reference Values'!$B$8:$B$12,N53),"?"))</f>
        <v/>
      </c>
      <c r="P53" s="24"/>
      <c r="Q53" s="20" t="str">
        <f>IF(P53="","",IFERROR(INDEX('Reference Values'!$B$8:$B$12,P53),"?"))</f>
        <v/>
      </c>
      <c r="R53" s="24"/>
      <c r="S53" s="20" t="str">
        <f>IF(R53="","",IFERROR(INDEX('Reference Values'!$B$8:$B$12,R53),"?"))</f>
        <v/>
      </c>
      <c r="T53" s="24"/>
      <c r="U53" s="20" t="str">
        <f>IF(T53="","",IFERROR(INDEX('Reference Values'!$B$8:$B$12,T53),"?"))</f>
        <v/>
      </c>
      <c r="V53" s="14"/>
      <c r="W53" s="14"/>
      <c r="X53" s="14"/>
      <c r="Y53" s="25"/>
    </row>
    <row r="54" spans="1:25" ht="24" customHeight="1" x14ac:dyDescent="0.25">
      <c r="A54" s="7" t="str">
        <f>IF(B54="","","D"&amp;TEXT(49,"000"))</f>
        <v/>
      </c>
      <c r="B54" s="16"/>
      <c r="C54" s="16"/>
      <c r="D54" s="16"/>
      <c r="E54" s="16"/>
      <c r="F54" s="17"/>
      <c r="G54" s="16"/>
      <c r="H54" s="14"/>
      <c r="I54" s="14"/>
      <c r="J54" s="18"/>
      <c r="K54" s="10" t="str">
        <f>IF(J54="","",IFERROR(INDEX('Reference Values'!$B$8:$B$12,J54),"?"))</f>
        <v/>
      </c>
      <c r="L54" s="18"/>
      <c r="M54" s="10" t="str">
        <f>IF(L54="","",IFERROR(INDEX('Reference Values'!$B$8:$B$12,L54),"?"))</f>
        <v/>
      </c>
      <c r="N54" s="18"/>
      <c r="O54" s="10" t="str">
        <f>IF(N54="","",IFERROR(INDEX('Reference Values'!$B$8:$B$12,N54),"?"))</f>
        <v/>
      </c>
      <c r="P54" s="19"/>
      <c r="Q54" s="20" t="str">
        <f>IF(P54="","",IFERROR(INDEX('Reference Values'!$B$8:$B$12,P54),"?"))</f>
        <v/>
      </c>
      <c r="R54" s="19"/>
      <c r="S54" s="20" t="str">
        <f>IF(R54="","",IFERROR(INDEX('Reference Values'!$B$8:$B$12,R54),"?"))</f>
        <v/>
      </c>
      <c r="T54" s="19"/>
      <c r="U54" s="20" t="str">
        <f>IF(T54="","",IFERROR(INDEX('Reference Values'!$B$8:$B$12,T54),"?"))</f>
        <v/>
      </c>
      <c r="V54" s="14"/>
      <c r="W54" s="14"/>
      <c r="X54" s="14"/>
      <c r="Y54" s="21"/>
    </row>
    <row r="55" spans="1:25" ht="24" customHeight="1" x14ac:dyDescent="0.25">
      <c r="A55" s="11" t="str">
        <f>IF(B55="","","D"&amp;TEXT(50,"000"))</f>
        <v/>
      </c>
      <c r="B55" s="22"/>
      <c r="C55" s="22"/>
      <c r="D55" s="22"/>
      <c r="E55" s="22"/>
      <c r="F55" s="23"/>
      <c r="G55" s="22"/>
      <c r="H55" s="14"/>
      <c r="I55" s="14"/>
      <c r="J55" s="18"/>
      <c r="K55" s="10" t="str">
        <f>IF(J55="","",IFERROR(INDEX('Reference Values'!$B$8:$B$12,J55),"?"))</f>
        <v/>
      </c>
      <c r="L55" s="18"/>
      <c r="M55" s="10" t="str">
        <f>IF(L55="","",IFERROR(INDEX('Reference Values'!$B$8:$B$12,L55),"?"))</f>
        <v/>
      </c>
      <c r="N55" s="18"/>
      <c r="O55" s="10" t="str">
        <f>IF(N55="","",IFERROR(INDEX('Reference Values'!$B$8:$B$12,N55),"?"))</f>
        <v/>
      </c>
      <c r="P55" s="24"/>
      <c r="Q55" s="20" t="str">
        <f>IF(P55="","",IFERROR(INDEX('Reference Values'!$B$8:$B$12,P55),"?"))</f>
        <v/>
      </c>
      <c r="R55" s="24"/>
      <c r="S55" s="20" t="str">
        <f>IF(R55="","",IFERROR(INDEX('Reference Values'!$B$8:$B$12,R55),"?"))</f>
        <v/>
      </c>
      <c r="T55" s="24"/>
      <c r="U55" s="20" t="str">
        <f>IF(T55="","",IFERROR(INDEX('Reference Values'!$B$8:$B$12,T55),"?"))</f>
        <v/>
      </c>
      <c r="V55" s="14"/>
      <c r="W55" s="14"/>
      <c r="X55" s="14"/>
      <c r="Y55" s="25"/>
    </row>
    <row r="56" spans="1:25" ht="24" customHeight="1" x14ac:dyDescent="0.25">
      <c r="A56" s="7" t="str">
        <f>IF(B56="","","D"&amp;TEXT(51,"000"))</f>
        <v/>
      </c>
      <c r="B56" s="16"/>
      <c r="C56" s="16"/>
      <c r="D56" s="16"/>
      <c r="E56" s="16"/>
      <c r="F56" s="17"/>
      <c r="G56" s="16"/>
      <c r="H56" s="14"/>
      <c r="I56" s="14"/>
      <c r="J56" s="18"/>
      <c r="K56" s="10" t="str">
        <f>IF(J56="","",IFERROR(INDEX('Reference Values'!$B$8:$B$12,J56),"?"))</f>
        <v/>
      </c>
      <c r="L56" s="18"/>
      <c r="M56" s="10" t="str">
        <f>IF(L56="","",IFERROR(INDEX('Reference Values'!$B$8:$B$12,L56),"?"))</f>
        <v/>
      </c>
      <c r="N56" s="18"/>
      <c r="O56" s="10" t="str">
        <f>IF(N56="","",IFERROR(INDEX('Reference Values'!$B$8:$B$12,N56),"?"))</f>
        <v/>
      </c>
      <c r="P56" s="19"/>
      <c r="Q56" s="20" t="str">
        <f>IF(P56="","",IFERROR(INDEX('Reference Values'!$B$8:$B$12,P56),"?"))</f>
        <v/>
      </c>
      <c r="R56" s="19"/>
      <c r="S56" s="20" t="str">
        <f>IF(R56="","",IFERROR(INDEX('Reference Values'!$B$8:$B$12,R56),"?"))</f>
        <v/>
      </c>
      <c r="T56" s="19"/>
      <c r="U56" s="20" t="str">
        <f>IF(T56="","",IFERROR(INDEX('Reference Values'!$B$8:$B$12,T56),"?"))</f>
        <v/>
      </c>
      <c r="V56" s="14"/>
      <c r="W56" s="14"/>
      <c r="X56" s="14"/>
      <c r="Y56" s="21"/>
    </row>
    <row r="57" spans="1:25" ht="24" customHeight="1" x14ac:dyDescent="0.25">
      <c r="A57" s="11" t="str">
        <f>IF(B57="","","D"&amp;TEXT(52,"000"))</f>
        <v/>
      </c>
      <c r="B57" s="22"/>
      <c r="C57" s="22"/>
      <c r="D57" s="22"/>
      <c r="E57" s="22"/>
      <c r="F57" s="23"/>
      <c r="G57" s="22"/>
      <c r="H57" s="14"/>
      <c r="I57" s="14"/>
      <c r="J57" s="18"/>
      <c r="K57" s="10" t="str">
        <f>IF(J57="","",IFERROR(INDEX('Reference Values'!$B$8:$B$12,J57),"?"))</f>
        <v/>
      </c>
      <c r="L57" s="18"/>
      <c r="M57" s="10" t="str">
        <f>IF(L57="","",IFERROR(INDEX('Reference Values'!$B$8:$B$12,L57),"?"))</f>
        <v/>
      </c>
      <c r="N57" s="18"/>
      <c r="O57" s="10" t="str">
        <f>IF(N57="","",IFERROR(INDEX('Reference Values'!$B$8:$B$12,N57),"?"))</f>
        <v/>
      </c>
      <c r="P57" s="24"/>
      <c r="Q57" s="20" t="str">
        <f>IF(P57="","",IFERROR(INDEX('Reference Values'!$B$8:$B$12,P57),"?"))</f>
        <v/>
      </c>
      <c r="R57" s="24"/>
      <c r="S57" s="20" t="str">
        <f>IF(R57="","",IFERROR(INDEX('Reference Values'!$B$8:$B$12,R57),"?"))</f>
        <v/>
      </c>
      <c r="T57" s="24"/>
      <c r="U57" s="20" t="str">
        <f>IF(T57="","",IFERROR(INDEX('Reference Values'!$B$8:$B$12,T57),"?"))</f>
        <v/>
      </c>
      <c r="V57" s="14"/>
      <c r="W57" s="14"/>
      <c r="X57" s="14"/>
      <c r="Y57" s="25"/>
    </row>
    <row r="58" spans="1:25" ht="24" customHeight="1" x14ac:dyDescent="0.25">
      <c r="A58" s="7" t="str">
        <f>IF(B58="","","D"&amp;TEXT(53,"000"))</f>
        <v/>
      </c>
      <c r="B58" s="16"/>
      <c r="C58" s="16"/>
      <c r="D58" s="16"/>
      <c r="E58" s="16"/>
      <c r="F58" s="17"/>
      <c r="G58" s="16"/>
      <c r="H58" s="14"/>
      <c r="I58" s="14"/>
      <c r="J58" s="18"/>
      <c r="K58" s="10" t="str">
        <f>IF(J58="","",IFERROR(INDEX('Reference Values'!$B$8:$B$12,J58),"?"))</f>
        <v/>
      </c>
      <c r="L58" s="18"/>
      <c r="M58" s="10" t="str">
        <f>IF(L58="","",IFERROR(INDEX('Reference Values'!$B$8:$B$12,L58),"?"))</f>
        <v/>
      </c>
      <c r="N58" s="18"/>
      <c r="O58" s="10" t="str">
        <f>IF(N58="","",IFERROR(INDEX('Reference Values'!$B$8:$B$12,N58),"?"))</f>
        <v/>
      </c>
      <c r="P58" s="19"/>
      <c r="Q58" s="20" t="str">
        <f>IF(P58="","",IFERROR(INDEX('Reference Values'!$B$8:$B$12,P58),"?"))</f>
        <v/>
      </c>
      <c r="R58" s="19"/>
      <c r="S58" s="20" t="str">
        <f>IF(R58="","",IFERROR(INDEX('Reference Values'!$B$8:$B$12,R58),"?"))</f>
        <v/>
      </c>
      <c r="T58" s="19"/>
      <c r="U58" s="20" t="str">
        <f>IF(T58="","",IFERROR(INDEX('Reference Values'!$B$8:$B$12,T58),"?"))</f>
        <v/>
      </c>
      <c r="V58" s="14"/>
      <c r="W58" s="14"/>
      <c r="X58" s="14"/>
      <c r="Y58" s="21"/>
    </row>
    <row r="59" spans="1:25" ht="24" customHeight="1" x14ac:dyDescent="0.25">
      <c r="A59" s="11" t="str">
        <f>IF(B59="","","D"&amp;TEXT(54,"000"))</f>
        <v/>
      </c>
      <c r="B59" s="22"/>
      <c r="C59" s="22"/>
      <c r="D59" s="22"/>
      <c r="E59" s="22"/>
      <c r="F59" s="23"/>
      <c r="G59" s="22"/>
      <c r="H59" s="14"/>
      <c r="I59" s="14"/>
      <c r="J59" s="18"/>
      <c r="K59" s="10" t="str">
        <f>IF(J59="","",IFERROR(INDEX('Reference Values'!$B$8:$B$12,J59),"?"))</f>
        <v/>
      </c>
      <c r="L59" s="18"/>
      <c r="M59" s="10" t="str">
        <f>IF(L59="","",IFERROR(INDEX('Reference Values'!$B$8:$B$12,L59),"?"))</f>
        <v/>
      </c>
      <c r="N59" s="18"/>
      <c r="O59" s="10" t="str">
        <f>IF(N59="","",IFERROR(INDEX('Reference Values'!$B$8:$B$12,N59),"?"))</f>
        <v/>
      </c>
      <c r="P59" s="24"/>
      <c r="Q59" s="20" t="str">
        <f>IF(P59="","",IFERROR(INDEX('Reference Values'!$B$8:$B$12,P59),"?"))</f>
        <v/>
      </c>
      <c r="R59" s="24"/>
      <c r="S59" s="20" t="str">
        <f>IF(R59="","",IFERROR(INDEX('Reference Values'!$B$8:$B$12,R59),"?"))</f>
        <v/>
      </c>
      <c r="T59" s="24"/>
      <c r="U59" s="20" t="str">
        <f>IF(T59="","",IFERROR(INDEX('Reference Values'!$B$8:$B$12,T59),"?"))</f>
        <v/>
      </c>
      <c r="V59" s="14"/>
      <c r="W59" s="14"/>
      <c r="X59" s="14"/>
      <c r="Y59" s="25"/>
    </row>
    <row r="60" spans="1:25" ht="24" customHeight="1" x14ac:dyDescent="0.25">
      <c r="A60" s="7" t="str">
        <f>IF(B60="","","D"&amp;TEXT(55,"000"))</f>
        <v/>
      </c>
      <c r="B60" s="16"/>
      <c r="C60" s="16"/>
      <c r="D60" s="16"/>
      <c r="E60" s="16"/>
      <c r="F60" s="17"/>
      <c r="G60" s="16"/>
      <c r="H60" s="14"/>
      <c r="I60" s="14"/>
      <c r="J60" s="18"/>
      <c r="K60" s="10" t="str">
        <f>IF(J60="","",IFERROR(INDEX('Reference Values'!$B$8:$B$12,J60),"?"))</f>
        <v/>
      </c>
      <c r="L60" s="18"/>
      <c r="M60" s="10" t="str">
        <f>IF(L60="","",IFERROR(INDEX('Reference Values'!$B$8:$B$12,L60),"?"))</f>
        <v/>
      </c>
      <c r="N60" s="18"/>
      <c r="O60" s="10" t="str">
        <f>IF(N60="","",IFERROR(INDEX('Reference Values'!$B$8:$B$12,N60),"?"))</f>
        <v/>
      </c>
      <c r="P60" s="19"/>
      <c r="Q60" s="20" t="str">
        <f>IF(P60="","",IFERROR(INDEX('Reference Values'!$B$8:$B$12,P60),"?"))</f>
        <v/>
      </c>
      <c r="R60" s="19"/>
      <c r="S60" s="20" t="str">
        <f>IF(R60="","",IFERROR(INDEX('Reference Values'!$B$8:$B$12,R60),"?"))</f>
        <v/>
      </c>
      <c r="T60" s="19"/>
      <c r="U60" s="20" t="str">
        <f>IF(T60="","",IFERROR(INDEX('Reference Values'!$B$8:$B$12,T60),"?"))</f>
        <v/>
      </c>
      <c r="V60" s="14"/>
      <c r="W60" s="14"/>
      <c r="X60" s="14"/>
      <c r="Y60" s="21"/>
    </row>
    <row r="61" spans="1:25" ht="24" customHeight="1" x14ac:dyDescent="0.25">
      <c r="A61" s="11" t="str">
        <f>IF(B61="","","D"&amp;TEXT(56,"000"))</f>
        <v/>
      </c>
      <c r="B61" s="22"/>
      <c r="C61" s="22"/>
      <c r="D61" s="22"/>
      <c r="E61" s="22"/>
      <c r="F61" s="23"/>
      <c r="G61" s="22"/>
      <c r="H61" s="14"/>
      <c r="I61" s="14"/>
      <c r="J61" s="18"/>
      <c r="K61" s="10" t="str">
        <f>IF(J61="","",IFERROR(INDEX('Reference Values'!$B$8:$B$12,J61),"?"))</f>
        <v/>
      </c>
      <c r="L61" s="18"/>
      <c r="M61" s="10" t="str">
        <f>IF(L61="","",IFERROR(INDEX('Reference Values'!$B$8:$B$12,L61),"?"))</f>
        <v/>
      </c>
      <c r="N61" s="18"/>
      <c r="O61" s="10" t="str">
        <f>IF(N61="","",IFERROR(INDEX('Reference Values'!$B$8:$B$12,N61),"?"))</f>
        <v/>
      </c>
      <c r="P61" s="24"/>
      <c r="Q61" s="20" t="str">
        <f>IF(P61="","",IFERROR(INDEX('Reference Values'!$B$8:$B$12,P61),"?"))</f>
        <v/>
      </c>
      <c r="R61" s="24"/>
      <c r="S61" s="20" t="str">
        <f>IF(R61="","",IFERROR(INDEX('Reference Values'!$B$8:$B$12,R61),"?"))</f>
        <v/>
      </c>
      <c r="T61" s="24"/>
      <c r="U61" s="20" t="str">
        <f>IF(T61="","",IFERROR(INDEX('Reference Values'!$B$8:$B$12,T61),"?"))</f>
        <v/>
      </c>
      <c r="V61" s="14"/>
      <c r="W61" s="14"/>
      <c r="X61" s="14"/>
      <c r="Y61" s="25"/>
    </row>
    <row r="62" spans="1:25" ht="24" customHeight="1" x14ac:dyDescent="0.25">
      <c r="A62" s="7" t="str">
        <f>IF(B62="","","D"&amp;TEXT(57,"000"))</f>
        <v/>
      </c>
      <c r="B62" s="16"/>
      <c r="C62" s="16"/>
      <c r="D62" s="16"/>
      <c r="E62" s="16"/>
      <c r="F62" s="17"/>
      <c r="G62" s="16"/>
      <c r="H62" s="14"/>
      <c r="I62" s="14"/>
      <c r="J62" s="18"/>
      <c r="K62" s="10" t="str">
        <f>IF(J62="","",IFERROR(INDEX('Reference Values'!$B$8:$B$12,J62),"?"))</f>
        <v/>
      </c>
      <c r="L62" s="18"/>
      <c r="M62" s="10" t="str">
        <f>IF(L62="","",IFERROR(INDEX('Reference Values'!$B$8:$B$12,L62),"?"))</f>
        <v/>
      </c>
      <c r="N62" s="18"/>
      <c r="O62" s="10" t="str">
        <f>IF(N62="","",IFERROR(INDEX('Reference Values'!$B$8:$B$12,N62),"?"))</f>
        <v/>
      </c>
      <c r="P62" s="19"/>
      <c r="Q62" s="20" t="str">
        <f>IF(P62="","",IFERROR(INDEX('Reference Values'!$B$8:$B$12,P62),"?"))</f>
        <v/>
      </c>
      <c r="R62" s="19"/>
      <c r="S62" s="20" t="str">
        <f>IF(R62="","",IFERROR(INDEX('Reference Values'!$B$8:$B$12,R62),"?"))</f>
        <v/>
      </c>
      <c r="T62" s="19"/>
      <c r="U62" s="20" t="str">
        <f>IF(T62="","",IFERROR(INDEX('Reference Values'!$B$8:$B$12,T62),"?"))</f>
        <v/>
      </c>
      <c r="V62" s="14"/>
      <c r="W62" s="14"/>
      <c r="X62" s="14"/>
      <c r="Y62" s="21"/>
    </row>
    <row r="63" spans="1:25" ht="24" customHeight="1" x14ac:dyDescent="0.25">
      <c r="A63" s="11" t="str">
        <f>IF(B63="","","D"&amp;TEXT(58,"000"))</f>
        <v/>
      </c>
      <c r="B63" s="22"/>
      <c r="C63" s="22"/>
      <c r="D63" s="22"/>
      <c r="E63" s="22"/>
      <c r="F63" s="23"/>
      <c r="G63" s="22"/>
      <c r="H63" s="14"/>
      <c r="I63" s="14"/>
      <c r="J63" s="18"/>
      <c r="K63" s="10" t="str">
        <f>IF(J63="","",IFERROR(INDEX('Reference Values'!$B$8:$B$12,J63),"?"))</f>
        <v/>
      </c>
      <c r="L63" s="18"/>
      <c r="M63" s="10" t="str">
        <f>IF(L63="","",IFERROR(INDEX('Reference Values'!$B$8:$B$12,L63),"?"))</f>
        <v/>
      </c>
      <c r="N63" s="18"/>
      <c r="O63" s="10" t="str">
        <f>IF(N63="","",IFERROR(INDEX('Reference Values'!$B$8:$B$12,N63),"?"))</f>
        <v/>
      </c>
      <c r="P63" s="24"/>
      <c r="Q63" s="20" t="str">
        <f>IF(P63="","",IFERROR(INDEX('Reference Values'!$B$8:$B$12,P63),"?"))</f>
        <v/>
      </c>
      <c r="R63" s="24"/>
      <c r="S63" s="20" t="str">
        <f>IF(R63="","",IFERROR(INDEX('Reference Values'!$B$8:$B$12,R63),"?"))</f>
        <v/>
      </c>
      <c r="T63" s="24"/>
      <c r="U63" s="20" t="str">
        <f>IF(T63="","",IFERROR(INDEX('Reference Values'!$B$8:$B$12,T63),"?"))</f>
        <v/>
      </c>
      <c r="V63" s="14"/>
      <c r="W63" s="14"/>
      <c r="X63" s="14"/>
      <c r="Y63" s="25"/>
    </row>
    <row r="64" spans="1:25" ht="24" customHeight="1" x14ac:dyDescent="0.25">
      <c r="A64" s="7" t="str">
        <f>IF(B64="","","D"&amp;TEXT(59,"000"))</f>
        <v/>
      </c>
      <c r="B64" s="16"/>
      <c r="C64" s="16"/>
      <c r="D64" s="16"/>
      <c r="E64" s="16"/>
      <c r="F64" s="17"/>
      <c r="G64" s="16"/>
      <c r="H64" s="14"/>
      <c r="I64" s="14"/>
      <c r="J64" s="18"/>
      <c r="K64" s="10" t="str">
        <f>IF(J64="","",IFERROR(INDEX('Reference Values'!$B$8:$B$12,J64),"?"))</f>
        <v/>
      </c>
      <c r="L64" s="18"/>
      <c r="M64" s="10" t="str">
        <f>IF(L64="","",IFERROR(INDEX('Reference Values'!$B$8:$B$12,L64),"?"))</f>
        <v/>
      </c>
      <c r="N64" s="18"/>
      <c r="O64" s="10" t="str">
        <f>IF(N64="","",IFERROR(INDEX('Reference Values'!$B$8:$B$12,N64),"?"))</f>
        <v/>
      </c>
      <c r="P64" s="19"/>
      <c r="Q64" s="20" t="str">
        <f>IF(P64="","",IFERROR(INDEX('Reference Values'!$B$8:$B$12,P64),"?"))</f>
        <v/>
      </c>
      <c r="R64" s="19"/>
      <c r="S64" s="20" t="str">
        <f>IF(R64="","",IFERROR(INDEX('Reference Values'!$B$8:$B$12,R64),"?"))</f>
        <v/>
      </c>
      <c r="T64" s="19"/>
      <c r="U64" s="20" t="str">
        <f>IF(T64="","",IFERROR(INDEX('Reference Values'!$B$8:$B$12,T64),"?"))</f>
        <v/>
      </c>
      <c r="V64" s="14"/>
      <c r="W64" s="14"/>
      <c r="X64" s="14"/>
      <c r="Y64" s="21"/>
    </row>
    <row r="65" spans="1:25" ht="24" customHeight="1" x14ac:dyDescent="0.25">
      <c r="A65" s="11" t="str">
        <f>IF(B65="","","D"&amp;TEXT(60,"000"))</f>
        <v/>
      </c>
      <c r="B65" s="22"/>
      <c r="C65" s="22"/>
      <c r="D65" s="22"/>
      <c r="E65" s="22"/>
      <c r="F65" s="23"/>
      <c r="G65" s="22"/>
      <c r="H65" s="14"/>
      <c r="I65" s="14"/>
      <c r="J65" s="18"/>
      <c r="K65" s="10" t="str">
        <f>IF(J65="","",IFERROR(INDEX('Reference Values'!$B$8:$B$12,J65),"?"))</f>
        <v/>
      </c>
      <c r="L65" s="18"/>
      <c r="M65" s="10" t="str">
        <f>IF(L65="","",IFERROR(INDEX('Reference Values'!$B$8:$B$12,L65),"?"))</f>
        <v/>
      </c>
      <c r="N65" s="18"/>
      <c r="O65" s="10" t="str">
        <f>IF(N65="","",IFERROR(INDEX('Reference Values'!$B$8:$B$12,N65),"?"))</f>
        <v/>
      </c>
      <c r="P65" s="24"/>
      <c r="Q65" s="20" t="str">
        <f>IF(P65="","",IFERROR(INDEX('Reference Values'!$B$8:$B$12,P65),"?"))</f>
        <v/>
      </c>
      <c r="R65" s="24"/>
      <c r="S65" s="20" t="str">
        <f>IF(R65="","",IFERROR(INDEX('Reference Values'!$B$8:$B$12,R65),"?"))</f>
        <v/>
      </c>
      <c r="T65" s="24"/>
      <c r="U65" s="20" t="str">
        <f>IF(T65="","",IFERROR(INDEX('Reference Values'!$B$8:$B$12,T65),"?"))</f>
        <v/>
      </c>
      <c r="V65" s="14"/>
      <c r="W65" s="14"/>
      <c r="X65" s="14"/>
      <c r="Y65" s="25"/>
    </row>
    <row r="66" spans="1:25" ht="24" customHeight="1" x14ac:dyDescent="0.25">
      <c r="A66" s="7" t="str">
        <f>IF(B66="","","D"&amp;TEXT(61,"000"))</f>
        <v/>
      </c>
      <c r="B66" s="16"/>
      <c r="C66" s="16"/>
      <c r="D66" s="16"/>
      <c r="E66" s="16"/>
      <c r="F66" s="17"/>
      <c r="G66" s="16"/>
      <c r="H66" s="14"/>
      <c r="I66" s="14"/>
      <c r="J66" s="18"/>
      <c r="K66" s="10" t="str">
        <f>IF(J66="","",IFERROR(INDEX('Reference Values'!$B$8:$B$12,J66),"?"))</f>
        <v/>
      </c>
      <c r="L66" s="18"/>
      <c r="M66" s="10" t="str">
        <f>IF(L66="","",IFERROR(INDEX('Reference Values'!$B$8:$B$12,L66),"?"))</f>
        <v/>
      </c>
      <c r="N66" s="18"/>
      <c r="O66" s="10" t="str">
        <f>IF(N66="","",IFERROR(INDEX('Reference Values'!$B$8:$B$12,N66),"?"))</f>
        <v/>
      </c>
      <c r="P66" s="19"/>
      <c r="Q66" s="20" t="str">
        <f>IF(P66="","",IFERROR(INDEX('Reference Values'!$B$8:$B$12,P66),"?"))</f>
        <v/>
      </c>
      <c r="R66" s="19"/>
      <c r="S66" s="20" t="str">
        <f>IF(R66="","",IFERROR(INDEX('Reference Values'!$B$8:$B$12,R66),"?"))</f>
        <v/>
      </c>
      <c r="T66" s="19"/>
      <c r="U66" s="20" t="str">
        <f>IF(T66="","",IFERROR(INDEX('Reference Values'!$B$8:$B$12,T66),"?"))</f>
        <v/>
      </c>
      <c r="V66" s="14"/>
      <c r="W66" s="14"/>
      <c r="X66" s="14"/>
      <c r="Y66" s="21"/>
    </row>
    <row r="67" spans="1:25" ht="24" customHeight="1" x14ac:dyDescent="0.25">
      <c r="A67" s="11" t="str">
        <f>IF(B67="","","D"&amp;TEXT(62,"000"))</f>
        <v/>
      </c>
      <c r="B67" s="22"/>
      <c r="C67" s="22"/>
      <c r="D67" s="22"/>
      <c r="E67" s="22"/>
      <c r="F67" s="23"/>
      <c r="G67" s="22"/>
      <c r="H67" s="14"/>
      <c r="I67" s="14"/>
      <c r="J67" s="18"/>
      <c r="K67" s="10" t="str">
        <f>IF(J67="","",IFERROR(INDEX('Reference Values'!$B$8:$B$12,J67),"?"))</f>
        <v/>
      </c>
      <c r="L67" s="18"/>
      <c r="M67" s="10" t="str">
        <f>IF(L67="","",IFERROR(INDEX('Reference Values'!$B$8:$B$12,L67),"?"))</f>
        <v/>
      </c>
      <c r="N67" s="18"/>
      <c r="O67" s="10" t="str">
        <f>IF(N67="","",IFERROR(INDEX('Reference Values'!$B$8:$B$12,N67),"?"))</f>
        <v/>
      </c>
      <c r="P67" s="24"/>
      <c r="Q67" s="20" t="str">
        <f>IF(P67="","",IFERROR(INDEX('Reference Values'!$B$8:$B$12,P67),"?"))</f>
        <v/>
      </c>
      <c r="R67" s="24"/>
      <c r="S67" s="20" t="str">
        <f>IF(R67="","",IFERROR(INDEX('Reference Values'!$B$8:$B$12,R67),"?"))</f>
        <v/>
      </c>
      <c r="T67" s="24"/>
      <c r="U67" s="20" t="str">
        <f>IF(T67="","",IFERROR(INDEX('Reference Values'!$B$8:$B$12,T67),"?"))</f>
        <v/>
      </c>
      <c r="V67" s="14"/>
      <c r="W67" s="14"/>
      <c r="X67" s="14"/>
      <c r="Y67" s="25"/>
    </row>
    <row r="68" spans="1:25" ht="24" customHeight="1" x14ac:dyDescent="0.25">
      <c r="A68" s="7" t="str">
        <f>IF(B68="","","D"&amp;TEXT(63,"000"))</f>
        <v/>
      </c>
      <c r="B68" s="16"/>
      <c r="C68" s="16"/>
      <c r="D68" s="16"/>
      <c r="E68" s="16"/>
      <c r="F68" s="17"/>
      <c r="G68" s="16"/>
      <c r="H68" s="14"/>
      <c r="I68" s="14"/>
      <c r="J68" s="18"/>
      <c r="K68" s="10" t="str">
        <f>IF(J68="","",IFERROR(INDEX('Reference Values'!$B$8:$B$12,J68),"?"))</f>
        <v/>
      </c>
      <c r="L68" s="18"/>
      <c r="M68" s="10" t="str">
        <f>IF(L68="","",IFERROR(INDEX('Reference Values'!$B$8:$B$12,L68),"?"))</f>
        <v/>
      </c>
      <c r="N68" s="18"/>
      <c r="O68" s="10" t="str">
        <f>IF(N68="","",IFERROR(INDEX('Reference Values'!$B$8:$B$12,N68),"?"))</f>
        <v/>
      </c>
      <c r="P68" s="19"/>
      <c r="Q68" s="20" t="str">
        <f>IF(P68="","",IFERROR(INDEX('Reference Values'!$B$8:$B$12,P68),"?"))</f>
        <v/>
      </c>
      <c r="R68" s="19"/>
      <c r="S68" s="20" t="str">
        <f>IF(R68="","",IFERROR(INDEX('Reference Values'!$B$8:$B$12,R68),"?"))</f>
        <v/>
      </c>
      <c r="T68" s="19"/>
      <c r="U68" s="20" t="str">
        <f>IF(T68="","",IFERROR(INDEX('Reference Values'!$B$8:$B$12,T68),"?"))</f>
        <v/>
      </c>
      <c r="V68" s="14"/>
      <c r="W68" s="14"/>
      <c r="X68" s="14"/>
      <c r="Y68" s="21"/>
    </row>
    <row r="69" spans="1:25" ht="24" customHeight="1" x14ac:dyDescent="0.25">
      <c r="A69" s="11" t="str">
        <f>IF(B69="","","D"&amp;TEXT(64,"000"))</f>
        <v/>
      </c>
      <c r="B69" s="22"/>
      <c r="C69" s="22"/>
      <c r="D69" s="22"/>
      <c r="E69" s="22"/>
      <c r="F69" s="23"/>
      <c r="G69" s="22"/>
      <c r="H69" s="14"/>
      <c r="I69" s="14"/>
      <c r="J69" s="18"/>
      <c r="K69" s="10" t="str">
        <f>IF(J69="","",IFERROR(INDEX('Reference Values'!$B$8:$B$12,J69),"?"))</f>
        <v/>
      </c>
      <c r="L69" s="18"/>
      <c r="M69" s="10" t="str">
        <f>IF(L69="","",IFERROR(INDEX('Reference Values'!$B$8:$B$12,L69),"?"))</f>
        <v/>
      </c>
      <c r="N69" s="18"/>
      <c r="O69" s="10" t="str">
        <f>IF(N69="","",IFERROR(INDEX('Reference Values'!$B$8:$B$12,N69),"?"))</f>
        <v/>
      </c>
      <c r="P69" s="24"/>
      <c r="Q69" s="20" t="str">
        <f>IF(P69="","",IFERROR(INDEX('Reference Values'!$B$8:$B$12,P69),"?"))</f>
        <v/>
      </c>
      <c r="R69" s="24"/>
      <c r="S69" s="20" t="str">
        <f>IF(R69="","",IFERROR(INDEX('Reference Values'!$B$8:$B$12,R69),"?"))</f>
        <v/>
      </c>
      <c r="T69" s="24"/>
      <c r="U69" s="20" t="str">
        <f>IF(T69="","",IFERROR(INDEX('Reference Values'!$B$8:$B$12,T69),"?"))</f>
        <v/>
      </c>
      <c r="V69" s="14"/>
      <c r="W69" s="14"/>
      <c r="X69" s="14"/>
      <c r="Y69" s="25"/>
    </row>
    <row r="70" spans="1:25" ht="24" customHeight="1" x14ac:dyDescent="0.25">
      <c r="A70" s="7" t="str">
        <f>IF(B70="","","D"&amp;TEXT(65,"000"))</f>
        <v/>
      </c>
      <c r="B70" s="16"/>
      <c r="C70" s="16"/>
      <c r="D70" s="16"/>
      <c r="E70" s="16"/>
      <c r="F70" s="17"/>
      <c r="G70" s="16"/>
      <c r="H70" s="14"/>
      <c r="I70" s="14"/>
      <c r="J70" s="18"/>
      <c r="K70" s="10" t="str">
        <f>IF(J70="","",IFERROR(INDEX('Reference Values'!$B$8:$B$12,J70),"?"))</f>
        <v/>
      </c>
      <c r="L70" s="18"/>
      <c r="M70" s="10" t="str">
        <f>IF(L70="","",IFERROR(INDEX('Reference Values'!$B$8:$B$12,L70),"?"))</f>
        <v/>
      </c>
      <c r="N70" s="18"/>
      <c r="O70" s="10" t="str">
        <f>IF(N70="","",IFERROR(INDEX('Reference Values'!$B$8:$B$12,N70),"?"))</f>
        <v/>
      </c>
      <c r="P70" s="19"/>
      <c r="Q70" s="20" t="str">
        <f>IF(P70="","",IFERROR(INDEX('Reference Values'!$B$8:$B$12,P70),"?"))</f>
        <v/>
      </c>
      <c r="R70" s="19"/>
      <c r="S70" s="20" t="str">
        <f>IF(R70="","",IFERROR(INDEX('Reference Values'!$B$8:$B$12,R70),"?"))</f>
        <v/>
      </c>
      <c r="T70" s="19"/>
      <c r="U70" s="20" t="str">
        <f>IF(T70="","",IFERROR(INDEX('Reference Values'!$B$8:$B$12,T70),"?"))</f>
        <v/>
      </c>
      <c r="V70" s="14"/>
      <c r="W70" s="14"/>
      <c r="X70" s="14"/>
      <c r="Y70" s="21"/>
    </row>
    <row r="71" spans="1:25" ht="24" customHeight="1" x14ac:dyDescent="0.25">
      <c r="A71" s="11" t="str">
        <f>IF(B71="","","D"&amp;TEXT(66,"000"))</f>
        <v/>
      </c>
      <c r="B71" s="22"/>
      <c r="C71" s="22"/>
      <c r="D71" s="22"/>
      <c r="E71" s="22"/>
      <c r="F71" s="23"/>
      <c r="G71" s="22"/>
      <c r="H71" s="14"/>
      <c r="I71" s="14"/>
      <c r="J71" s="18"/>
      <c r="K71" s="10" t="str">
        <f>IF(J71="","",IFERROR(INDEX('Reference Values'!$B$8:$B$12,J71),"?"))</f>
        <v/>
      </c>
      <c r="L71" s="18"/>
      <c r="M71" s="10" t="str">
        <f>IF(L71="","",IFERROR(INDEX('Reference Values'!$B$8:$B$12,L71),"?"))</f>
        <v/>
      </c>
      <c r="N71" s="18"/>
      <c r="O71" s="10" t="str">
        <f>IF(N71="","",IFERROR(INDEX('Reference Values'!$B$8:$B$12,N71),"?"))</f>
        <v/>
      </c>
      <c r="P71" s="24"/>
      <c r="Q71" s="20" t="str">
        <f>IF(P71="","",IFERROR(INDEX('Reference Values'!$B$8:$B$12,P71),"?"))</f>
        <v/>
      </c>
      <c r="R71" s="24"/>
      <c r="S71" s="20" t="str">
        <f>IF(R71="","",IFERROR(INDEX('Reference Values'!$B$8:$B$12,R71),"?"))</f>
        <v/>
      </c>
      <c r="T71" s="24"/>
      <c r="U71" s="20" t="str">
        <f>IF(T71="","",IFERROR(INDEX('Reference Values'!$B$8:$B$12,T71),"?"))</f>
        <v/>
      </c>
      <c r="V71" s="14"/>
      <c r="W71" s="14"/>
      <c r="X71" s="14"/>
      <c r="Y71" s="25"/>
    </row>
    <row r="72" spans="1:25" ht="24" customHeight="1" x14ac:dyDescent="0.25">
      <c r="A72" s="7" t="str">
        <f>IF(B72="","","D"&amp;TEXT(67,"000"))</f>
        <v/>
      </c>
      <c r="B72" s="16"/>
      <c r="C72" s="16"/>
      <c r="D72" s="16"/>
      <c r="E72" s="16"/>
      <c r="F72" s="17"/>
      <c r="G72" s="16"/>
      <c r="H72" s="14"/>
      <c r="I72" s="14"/>
      <c r="J72" s="18"/>
      <c r="K72" s="10" t="str">
        <f>IF(J72="","",IFERROR(INDEX('Reference Values'!$B$8:$B$12,J72),"?"))</f>
        <v/>
      </c>
      <c r="L72" s="18"/>
      <c r="M72" s="10" t="str">
        <f>IF(L72="","",IFERROR(INDEX('Reference Values'!$B$8:$B$12,L72),"?"))</f>
        <v/>
      </c>
      <c r="N72" s="18"/>
      <c r="O72" s="10" t="str">
        <f>IF(N72="","",IFERROR(INDEX('Reference Values'!$B$8:$B$12,N72),"?"))</f>
        <v/>
      </c>
      <c r="P72" s="19"/>
      <c r="Q72" s="20" t="str">
        <f>IF(P72="","",IFERROR(INDEX('Reference Values'!$B$8:$B$12,P72),"?"))</f>
        <v/>
      </c>
      <c r="R72" s="19"/>
      <c r="S72" s="20" t="str">
        <f>IF(R72="","",IFERROR(INDEX('Reference Values'!$B$8:$B$12,R72),"?"))</f>
        <v/>
      </c>
      <c r="T72" s="19"/>
      <c r="U72" s="20" t="str">
        <f>IF(T72="","",IFERROR(INDEX('Reference Values'!$B$8:$B$12,T72),"?"))</f>
        <v/>
      </c>
      <c r="V72" s="14"/>
      <c r="W72" s="14"/>
      <c r="X72" s="14"/>
      <c r="Y72" s="21"/>
    </row>
    <row r="73" spans="1:25" ht="24" customHeight="1" x14ac:dyDescent="0.25">
      <c r="A73" s="11" t="str">
        <f>IF(B73="","","D"&amp;TEXT(68,"000"))</f>
        <v/>
      </c>
      <c r="B73" s="22"/>
      <c r="C73" s="22"/>
      <c r="D73" s="22"/>
      <c r="E73" s="22"/>
      <c r="F73" s="23"/>
      <c r="G73" s="22"/>
      <c r="H73" s="14"/>
      <c r="I73" s="14"/>
      <c r="J73" s="18"/>
      <c r="K73" s="10" t="str">
        <f>IF(J73="","",IFERROR(INDEX('Reference Values'!$B$8:$B$12,J73),"?"))</f>
        <v/>
      </c>
      <c r="L73" s="18"/>
      <c r="M73" s="10" t="str">
        <f>IF(L73="","",IFERROR(INDEX('Reference Values'!$B$8:$B$12,L73),"?"))</f>
        <v/>
      </c>
      <c r="N73" s="18"/>
      <c r="O73" s="10" t="str">
        <f>IF(N73="","",IFERROR(INDEX('Reference Values'!$B$8:$B$12,N73),"?"))</f>
        <v/>
      </c>
      <c r="P73" s="24"/>
      <c r="Q73" s="20" t="str">
        <f>IF(P73="","",IFERROR(INDEX('Reference Values'!$B$8:$B$12,P73),"?"))</f>
        <v/>
      </c>
      <c r="R73" s="24"/>
      <c r="S73" s="20" t="str">
        <f>IF(R73="","",IFERROR(INDEX('Reference Values'!$B$8:$B$12,R73),"?"))</f>
        <v/>
      </c>
      <c r="T73" s="24"/>
      <c r="U73" s="20" t="str">
        <f>IF(T73="","",IFERROR(INDEX('Reference Values'!$B$8:$B$12,T73),"?"))</f>
        <v/>
      </c>
      <c r="V73" s="14"/>
      <c r="W73" s="14"/>
      <c r="X73" s="14"/>
      <c r="Y73" s="25"/>
    </row>
    <row r="74" spans="1:25" ht="24" customHeight="1" x14ac:dyDescent="0.25">
      <c r="A74" s="7" t="str">
        <f>IF(B74="","","D"&amp;TEXT(69,"000"))</f>
        <v/>
      </c>
      <c r="B74" s="16"/>
      <c r="C74" s="16"/>
      <c r="D74" s="16"/>
      <c r="E74" s="16"/>
      <c r="F74" s="17"/>
      <c r="G74" s="16"/>
      <c r="H74" s="14"/>
      <c r="I74" s="14"/>
      <c r="J74" s="18"/>
      <c r="K74" s="10" t="str">
        <f>IF(J74="","",IFERROR(INDEX('Reference Values'!$B$8:$B$12,J74),"?"))</f>
        <v/>
      </c>
      <c r="L74" s="18"/>
      <c r="M74" s="10" t="str">
        <f>IF(L74="","",IFERROR(INDEX('Reference Values'!$B$8:$B$12,L74),"?"))</f>
        <v/>
      </c>
      <c r="N74" s="18"/>
      <c r="O74" s="10" t="str">
        <f>IF(N74="","",IFERROR(INDEX('Reference Values'!$B$8:$B$12,N74),"?"))</f>
        <v/>
      </c>
      <c r="P74" s="19"/>
      <c r="Q74" s="20" t="str">
        <f>IF(P74="","",IFERROR(INDEX('Reference Values'!$B$8:$B$12,P74),"?"))</f>
        <v/>
      </c>
      <c r="R74" s="19"/>
      <c r="S74" s="20" t="str">
        <f>IF(R74="","",IFERROR(INDEX('Reference Values'!$B$8:$B$12,R74),"?"))</f>
        <v/>
      </c>
      <c r="T74" s="19"/>
      <c r="U74" s="20" t="str">
        <f>IF(T74="","",IFERROR(INDEX('Reference Values'!$B$8:$B$12,T74),"?"))</f>
        <v/>
      </c>
      <c r="V74" s="14"/>
      <c r="W74" s="14"/>
      <c r="X74" s="14"/>
      <c r="Y74" s="21"/>
    </row>
    <row r="75" spans="1:25" ht="24" customHeight="1" x14ac:dyDescent="0.25">
      <c r="A75" s="11" t="str">
        <f>IF(B75="","","D"&amp;TEXT(70,"000"))</f>
        <v/>
      </c>
      <c r="B75" s="22"/>
      <c r="C75" s="22"/>
      <c r="D75" s="22"/>
      <c r="E75" s="22"/>
      <c r="F75" s="23"/>
      <c r="G75" s="22"/>
      <c r="H75" s="14"/>
      <c r="I75" s="14"/>
      <c r="J75" s="18"/>
      <c r="K75" s="10" t="str">
        <f>IF(J75="","",IFERROR(INDEX('Reference Values'!$B$8:$B$12,J75),"?"))</f>
        <v/>
      </c>
      <c r="L75" s="18"/>
      <c r="M75" s="10" t="str">
        <f>IF(L75="","",IFERROR(INDEX('Reference Values'!$B$8:$B$12,L75),"?"))</f>
        <v/>
      </c>
      <c r="N75" s="18"/>
      <c r="O75" s="10" t="str">
        <f>IF(N75="","",IFERROR(INDEX('Reference Values'!$B$8:$B$12,N75),"?"))</f>
        <v/>
      </c>
      <c r="P75" s="24"/>
      <c r="Q75" s="20" t="str">
        <f>IF(P75="","",IFERROR(INDEX('Reference Values'!$B$8:$B$12,P75),"?"))</f>
        <v/>
      </c>
      <c r="R75" s="24"/>
      <c r="S75" s="20" t="str">
        <f>IF(R75="","",IFERROR(INDEX('Reference Values'!$B$8:$B$12,R75),"?"))</f>
        <v/>
      </c>
      <c r="T75" s="24"/>
      <c r="U75" s="20" t="str">
        <f>IF(T75="","",IFERROR(INDEX('Reference Values'!$B$8:$B$12,T75),"?"))</f>
        <v/>
      </c>
      <c r="V75" s="14"/>
      <c r="W75" s="14"/>
      <c r="X75" s="14"/>
      <c r="Y75" s="25"/>
    </row>
    <row r="76" spans="1:25" ht="24" customHeight="1" x14ac:dyDescent="0.25">
      <c r="A76" s="7" t="str">
        <f>IF(B76="","","D"&amp;TEXT(71,"000"))</f>
        <v/>
      </c>
      <c r="B76" s="16"/>
      <c r="C76" s="16"/>
      <c r="D76" s="16"/>
      <c r="E76" s="16"/>
      <c r="F76" s="17"/>
      <c r="G76" s="16"/>
      <c r="H76" s="14"/>
      <c r="I76" s="14"/>
      <c r="J76" s="18"/>
      <c r="K76" s="10" t="str">
        <f>IF(J76="","",IFERROR(INDEX('Reference Values'!$B$8:$B$12,J76),"?"))</f>
        <v/>
      </c>
      <c r="L76" s="18"/>
      <c r="M76" s="10" t="str">
        <f>IF(L76="","",IFERROR(INDEX('Reference Values'!$B$8:$B$12,L76),"?"))</f>
        <v/>
      </c>
      <c r="N76" s="18"/>
      <c r="O76" s="10" t="str">
        <f>IF(N76="","",IFERROR(INDEX('Reference Values'!$B$8:$B$12,N76),"?"))</f>
        <v/>
      </c>
      <c r="P76" s="19"/>
      <c r="Q76" s="20" t="str">
        <f>IF(P76="","",IFERROR(INDEX('Reference Values'!$B$8:$B$12,P76),"?"))</f>
        <v/>
      </c>
      <c r="R76" s="19"/>
      <c r="S76" s="20" t="str">
        <f>IF(R76="","",IFERROR(INDEX('Reference Values'!$B$8:$B$12,R76),"?"))</f>
        <v/>
      </c>
      <c r="T76" s="19"/>
      <c r="U76" s="20" t="str">
        <f>IF(T76="","",IFERROR(INDEX('Reference Values'!$B$8:$B$12,T76),"?"))</f>
        <v/>
      </c>
      <c r="V76" s="14"/>
      <c r="W76" s="14"/>
      <c r="X76" s="14"/>
      <c r="Y76" s="21"/>
    </row>
    <row r="77" spans="1:25" ht="24" customHeight="1" x14ac:dyDescent="0.25">
      <c r="A77" s="11" t="str">
        <f>IF(B77="","","D"&amp;TEXT(72,"000"))</f>
        <v/>
      </c>
      <c r="B77" s="22"/>
      <c r="C77" s="22"/>
      <c r="D77" s="22"/>
      <c r="E77" s="22"/>
      <c r="F77" s="23"/>
      <c r="G77" s="22"/>
      <c r="H77" s="14"/>
      <c r="I77" s="14"/>
      <c r="J77" s="18"/>
      <c r="K77" s="10" t="str">
        <f>IF(J77="","",IFERROR(INDEX('Reference Values'!$B$8:$B$12,J77),"?"))</f>
        <v/>
      </c>
      <c r="L77" s="18"/>
      <c r="M77" s="10" t="str">
        <f>IF(L77="","",IFERROR(INDEX('Reference Values'!$B$8:$B$12,L77),"?"))</f>
        <v/>
      </c>
      <c r="N77" s="18"/>
      <c r="O77" s="10" t="str">
        <f>IF(N77="","",IFERROR(INDEX('Reference Values'!$B$8:$B$12,N77),"?"))</f>
        <v/>
      </c>
      <c r="P77" s="24"/>
      <c r="Q77" s="20" t="str">
        <f>IF(P77="","",IFERROR(INDEX('Reference Values'!$B$8:$B$12,P77),"?"))</f>
        <v/>
      </c>
      <c r="R77" s="24"/>
      <c r="S77" s="20" t="str">
        <f>IF(R77="","",IFERROR(INDEX('Reference Values'!$B$8:$B$12,R77),"?"))</f>
        <v/>
      </c>
      <c r="T77" s="24"/>
      <c r="U77" s="20" t="str">
        <f>IF(T77="","",IFERROR(INDEX('Reference Values'!$B$8:$B$12,T77),"?"))</f>
        <v/>
      </c>
      <c r="V77" s="14"/>
      <c r="W77" s="14"/>
      <c r="X77" s="14"/>
      <c r="Y77" s="25"/>
    </row>
    <row r="78" spans="1:25" ht="24" customHeight="1" x14ac:dyDescent="0.25">
      <c r="A78" s="7" t="str">
        <f>IF(B78="","","D"&amp;TEXT(73,"000"))</f>
        <v/>
      </c>
      <c r="B78" s="16"/>
      <c r="C78" s="16"/>
      <c r="D78" s="16"/>
      <c r="E78" s="16"/>
      <c r="F78" s="17"/>
      <c r="G78" s="16"/>
      <c r="H78" s="14"/>
      <c r="I78" s="14"/>
      <c r="J78" s="18"/>
      <c r="K78" s="10" t="str">
        <f>IF(J78="","",IFERROR(INDEX('Reference Values'!$B$8:$B$12,J78),"?"))</f>
        <v/>
      </c>
      <c r="L78" s="18"/>
      <c r="M78" s="10" t="str">
        <f>IF(L78="","",IFERROR(INDEX('Reference Values'!$B$8:$B$12,L78),"?"))</f>
        <v/>
      </c>
      <c r="N78" s="18"/>
      <c r="O78" s="10" t="str">
        <f>IF(N78="","",IFERROR(INDEX('Reference Values'!$B$8:$B$12,N78),"?"))</f>
        <v/>
      </c>
      <c r="P78" s="19"/>
      <c r="Q78" s="20" t="str">
        <f>IF(P78="","",IFERROR(INDEX('Reference Values'!$B$8:$B$12,P78),"?"))</f>
        <v/>
      </c>
      <c r="R78" s="19"/>
      <c r="S78" s="20" t="str">
        <f>IF(R78="","",IFERROR(INDEX('Reference Values'!$B$8:$B$12,R78),"?"))</f>
        <v/>
      </c>
      <c r="T78" s="19"/>
      <c r="U78" s="20" t="str">
        <f>IF(T78="","",IFERROR(INDEX('Reference Values'!$B$8:$B$12,T78),"?"))</f>
        <v/>
      </c>
      <c r="V78" s="14"/>
      <c r="W78" s="14"/>
      <c r="X78" s="14"/>
      <c r="Y78" s="21"/>
    </row>
    <row r="79" spans="1:25" ht="24" customHeight="1" x14ac:dyDescent="0.25">
      <c r="A79" s="11" t="str">
        <f>IF(B79="","","D"&amp;TEXT(74,"000"))</f>
        <v/>
      </c>
      <c r="B79" s="22"/>
      <c r="C79" s="22"/>
      <c r="D79" s="22"/>
      <c r="E79" s="22"/>
      <c r="F79" s="23"/>
      <c r="G79" s="22"/>
      <c r="H79" s="14"/>
      <c r="I79" s="14"/>
      <c r="J79" s="18"/>
      <c r="K79" s="10" t="str">
        <f>IF(J79="","",IFERROR(INDEX('Reference Values'!$B$8:$B$12,J79),"?"))</f>
        <v/>
      </c>
      <c r="L79" s="18"/>
      <c r="M79" s="10" t="str">
        <f>IF(L79="","",IFERROR(INDEX('Reference Values'!$B$8:$B$12,L79),"?"))</f>
        <v/>
      </c>
      <c r="N79" s="18"/>
      <c r="O79" s="10" t="str">
        <f>IF(N79="","",IFERROR(INDEX('Reference Values'!$B$8:$B$12,N79),"?"))</f>
        <v/>
      </c>
      <c r="P79" s="24"/>
      <c r="Q79" s="20" t="str">
        <f>IF(P79="","",IFERROR(INDEX('Reference Values'!$B$8:$B$12,P79),"?"))</f>
        <v/>
      </c>
      <c r="R79" s="24"/>
      <c r="S79" s="20" t="str">
        <f>IF(R79="","",IFERROR(INDEX('Reference Values'!$B$8:$B$12,R79),"?"))</f>
        <v/>
      </c>
      <c r="T79" s="24"/>
      <c r="U79" s="20" t="str">
        <f>IF(T79="","",IFERROR(INDEX('Reference Values'!$B$8:$B$12,T79),"?"))</f>
        <v/>
      </c>
      <c r="V79" s="14"/>
      <c r="W79" s="14"/>
      <c r="X79" s="14"/>
      <c r="Y79" s="25"/>
    </row>
    <row r="80" spans="1:25" ht="24" customHeight="1" x14ac:dyDescent="0.25">
      <c r="A80" s="7" t="str">
        <f>IF(B80="","","D"&amp;TEXT(75,"000"))</f>
        <v/>
      </c>
      <c r="B80" s="16"/>
      <c r="C80" s="16"/>
      <c r="D80" s="16"/>
      <c r="E80" s="16"/>
      <c r="F80" s="17"/>
      <c r="G80" s="16"/>
      <c r="H80" s="14"/>
      <c r="I80" s="14"/>
      <c r="J80" s="18"/>
      <c r="K80" s="10" t="str">
        <f>IF(J80="","",IFERROR(INDEX('Reference Values'!$B$8:$B$12,J80),"?"))</f>
        <v/>
      </c>
      <c r="L80" s="18"/>
      <c r="M80" s="10" t="str">
        <f>IF(L80="","",IFERROR(INDEX('Reference Values'!$B$8:$B$12,L80),"?"))</f>
        <v/>
      </c>
      <c r="N80" s="18"/>
      <c r="O80" s="10" t="str">
        <f>IF(N80="","",IFERROR(INDEX('Reference Values'!$B$8:$B$12,N80),"?"))</f>
        <v/>
      </c>
      <c r="P80" s="19"/>
      <c r="Q80" s="20" t="str">
        <f>IF(P80="","",IFERROR(INDEX('Reference Values'!$B$8:$B$12,P80),"?"))</f>
        <v/>
      </c>
      <c r="R80" s="19"/>
      <c r="S80" s="20" t="str">
        <f>IF(R80="","",IFERROR(INDEX('Reference Values'!$B$8:$B$12,R80),"?"))</f>
        <v/>
      </c>
      <c r="T80" s="19"/>
      <c r="U80" s="20" t="str">
        <f>IF(T80="","",IFERROR(INDEX('Reference Values'!$B$8:$B$12,T80),"?"))</f>
        <v/>
      </c>
      <c r="V80" s="14"/>
      <c r="W80" s="14"/>
      <c r="X80" s="14"/>
      <c r="Y80" s="21"/>
    </row>
    <row r="81" spans="1:25" ht="24" customHeight="1" x14ac:dyDescent="0.25">
      <c r="A81" s="11" t="str">
        <f>IF(B81="","","D"&amp;TEXT(76,"000"))</f>
        <v/>
      </c>
      <c r="B81" s="22"/>
      <c r="C81" s="22"/>
      <c r="D81" s="22"/>
      <c r="E81" s="22"/>
      <c r="F81" s="23"/>
      <c r="G81" s="22"/>
      <c r="H81" s="14"/>
      <c r="I81" s="14"/>
      <c r="J81" s="18"/>
      <c r="K81" s="10" t="str">
        <f>IF(J81="","",IFERROR(INDEX('Reference Values'!$B$8:$B$12,J81),"?"))</f>
        <v/>
      </c>
      <c r="L81" s="18"/>
      <c r="M81" s="10" t="str">
        <f>IF(L81="","",IFERROR(INDEX('Reference Values'!$B$8:$B$12,L81),"?"))</f>
        <v/>
      </c>
      <c r="N81" s="18"/>
      <c r="O81" s="10" t="str">
        <f>IF(N81="","",IFERROR(INDEX('Reference Values'!$B$8:$B$12,N81),"?"))</f>
        <v/>
      </c>
      <c r="P81" s="24"/>
      <c r="Q81" s="20" t="str">
        <f>IF(P81="","",IFERROR(INDEX('Reference Values'!$B$8:$B$12,P81),"?"))</f>
        <v/>
      </c>
      <c r="R81" s="24"/>
      <c r="S81" s="20" t="str">
        <f>IF(R81="","",IFERROR(INDEX('Reference Values'!$B$8:$B$12,R81),"?"))</f>
        <v/>
      </c>
      <c r="T81" s="24"/>
      <c r="U81" s="20" t="str">
        <f>IF(T81="","",IFERROR(INDEX('Reference Values'!$B$8:$B$12,T81),"?"))</f>
        <v/>
      </c>
      <c r="V81" s="14"/>
      <c r="W81" s="14"/>
      <c r="X81" s="14"/>
      <c r="Y81" s="25"/>
    </row>
    <row r="82" spans="1:25" ht="24" customHeight="1" x14ac:dyDescent="0.25">
      <c r="A82" s="7" t="str">
        <f>IF(B82="","","D"&amp;TEXT(77,"000"))</f>
        <v/>
      </c>
      <c r="B82" s="16"/>
      <c r="C82" s="16"/>
      <c r="D82" s="16"/>
      <c r="E82" s="16"/>
      <c r="F82" s="17"/>
      <c r="G82" s="16"/>
      <c r="H82" s="14"/>
      <c r="I82" s="14"/>
      <c r="J82" s="18"/>
      <c r="K82" s="10" t="str">
        <f>IF(J82="","",IFERROR(INDEX('Reference Values'!$B$8:$B$12,J82),"?"))</f>
        <v/>
      </c>
      <c r="L82" s="18"/>
      <c r="M82" s="10" t="str">
        <f>IF(L82="","",IFERROR(INDEX('Reference Values'!$B$8:$B$12,L82),"?"))</f>
        <v/>
      </c>
      <c r="N82" s="18"/>
      <c r="O82" s="10" t="str">
        <f>IF(N82="","",IFERROR(INDEX('Reference Values'!$B$8:$B$12,N82),"?"))</f>
        <v/>
      </c>
      <c r="P82" s="19"/>
      <c r="Q82" s="20" t="str">
        <f>IF(P82="","",IFERROR(INDEX('Reference Values'!$B$8:$B$12,P82),"?"))</f>
        <v/>
      </c>
      <c r="R82" s="19"/>
      <c r="S82" s="20" t="str">
        <f>IF(R82="","",IFERROR(INDEX('Reference Values'!$B$8:$B$12,R82),"?"))</f>
        <v/>
      </c>
      <c r="T82" s="19"/>
      <c r="U82" s="20" t="str">
        <f>IF(T82="","",IFERROR(INDEX('Reference Values'!$B$8:$B$12,T82),"?"))</f>
        <v/>
      </c>
      <c r="V82" s="14"/>
      <c r="W82" s="14"/>
      <c r="X82" s="14"/>
      <c r="Y82" s="21"/>
    </row>
    <row r="83" spans="1:25" ht="24" customHeight="1" x14ac:dyDescent="0.25">
      <c r="A83" s="11" t="str">
        <f>IF(B83="","","D"&amp;TEXT(78,"000"))</f>
        <v/>
      </c>
      <c r="B83" s="22"/>
      <c r="C83" s="22"/>
      <c r="D83" s="22"/>
      <c r="E83" s="22"/>
      <c r="F83" s="23"/>
      <c r="G83" s="22"/>
      <c r="H83" s="14"/>
      <c r="I83" s="14"/>
      <c r="J83" s="18"/>
      <c r="K83" s="10" t="str">
        <f>IF(J83="","",IFERROR(INDEX('Reference Values'!$B$8:$B$12,J83),"?"))</f>
        <v/>
      </c>
      <c r="L83" s="18"/>
      <c r="M83" s="10" t="str">
        <f>IF(L83="","",IFERROR(INDEX('Reference Values'!$B$8:$B$12,L83),"?"))</f>
        <v/>
      </c>
      <c r="N83" s="18"/>
      <c r="O83" s="10" t="str">
        <f>IF(N83="","",IFERROR(INDEX('Reference Values'!$B$8:$B$12,N83),"?"))</f>
        <v/>
      </c>
      <c r="P83" s="24"/>
      <c r="Q83" s="20" t="str">
        <f>IF(P83="","",IFERROR(INDEX('Reference Values'!$B$8:$B$12,P83),"?"))</f>
        <v/>
      </c>
      <c r="R83" s="24"/>
      <c r="S83" s="20" t="str">
        <f>IF(R83="","",IFERROR(INDEX('Reference Values'!$B$8:$B$12,R83),"?"))</f>
        <v/>
      </c>
      <c r="T83" s="24"/>
      <c r="U83" s="20" t="str">
        <f>IF(T83="","",IFERROR(INDEX('Reference Values'!$B$8:$B$12,T83),"?"))</f>
        <v/>
      </c>
      <c r="V83" s="14"/>
      <c r="W83" s="14"/>
      <c r="X83" s="14"/>
      <c r="Y83" s="25"/>
    </row>
    <row r="84" spans="1:25" ht="24" customHeight="1" x14ac:dyDescent="0.25">
      <c r="A84" s="7" t="str">
        <f>IF(B84="","","D"&amp;TEXT(79,"000"))</f>
        <v/>
      </c>
      <c r="B84" s="16"/>
      <c r="C84" s="16"/>
      <c r="D84" s="16"/>
      <c r="E84" s="16"/>
      <c r="F84" s="17"/>
      <c r="G84" s="16"/>
      <c r="H84" s="14"/>
      <c r="I84" s="14"/>
      <c r="J84" s="18"/>
      <c r="K84" s="10" t="str">
        <f>IF(J84="","",IFERROR(INDEX('Reference Values'!$B$8:$B$12,J84),"?"))</f>
        <v/>
      </c>
      <c r="L84" s="18"/>
      <c r="M84" s="10" t="str">
        <f>IF(L84="","",IFERROR(INDEX('Reference Values'!$B$8:$B$12,L84),"?"))</f>
        <v/>
      </c>
      <c r="N84" s="18"/>
      <c r="O84" s="10" t="str">
        <f>IF(N84="","",IFERROR(INDEX('Reference Values'!$B$8:$B$12,N84),"?"))</f>
        <v/>
      </c>
      <c r="P84" s="19"/>
      <c r="Q84" s="20" t="str">
        <f>IF(P84="","",IFERROR(INDEX('Reference Values'!$B$8:$B$12,P84),"?"))</f>
        <v/>
      </c>
      <c r="R84" s="19"/>
      <c r="S84" s="20" t="str">
        <f>IF(R84="","",IFERROR(INDEX('Reference Values'!$B$8:$B$12,R84),"?"))</f>
        <v/>
      </c>
      <c r="T84" s="19"/>
      <c r="U84" s="20" t="str">
        <f>IF(T84="","",IFERROR(INDEX('Reference Values'!$B$8:$B$12,T84),"?"))</f>
        <v/>
      </c>
      <c r="V84" s="14"/>
      <c r="W84" s="14"/>
      <c r="X84" s="14"/>
      <c r="Y84" s="21"/>
    </row>
    <row r="85" spans="1:25" ht="24" customHeight="1" x14ac:dyDescent="0.25">
      <c r="A85" s="11" t="str">
        <f>IF(B85="","","D"&amp;TEXT(80,"000"))</f>
        <v/>
      </c>
      <c r="B85" s="22"/>
      <c r="C85" s="22"/>
      <c r="D85" s="22"/>
      <c r="E85" s="22"/>
      <c r="F85" s="23"/>
      <c r="G85" s="22"/>
      <c r="H85" s="14"/>
      <c r="I85" s="14"/>
      <c r="J85" s="18"/>
      <c r="K85" s="10" t="str">
        <f>IF(J85="","",IFERROR(INDEX('Reference Values'!$B$8:$B$12,J85),"?"))</f>
        <v/>
      </c>
      <c r="L85" s="18"/>
      <c r="M85" s="10" t="str">
        <f>IF(L85="","",IFERROR(INDEX('Reference Values'!$B$8:$B$12,L85),"?"))</f>
        <v/>
      </c>
      <c r="N85" s="18"/>
      <c r="O85" s="10" t="str">
        <f>IF(N85="","",IFERROR(INDEX('Reference Values'!$B$8:$B$12,N85),"?"))</f>
        <v/>
      </c>
      <c r="P85" s="24"/>
      <c r="Q85" s="20" t="str">
        <f>IF(P85="","",IFERROR(INDEX('Reference Values'!$B$8:$B$12,P85),"?"))</f>
        <v/>
      </c>
      <c r="R85" s="24"/>
      <c r="S85" s="20" t="str">
        <f>IF(R85="","",IFERROR(INDEX('Reference Values'!$B$8:$B$12,R85),"?"))</f>
        <v/>
      </c>
      <c r="T85" s="24"/>
      <c r="U85" s="20" t="str">
        <f>IF(T85="","",IFERROR(INDEX('Reference Values'!$B$8:$B$12,T85),"?"))</f>
        <v/>
      </c>
      <c r="V85" s="14"/>
      <c r="W85" s="14"/>
      <c r="X85" s="14"/>
      <c r="Y85" s="25"/>
    </row>
    <row r="86" spans="1:25" ht="24" customHeight="1" x14ac:dyDescent="0.25">
      <c r="A86" s="7" t="str">
        <f>IF(B86="","","D"&amp;TEXT(81,"000"))</f>
        <v/>
      </c>
      <c r="B86" s="16"/>
      <c r="C86" s="16"/>
      <c r="D86" s="16"/>
      <c r="E86" s="16"/>
      <c r="F86" s="17"/>
      <c r="G86" s="16"/>
      <c r="H86" s="14"/>
      <c r="I86" s="14"/>
      <c r="J86" s="18"/>
      <c r="K86" s="10" t="str">
        <f>IF(J86="","",IFERROR(INDEX('Reference Values'!$B$8:$B$12,J86),"?"))</f>
        <v/>
      </c>
      <c r="L86" s="18"/>
      <c r="M86" s="10" t="str">
        <f>IF(L86="","",IFERROR(INDEX('Reference Values'!$B$8:$B$12,L86),"?"))</f>
        <v/>
      </c>
      <c r="N86" s="18"/>
      <c r="O86" s="10" t="str">
        <f>IF(N86="","",IFERROR(INDEX('Reference Values'!$B$8:$B$12,N86),"?"))</f>
        <v/>
      </c>
      <c r="P86" s="19"/>
      <c r="Q86" s="20" t="str">
        <f>IF(P86="","",IFERROR(INDEX('Reference Values'!$B$8:$B$12,P86),"?"))</f>
        <v/>
      </c>
      <c r="R86" s="19"/>
      <c r="S86" s="20" t="str">
        <f>IF(R86="","",IFERROR(INDEX('Reference Values'!$B$8:$B$12,R86),"?"))</f>
        <v/>
      </c>
      <c r="T86" s="19"/>
      <c r="U86" s="20" t="str">
        <f>IF(T86="","",IFERROR(INDEX('Reference Values'!$B$8:$B$12,T86),"?"))</f>
        <v/>
      </c>
      <c r="V86" s="14"/>
      <c r="W86" s="14"/>
      <c r="X86" s="14"/>
      <c r="Y86" s="21"/>
    </row>
    <row r="87" spans="1:25" ht="24" customHeight="1" x14ac:dyDescent="0.25">
      <c r="A87" s="11" t="str">
        <f>IF(B87="","","D"&amp;TEXT(82,"000"))</f>
        <v/>
      </c>
      <c r="B87" s="22"/>
      <c r="C87" s="22"/>
      <c r="D87" s="22"/>
      <c r="E87" s="22"/>
      <c r="F87" s="23"/>
      <c r="G87" s="22"/>
      <c r="H87" s="14"/>
      <c r="I87" s="14"/>
      <c r="J87" s="18"/>
      <c r="K87" s="10" t="str">
        <f>IF(J87="","",IFERROR(INDEX('Reference Values'!$B$8:$B$12,J87),"?"))</f>
        <v/>
      </c>
      <c r="L87" s="18"/>
      <c r="M87" s="10" t="str">
        <f>IF(L87="","",IFERROR(INDEX('Reference Values'!$B$8:$B$12,L87),"?"))</f>
        <v/>
      </c>
      <c r="N87" s="18"/>
      <c r="O87" s="10" t="str">
        <f>IF(N87="","",IFERROR(INDEX('Reference Values'!$B$8:$B$12,N87),"?"))</f>
        <v/>
      </c>
      <c r="P87" s="24"/>
      <c r="Q87" s="20" t="str">
        <f>IF(P87="","",IFERROR(INDEX('Reference Values'!$B$8:$B$12,P87),"?"))</f>
        <v/>
      </c>
      <c r="R87" s="24"/>
      <c r="S87" s="20" t="str">
        <f>IF(R87="","",IFERROR(INDEX('Reference Values'!$B$8:$B$12,R87),"?"))</f>
        <v/>
      </c>
      <c r="T87" s="24"/>
      <c r="U87" s="20" t="str">
        <f>IF(T87="","",IFERROR(INDEX('Reference Values'!$B$8:$B$12,T87),"?"))</f>
        <v/>
      </c>
      <c r="V87" s="14"/>
      <c r="W87" s="14"/>
      <c r="X87" s="14"/>
      <c r="Y87" s="25"/>
    </row>
    <row r="88" spans="1:25" ht="24" customHeight="1" x14ac:dyDescent="0.25">
      <c r="A88" s="7" t="str">
        <f>IF(B88="","","D"&amp;TEXT(83,"000"))</f>
        <v/>
      </c>
      <c r="B88" s="16"/>
      <c r="C88" s="16"/>
      <c r="D88" s="16"/>
      <c r="E88" s="16"/>
      <c r="F88" s="17"/>
      <c r="G88" s="16"/>
      <c r="H88" s="14"/>
      <c r="I88" s="14"/>
      <c r="J88" s="18"/>
      <c r="K88" s="10" t="str">
        <f>IF(J88="","",IFERROR(INDEX('Reference Values'!$B$8:$B$12,J88),"?"))</f>
        <v/>
      </c>
      <c r="L88" s="18"/>
      <c r="M88" s="10" t="str">
        <f>IF(L88="","",IFERROR(INDEX('Reference Values'!$B$8:$B$12,L88),"?"))</f>
        <v/>
      </c>
      <c r="N88" s="18"/>
      <c r="O88" s="10" t="str">
        <f>IF(N88="","",IFERROR(INDEX('Reference Values'!$B$8:$B$12,N88),"?"))</f>
        <v/>
      </c>
      <c r="P88" s="19"/>
      <c r="Q88" s="20" t="str">
        <f>IF(P88="","",IFERROR(INDEX('Reference Values'!$B$8:$B$12,P88),"?"))</f>
        <v/>
      </c>
      <c r="R88" s="19"/>
      <c r="S88" s="20" t="str">
        <f>IF(R88="","",IFERROR(INDEX('Reference Values'!$B$8:$B$12,R88),"?"))</f>
        <v/>
      </c>
      <c r="T88" s="19"/>
      <c r="U88" s="20" t="str">
        <f>IF(T88="","",IFERROR(INDEX('Reference Values'!$B$8:$B$12,T88),"?"))</f>
        <v/>
      </c>
      <c r="V88" s="14"/>
      <c r="W88" s="14"/>
      <c r="X88" s="14"/>
      <c r="Y88" s="21"/>
    </row>
    <row r="89" spans="1:25" ht="24" customHeight="1" x14ac:dyDescent="0.25">
      <c r="A89" s="11" t="str">
        <f>IF(B89="","","D"&amp;TEXT(84,"000"))</f>
        <v/>
      </c>
      <c r="B89" s="22"/>
      <c r="C89" s="22"/>
      <c r="D89" s="22"/>
      <c r="E89" s="22"/>
      <c r="F89" s="23"/>
      <c r="G89" s="22"/>
      <c r="H89" s="14"/>
      <c r="I89" s="14"/>
      <c r="J89" s="18"/>
      <c r="K89" s="10" t="str">
        <f>IF(J89="","",IFERROR(INDEX('Reference Values'!$B$8:$B$12,J89),"?"))</f>
        <v/>
      </c>
      <c r="L89" s="18"/>
      <c r="M89" s="10" t="str">
        <f>IF(L89="","",IFERROR(INDEX('Reference Values'!$B$8:$B$12,L89),"?"))</f>
        <v/>
      </c>
      <c r="N89" s="18"/>
      <c r="O89" s="10" t="str">
        <f>IF(N89="","",IFERROR(INDEX('Reference Values'!$B$8:$B$12,N89),"?"))</f>
        <v/>
      </c>
      <c r="P89" s="24"/>
      <c r="Q89" s="20" t="str">
        <f>IF(P89="","",IFERROR(INDEX('Reference Values'!$B$8:$B$12,P89),"?"))</f>
        <v/>
      </c>
      <c r="R89" s="24"/>
      <c r="S89" s="20" t="str">
        <f>IF(R89="","",IFERROR(INDEX('Reference Values'!$B$8:$B$12,R89),"?"))</f>
        <v/>
      </c>
      <c r="T89" s="24"/>
      <c r="U89" s="20" t="str">
        <f>IF(T89="","",IFERROR(INDEX('Reference Values'!$B$8:$B$12,T89),"?"))</f>
        <v/>
      </c>
      <c r="V89" s="14"/>
      <c r="W89" s="14"/>
      <c r="X89" s="14"/>
      <c r="Y89" s="25"/>
    </row>
    <row r="90" spans="1:25" ht="24" customHeight="1" x14ac:dyDescent="0.25">
      <c r="A90" s="7" t="str">
        <f>IF(B90="","","D"&amp;TEXT(85,"000"))</f>
        <v/>
      </c>
      <c r="B90" s="16"/>
      <c r="C90" s="16"/>
      <c r="D90" s="16"/>
      <c r="E90" s="16"/>
      <c r="F90" s="17"/>
      <c r="G90" s="16"/>
      <c r="H90" s="14"/>
      <c r="I90" s="14"/>
      <c r="J90" s="18"/>
      <c r="K90" s="10" t="str">
        <f>IF(J90="","",IFERROR(INDEX('Reference Values'!$B$8:$B$12,J90),"?"))</f>
        <v/>
      </c>
      <c r="L90" s="18"/>
      <c r="M90" s="10" t="str">
        <f>IF(L90="","",IFERROR(INDEX('Reference Values'!$B$8:$B$12,L90),"?"))</f>
        <v/>
      </c>
      <c r="N90" s="18"/>
      <c r="O90" s="10" t="str">
        <f>IF(N90="","",IFERROR(INDEX('Reference Values'!$B$8:$B$12,N90),"?"))</f>
        <v/>
      </c>
      <c r="P90" s="19"/>
      <c r="Q90" s="20" t="str">
        <f>IF(P90="","",IFERROR(INDEX('Reference Values'!$B$8:$B$12,P90),"?"))</f>
        <v/>
      </c>
      <c r="R90" s="19"/>
      <c r="S90" s="20" t="str">
        <f>IF(R90="","",IFERROR(INDEX('Reference Values'!$B$8:$B$12,R90),"?"))</f>
        <v/>
      </c>
      <c r="T90" s="19"/>
      <c r="U90" s="20" t="str">
        <f>IF(T90="","",IFERROR(INDEX('Reference Values'!$B$8:$B$12,T90),"?"))</f>
        <v/>
      </c>
      <c r="V90" s="14"/>
      <c r="W90" s="14"/>
      <c r="X90" s="14"/>
      <c r="Y90" s="21"/>
    </row>
    <row r="91" spans="1:25" ht="24" customHeight="1" x14ac:dyDescent="0.25">
      <c r="A91" s="11" t="str">
        <f>IF(B91="","","D"&amp;TEXT(86,"000"))</f>
        <v/>
      </c>
      <c r="B91" s="22"/>
      <c r="C91" s="22"/>
      <c r="D91" s="22"/>
      <c r="E91" s="22"/>
      <c r="F91" s="23"/>
      <c r="G91" s="22"/>
      <c r="H91" s="14"/>
      <c r="I91" s="14"/>
      <c r="J91" s="18"/>
      <c r="K91" s="10" t="str">
        <f>IF(J91="","",IFERROR(INDEX('Reference Values'!$B$8:$B$12,J91),"?"))</f>
        <v/>
      </c>
      <c r="L91" s="18"/>
      <c r="M91" s="10" t="str">
        <f>IF(L91="","",IFERROR(INDEX('Reference Values'!$B$8:$B$12,L91),"?"))</f>
        <v/>
      </c>
      <c r="N91" s="18"/>
      <c r="O91" s="10" t="str">
        <f>IF(N91="","",IFERROR(INDEX('Reference Values'!$B$8:$B$12,N91),"?"))</f>
        <v/>
      </c>
      <c r="P91" s="24"/>
      <c r="Q91" s="20" t="str">
        <f>IF(P91="","",IFERROR(INDEX('Reference Values'!$B$8:$B$12,P91),"?"))</f>
        <v/>
      </c>
      <c r="R91" s="24"/>
      <c r="S91" s="20" t="str">
        <f>IF(R91="","",IFERROR(INDEX('Reference Values'!$B$8:$B$12,R91),"?"))</f>
        <v/>
      </c>
      <c r="T91" s="24"/>
      <c r="U91" s="20" t="str">
        <f>IF(T91="","",IFERROR(INDEX('Reference Values'!$B$8:$B$12,T91),"?"))</f>
        <v/>
      </c>
      <c r="V91" s="14"/>
      <c r="W91" s="14"/>
      <c r="X91" s="14"/>
      <c r="Y91" s="25"/>
    </row>
    <row r="92" spans="1:25" ht="24" customHeight="1" x14ac:dyDescent="0.25">
      <c r="A92" s="7" t="str">
        <f>IF(B92="","","D"&amp;TEXT(87,"000"))</f>
        <v/>
      </c>
      <c r="B92" s="16"/>
      <c r="C92" s="16"/>
      <c r="D92" s="16"/>
      <c r="E92" s="16"/>
      <c r="F92" s="17"/>
      <c r="G92" s="16"/>
      <c r="H92" s="14"/>
      <c r="I92" s="14"/>
      <c r="J92" s="18"/>
      <c r="K92" s="10" t="str">
        <f>IF(J92="","",IFERROR(INDEX('Reference Values'!$B$8:$B$12,J92),"?"))</f>
        <v/>
      </c>
      <c r="L92" s="18"/>
      <c r="M92" s="10" t="str">
        <f>IF(L92="","",IFERROR(INDEX('Reference Values'!$B$8:$B$12,L92),"?"))</f>
        <v/>
      </c>
      <c r="N92" s="18"/>
      <c r="O92" s="10" t="str">
        <f>IF(N92="","",IFERROR(INDEX('Reference Values'!$B$8:$B$12,N92),"?"))</f>
        <v/>
      </c>
      <c r="P92" s="19"/>
      <c r="Q92" s="20" t="str">
        <f>IF(P92="","",IFERROR(INDEX('Reference Values'!$B$8:$B$12,P92),"?"))</f>
        <v/>
      </c>
      <c r="R92" s="19"/>
      <c r="S92" s="20" t="str">
        <f>IF(R92="","",IFERROR(INDEX('Reference Values'!$B$8:$B$12,R92),"?"))</f>
        <v/>
      </c>
      <c r="T92" s="19"/>
      <c r="U92" s="20" t="str">
        <f>IF(T92="","",IFERROR(INDEX('Reference Values'!$B$8:$B$12,T92),"?"))</f>
        <v/>
      </c>
      <c r="V92" s="14"/>
      <c r="W92" s="14"/>
      <c r="X92" s="14"/>
      <c r="Y92" s="21"/>
    </row>
    <row r="93" spans="1:25" ht="24" customHeight="1" x14ac:dyDescent="0.25">
      <c r="A93" s="11" t="str">
        <f>IF(B93="","","D"&amp;TEXT(88,"000"))</f>
        <v/>
      </c>
      <c r="B93" s="22"/>
      <c r="C93" s="22"/>
      <c r="D93" s="22"/>
      <c r="E93" s="22"/>
      <c r="F93" s="23"/>
      <c r="G93" s="22"/>
      <c r="H93" s="14"/>
      <c r="I93" s="14"/>
      <c r="J93" s="18"/>
      <c r="K93" s="10" t="str">
        <f>IF(J93="","",IFERROR(INDEX('Reference Values'!$B$8:$B$12,J93),"?"))</f>
        <v/>
      </c>
      <c r="L93" s="18"/>
      <c r="M93" s="10" t="str">
        <f>IF(L93="","",IFERROR(INDEX('Reference Values'!$B$8:$B$12,L93),"?"))</f>
        <v/>
      </c>
      <c r="N93" s="18"/>
      <c r="O93" s="10" t="str">
        <f>IF(N93="","",IFERROR(INDEX('Reference Values'!$B$8:$B$12,N93),"?"))</f>
        <v/>
      </c>
      <c r="P93" s="24"/>
      <c r="Q93" s="20" t="str">
        <f>IF(P93="","",IFERROR(INDEX('Reference Values'!$B$8:$B$12,P93),"?"))</f>
        <v/>
      </c>
      <c r="R93" s="24"/>
      <c r="S93" s="20" t="str">
        <f>IF(R93="","",IFERROR(INDEX('Reference Values'!$B$8:$B$12,R93),"?"))</f>
        <v/>
      </c>
      <c r="T93" s="24"/>
      <c r="U93" s="20" t="str">
        <f>IF(T93="","",IFERROR(INDEX('Reference Values'!$B$8:$B$12,T93),"?"))</f>
        <v/>
      </c>
      <c r="V93" s="14"/>
      <c r="W93" s="14"/>
      <c r="X93" s="14"/>
      <c r="Y93" s="25"/>
    </row>
    <row r="94" spans="1:25" ht="24" customHeight="1" x14ac:dyDescent="0.25">
      <c r="A94" s="7" t="str">
        <f>IF(B94="","","D"&amp;TEXT(89,"000"))</f>
        <v/>
      </c>
      <c r="B94" s="16"/>
      <c r="C94" s="16"/>
      <c r="D94" s="16"/>
      <c r="E94" s="16"/>
      <c r="F94" s="17"/>
      <c r="G94" s="16"/>
      <c r="H94" s="14"/>
      <c r="I94" s="14"/>
      <c r="J94" s="18"/>
      <c r="K94" s="10" t="str">
        <f>IF(J94="","",IFERROR(INDEX('Reference Values'!$B$8:$B$12,J94),"?"))</f>
        <v/>
      </c>
      <c r="L94" s="18"/>
      <c r="M94" s="10" t="str">
        <f>IF(L94="","",IFERROR(INDEX('Reference Values'!$B$8:$B$12,L94),"?"))</f>
        <v/>
      </c>
      <c r="N94" s="18"/>
      <c r="O94" s="10" t="str">
        <f>IF(N94="","",IFERROR(INDEX('Reference Values'!$B$8:$B$12,N94),"?"))</f>
        <v/>
      </c>
      <c r="P94" s="19"/>
      <c r="Q94" s="20" t="str">
        <f>IF(P94="","",IFERROR(INDEX('Reference Values'!$B$8:$B$12,P94),"?"))</f>
        <v/>
      </c>
      <c r="R94" s="19"/>
      <c r="S94" s="20" t="str">
        <f>IF(R94="","",IFERROR(INDEX('Reference Values'!$B$8:$B$12,R94),"?"))</f>
        <v/>
      </c>
      <c r="T94" s="19"/>
      <c r="U94" s="20" t="str">
        <f>IF(T94="","",IFERROR(INDEX('Reference Values'!$B$8:$B$12,T94),"?"))</f>
        <v/>
      </c>
      <c r="V94" s="14"/>
      <c r="W94" s="14"/>
      <c r="X94" s="14"/>
      <c r="Y94" s="21"/>
    </row>
    <row r="95" spans="1:25" ht="24" customHeight="1" x14ac:dyDescent="0.25">
      <c r="A95" s="11" t="str">
        <f>IF(B95="","","D"&amp;TEXT(90,"000"))</f>
        <v/>
      </c>
      <c r="B95" s="22"/>
      <c r="C95" s="22"/>
      <c r="D95" s="22"/>
      <c r="E95" s="22"/>
      <c r="F95" s="23"/>
      <c r="G95" s="22"/>
      <c r="H95" s="14"/>
      <c r="I95" s="14"/>
      <c r="J95" s="18"/>
      <c r="K95" s="10" t="str">
        <f>IF(J95="","",IFERROR(INDEX('Reference Values'!$B$8:$B$12,J95),"?"))</f>
        <v/>
      </c>
      <c r="L95" s="18"/>
      <c r="M95" s="10" t="str">
        <f>IF(L95="","",IFERROR(INDEX('Reference Values'!$B$8:$B$12,L95),"?"))</f>
        <v/>
      </c>
      <c r="N95" s="18"/>
      <c r="O95" s="10" t="str">
        <f>IF(N95="","",IFERROR(INDEX('Reference Values'!$B$8:$B$12,N95),"?"))</f>
        <v/>
      </c>
      <c r="P95" s="24"/>
      <c r="Q95" s="20" t="str">
        <f>IF(P95="","",IFERROR(INDEX('Reference Values'!$B$8:$B$12,P95),"?"))</f>
        <v/>
      </c>
      <c r="R95" s="24"/>
      <c r="S95" s="20" t="str">
        <f>IF(R95="","",IFERROR(INDEX('Reference Values'!$B$8:$B$12,R95),"?"))</f>
        <v/>
      </c>
      <c r="T95" s="24"/>
      <c r="U95" s="20" t="str">
        <f>IF(T95="","",IFERROR(INDEX('Reference Values'!$B$8:$B$12,T95),"?"))</f>
        <v/>
      </c>
      <c r="V95" s="14"/>
      <c r="W95" s="14"/>
      <c r="X95" s="14"/>
      <c r="Y95" s="25"/>
    </row>
    <row r="96" spans="1:25" ht="24" customHeight="1" x14ac:dyDescent="0.25">
      <c r="A96" s="7" t="str">
        <f>IF(B96="","","D"&amp;TEXT(91,"000"))</f>
        <v/>
      </c>
      <c r="B96" s="16"/>
      <c r="C96" s="16"/>
      <c r="D96" s="16"/>
      <c r="E96" s="16"/>
      <c r="F96" s="17"/>
      <c r="G96" s="16"/>
      <c r="H96" s="14"/>
      <c r="I96" s="14"/>
      <c r="J96" s="18"/>
      <c r="K96" s="10" t="str">
        <f>IF(J96="","",IFERROR(INDEX('Reference Values'!$B$8:$B$12,J96),"?"))</f>
        <v/>
      </c>
      <c r="L96" s="18"/>
      <c r="M96" s="10" t="str">
        <f>IF(L96="","",IFERROR(INDEX('Reference Values'!$B$8:$B$12,L96),"?"))</f>
        <v/>
      </c>
      <c r="N96" s="18"/>
      <c r="O96" s="10" t="str">
        <f>IF(N96="","",IFERROR(INDEX('Reference Values'!$B$8:$B$12,N96),"?"))</f>
        <v/>
      </c>
      <c r="P96" s="19"/>
      <c r="Q96" s="20" t="str">
        <f>IF(P96="","",IFERROR(INDEX('Reference Values'!$B$8:$B$12,P96),"?"))</f>
        <v/>
      </c>
      <c r="R96" s="19"/>
      <c r="S96" s="20" t="str">
        <f>IF(R96="","",IFERROR(INDEX('Reference Values'!$B$8:$B$12,R96),"?"))</f>
        <v/>
      </c>
      <c r="T96" s="19"/>
      <c r="U96" s="20" t="str">
        <f>IF(T96="","",IFERROR(INDEX('Reference Values'!$B$8:$B$12,T96),"?"))</f>
        <v/>
      </c>
      <c r="V96" s="14"/>
      <c r="W96" s="14"/>
      <c r="X96" s="14"/>
      <c r="Y96" s="21"/>
    </row>
    <row r="97" spans="1:25" ht="24" customHeight="1" x14ac:dyDescent="0.25">
      <c r="A97" s="11" t="str">
        <f>IF(B97="","","D"&amp;TEXT(92,"000"))</f>
        <v/>
      </c>
      <c r="B97" s="22"/>
      <c r="C97" s="22"/>
      <c r="D97" s="22"/>
      <c r="E97" s="22"/>
      <c r="F97" s="23"/>
      <c r="G97" s="22"/>
      <c r="H97" s="14"/>
      <c r="I97" s="14"/>
      <c r="J97" s="18"/>
      <c r="K97" s="10" t="str">
        <f>IF(J97="","",IFERROR(INDEX('Reference Values'!$B$8:$B$12,J97),"?"))</f>
        <v/>
      </c>
      <c r="L97" s="18"/>
      <c r="M97" s="10" t="str">
        <f>IF(L97="","",IFERROR(INDEX('Reference Values'!$B$8:$B$12,L97),"?"))</f>
        <v/>
      </c>
      <c r="N97" s="18"/>
      <c r="O97" s="10" t="str">
        <f>IF(N97="","",IFERROR(INDEX('Reference Values'!$B$8:$B$12,N97),"?"))</f>
        <v/>
      </c>
      <c r="P97" s="24"/>
      <c r="Q97" s="20" t="str">
        <f>IF(P97="","",IFERROR(INDEX('Reference Values'!$B$8:$B$12,P97),"?"))</f>
        <v/>
      </c>
      <c r="R97" s="24"/>
      <c r="S97" s="20" t="str">
        <f>IF(R97="","",IFERROR(INDEX('Reference Values'!$B$8:$B$12,R97),"?"))</f>
        <v/>
      </c>
      <c r="T97" s="24"/>
      <c r="U97" s="20" t="str">
        <f>IF(T97="","",IFERROR(INDEX('Reference Values'!$B$8:$B$12,T97),"?"))</f>
        <v/>
      </c>
      <c r="V97" s="14"/>
      <c r="W97" s="14"/>
      <c r="X97" s="14"/>
      <c r="Y97" s="25"/>
    </row>
    <row r="98" spans="1:25" ht="24" customHeight="1" x14ac:dyDescent="0.25">
      <c r="A98" s="7" t="str">
        <f>IF(B98="","","D"&amp;TEXT(93,"000"))</f>
        <v/>
      </c>
      <c r="B98" s="16"/>
      <c r="C98" s="16"/>
      <c r="D98" s="16"/>
      <c r="E98" s="16"/>
      <c r="F98" s="17"/>
      <c r="G98" s="16"/>
      <c r="H98" s="14"/>
      <c r="I98" s="14"/>
      <c r="J98" s="18"/>
      <c r="K98" s="10" t="str">
        <f>IF(J98="","",IFERROR(INDEX('Reference Values'!$B$8:$B$12,J98),"?"))</f>
        <v/>
      </c>
      <c r="L98" s="18"/>
      <c r="M98" s="10" t="str">
        <f>IF(L98="","",IFERROR(INDEX('Reference Values'!$B$8:$B$12,L98),"?"))</f>
        <v/>
      </c>
      <c r="N98" s="18"/>
      <c r="O98" s="10" t="str">
        <f>IF(N98="","",IFERROR(INDEX('Reference Values'!$B$8:$B$12,N98),"?"))</f>
        <v/>
      </c>
      <c r="P98" s="19"/>
      <c r="Q98" s="20" t="str">
        <f>IF(P98="","",IFERROR(INDEX('Reference Values'!$B$8:$B$12,P98),"?"))</f>
        <v/>
      </c>
      <c r="R98" s="19"/>
      <c r="S98" s="20" t="str">
        <f>IF(R98="","",IFERROR(INDEX('Reference Values'!$B$8:$B$12,R98),"?"))</f>
        <v/>
      </c>
      <c r="T98" s="19"/>
      <c r="U98" s="20" t="str">
        <f>IF(T98="","",IFERROR(INDEX('Reference Values'!$B$8:$B$12,T98),"?"))</f>
        <v/>
      </c>
      <c r="V98" s="14"/>
      <c r="W98" s="14"/>
      <c r="X98" s="14"/>
      <c r="Y98" s="21"/>
    </row>
    <row r="99" spans="1:25" ht="24" customHeight="1" x14ac:dyDescent="0.25">
      <c r="A99" s="11" t="str">
        <f>IF(B99="","","D"&amp;TEXT(94,"000"))</f>
        <v/>
      </c>
      <c r="B99" s="22"/>
      <c r="C99" s="22"/>
      <c r="D99" s="22"/>
      <c r="E99" s="22"/>
      <c r="F99" s="23"/>
      <c r="G99" s="22"/>
      <c r="H99" s="14"/>
      <c r="I99" s="14"/>
      <c r="J99" s="18"/>
      <c r="K99" s="10" t="str">
        <f>IF(J99="","",IFERROR(INDEX('Reference Values'!$B$8:$B$12,J99),"?"))</f>
        <v/>
      </c>
      <c r="L99" s="18"/>
      <c r="M99" s="10" t="str">
        <f>IF(L99="","",IFERROR(INDEX('Reference Values'!$B$8:$B$12,L99),"?"))</f>
        <v/>
      </c>
      <c r="N99" s="18"/>
      <c r="O99" s="10" t="str">
        <f>IF(N99="","",IFERROR(INDEX('Reference Values'!$B$8:$B$12,N99),"?"))</f>
        <v/>
      </c>
      <c r="P99" s="24"/>
      <c r="Q99" s="20" t="str">
        <f>IF(P99="","",IFERROR(INDEX('Reference Values'!$B$8:$B$12,P99),"?"))</f>
        <v/>
      </c>
      <c r="R99" s="24"/>
      <c r="S99" s="20" t="str">
        <f>IF(R99="","",IFERROR(INDEX('Reference Values'!$B$8:$B$12,R99),"?"))</f>
        <v/>
      </c>
      <c r="T99" s="24"/>
      <c r="U99" s="20" t="str">
        <f>IF(T99="","",IFERROR(INDEX('Reference Values'!$B$8:$B$12,T99),"?"))</f>
        <v/>
      </c>
      <c r="V99" s="14"/>
      <c r="W99" s="14"/>
      <c r="X99" s="14"/>
      <c r="Y99" s="25"/>
    </row>
    <row r="100" spans="1:25" ht="24" customHeight="1" x14ac:dyDescent="0.25">
      <c r="A100" s="7" t="str">
        <f>IF(B100="","","D"&amp;TEXT(95,"000"))</f>
        <v/>
      </c>
      <c r="B100" s="16"/>
      <c r="C100" s="16"/>
      <c r="D100" s="16"/>
      <c r="E100" s="16"/>
      <c r="F100" s="17"/>
      <c r="G100" s="16"/>
      <c r="H100" s="14"/>
      <c r="I100" s="14"/>
      <c r="J100" s="18"/>
      <c r="K100" s="10" t="str">
        <f>IF(J100="","",IFERROR(INDEX('Reference Values'!$B$8:$B$12,J100),"?"))</f>
        <v/>
      </c>
      <c r="L100" s="18"/>
      <c r="M100" s="10" t="str">
        <f>IF(L100="","",IFERROR(INDEX('Reference Values'!$B$8:$B$12,L100),"?"))</f>
        <v/>
      </c>
      <c r="N100" s="18"/>
      <c r="O100" s="10" t="str">
        <f>IF(N100="","",IFERROR(INDEX('Reference Values'!$B$8:$B$12,N100),"?"))</f>
        <v/>
      </c>
      <c r="P100" s="19"/>
      <c r="Q100" s="20" t="str">
        <f>IF(P100="","",IFERROR(INDEX('Reference Values'!$B$8:$B$12,P100),"?"))</f>
        <v/>
      </c>
      <c r="R100" s="19"/>
      <c r="S100" s="20" t="str">
        <f>IF(R100="","",IFERROR(INDEX('Reference Values'!$B$8:$B$12,R100),"?"))</f>
        <v/>
      </c>
      <c r="T100" s="19"/>
      <c r="U100" s="20" t="str">
        <f>IF(T100="","",IFERROR(INDEX('Reference Values'!$B$8:$B$12,T100),"?"))</f>
        <v/>
      </c>
      <c r="V100" s="14"/>
      <c r="W100" s="14"/>
      <c r="X100" s="14"/>
      <c r="Y100" s="21"/>
    </row>
    <row r="101" spans="1:25" ht="24" customHeight="1" x14ac:dyDescent="0.25">
      <c r="A101" s="11" t="str">
        <f>IF(B101="","","D"&amp;TEXT(96,"000"))</f>
        <v/>
      </c>
      <c r="B101" s="22"/>
      <c r="C101" s="22"/>
      <c r="D101" s="22"/>
      <c r="E101" s="22"/>
      <c r="F101" s="23"/>
      <c r="G101" s="22"/>
      <c r="H101" s="14"/>
      <c r="I101" s="14"/>
      <c r="J101" s="18"/>
      <c r="K101" s="10" t="str">
        <f>IF(J101="","",IFERROR(INDEX('Reference Values'!$B$8:$B$12,J101),"?"))</f>
        <v/>
      </c>
      <c r="L101" s="18"/>
      <c r="M101" s="10" t="str">
        <f>IF(L101="","",IFERROR(INDEX('Reference Values'!$B$8:$B$12,L101),"?"))</f>
        <v/>
      </c>
      <c r="N101" s="18"/>
      <c r="O101" s="10" t="str">
        <f>IF(N101="","",IFERROR(INDEX('Reference Values'!$B$8:$B$12,N101),"?"))</f>
        <v/>
      </c>
      <c r="P101" s="24"/>
      <c r="Q101" s="20" t="str">
        <f>IF(P101="","",IFERROR(INDEX('Reference Values'!$B$8:$B$12,P101),"?"))</f>
        <v/>
      </c>
      <c r="R101" s="24"/>
      <c r="S101" s="20" t="str">
        <f>IF(R101="","",IFERROR(INDEX('Reference Values'!$B$8:$B$12,R101),"?"))</f>
        <v/>
      </c>
      <c r="T101" s="24"/>
      <c r="U101" s="20" t="str">
        <f>IF(T101="","",IFERROR(INDEX('Reference Values'!$B$8:$B$12,T101),"?"))</f>
        <v/>
      </c>
      <c r="V101" s="14"/>
      <c r="W101" s="14"/>
      <c r="X101" s="14"/>
      <c r="Y101" s="25"/>
    </row>
    <row r="102" spans="1:25" ht="24" customHeight="1" x14ac:dyDescent="0.25">
      <c r="A102" s="7" t="str">
        <f>IF(B102="","","D"&amp;TEXT(97,"000"))</f>
        <v/>
      </c>
      <c r="B102" s="16"/>
      <c r="C102" s="16"/>
      <c r="D102" s="16"/>
      <c r="E102" s="16"/>
      <c r="F102" s="17"/>
      <c r="G102" s="16"/>
      <c r="H102" s="14"/>
      <c r="I102" s="14"/>
      <c r="J102" s="18"/>
      <c r="K102" s="10" t="str">
        <f>IF(J102="","",IFERROR(INDEX('Reference Values'!$B$8:$B$12,J102),"?"))</f>
        <v/>
      </c>
      <c r="L102" s="18"/>
      <c r="M102" s="10" t="str">
        <f>IF(L102="","",IFERROR(INDEX('Reference Values'!$B$8:$B$12,L102),"?"))</f>
        <v/>
      </c>
      <c r="N102" s="18"/>
      <c r="O102" s="10" t="str">
        <f>IF(N102="","",IFERROR(INDEX('Reference Values'!$B$8:$B$12,N102),"?"))</f>
        <v/>
      </c>
      <c r="P102" s="19"/>
      <c r="Q102" s="20" t="str">
        <f>IF(P102="","",IFERROR(INDEX('Reference Values'!$B$8:$B$12,P102),"?"))</f>
        <v/>
      </c>
      <c r="R102" s="19"/>
      <c r="S102" s="20" t="str">
        <f>IF(R102="","",IFERROR(INDEX('Reference Values'!$B$8:$B$12,R102),"?"))</f>
        <v/>
      </c>
      <c r="T102" s="19"/>
      <c r="U102" s="20" t="str">
        <f>IF(T102="","",IFERROR(INDEX('Reference Values'!$B$8:$B$12,T102),"?"))</f>
        <v/>
      </c>
      <c r="V102" s="14"/>
      <c r="W102" s="14"/>
      <c r="X102" s="14"/>
      <c r="Y102" s="21"/>
    </row>
    <row r="103" spans="1:25" ht="24" customHeight="1" x14ac:dyDescent="0.25">
      <c r="A103" s="11" t="str">
        <f>IF(B103="","","D"&amp;TEXT(98,"000"))</f>
        <v/>
      </c>
      <c r="B103" s="22"/>
      <c r="C103" s="22"/>
      <c r="D103" s="22"/>
      <c r="E103" s="22"/>
      <c r="F103" s="23"/>
      <c r="G103" s="22"/>
      <c r="H103" s="14"/>
      <c r="I103" s="14"/>
      <c r="J103" s="18"/>
      <c r="K103" s="10" t="str">
        <f>IF(J103="","",IFERROR(INDEX('Reference Values'!$B$8:$B$12,J103),"?"))</f>
        <v/>
      </c>
      <c r="L103" s="18"/>
      <c r="M103" s="10" t="str">
        <f>IF(L103="","",IFERROR(INDEX('Reference Values'!$B$8:$B$12,L103),"?"))</f>
        <v/>
      </c>
      <c r="N103" s="18"/>
      <c r="O103" s="10" t="str">
        <f>IF(N103="","",IFERROR(INDEX('Reference Values'!$B$8:$B$12,N103),"?"))</f>
        <v/>
      </c>
      <c r="P103" s="24"/>
      <c r="Q103" s="20" t="str">
        <f>IF(P103="","",IFERROR(INDEX('Reference Values'!$B$8:$B$12,P103),"?"))</f>
        <v/>
      </c>
      <c r="R103" s="24"/>
      <c r="S103" s="20" t="str">
        <f>IF(R103="","",IFERROR(INDEX('Reference Values'!$B$8:$B$12,R103),"?"))</f>
        <v/>
      </c>
      <c r="T103" s="24"/>
      <c r="U103" s="20" t="str">
        <f>IF(T103="","",IFERROR(INDEX('Reference Values'!$B$8:$B$12,T103),"?"))</f>
        <v/>
      </c>
      <c r="V103" s="14"/>
      <c r="W103" s="14"/>
      <c r="X103" s="14"/>
      <c r="Y103" s="25"/>
    </row>
    <row r="104" spans="1:25" ht="24" customHeight="1" x14ac:dyDescent="0.25">
      <c r="A104" s="7" t="str">
        <f>IF(B104="","","D"&amp;TEXT(99,"000"))</f>
        <v/>
      </c>
      <c r="B104" s="16"/>
      <c r="C104" s="16"/>
      <c r="D104" s="16"/>
      <c r="E104" s="16"/>
      <c r="F104" s="17"/>
      <c r="G104" s="16"/>
      <c r="H104" s="14"/>
      <c r="I104" s="14"/>
      <c r="J104" s="18"/>
      <c r="K104" s="10" t="str">
        <f>IF(J104="","",IFERROR(INDEX('Reference Values'!$B$8:$B$12,J104),"?"))</f>
        <v/>
      </c>
      <c r="L104" s="18"/>
      <c r="M104" s="10" t="str">
        <f>IF(L104="","",IFERROR(INDEX('Reference Values'!$B$8:$B$12,L104),"?"))</f>
        <v/>
      </c>
      <c r="N104" s="18"/>
      <c r="O104" s="10" t="str">
        <f>IF(N104="","",IFERROR(INDEX('Reference Values'!$B$8:$B$12,N104),"?"))</f>
        <v/>
      </c>
      <c r="P104" s="19"/>
      <c r="Q104" s="20" t="str">
        <f>IF(P104="","",IFERROR(INDEX('Reference Values'!$B$8:$B$12,P104),"?"))</f>
        <v/>
      </c>
      <c r="R104" s="19"/>
      <c r="S104" s="20" t="str">
        <f>IF(R104="","",IFERROR(INDEX('Reference Values'!$B$8:$B$12,R104),"?"))</f>
        <v/>
      </c>
      <c r="T104" s="19"/>
      <c r="U104" s="20" t="str">
        <f>IF(T104="","",IFERROR(INDEX('Reference Values'!$B$8:$B$12,T104),"?"))</f>
        <v/>
      </c>
      <c r="V104" s="14"/>
      <c r="W104" s="14"/>
      <c r="X104" s="14"/>
      <c r="Y104" s="21"/>
    </row>
    <row r="105" spans="1:25" ht="24" customHeight="1" x14ac:dyDescent="0.25">
      <c r="A105" s="11" t="str">
        <f>IF(B105="","","D"&amp;TEXT(100,"000"))</f>
        <v/>
      </c>
      <c r="B105" s="22"/>
      <c r="C105" s="22"/>
      <c r="D105" s="22"/>
      <c r="E105" s="22"/>
      <c r="F105" s="23"/>
      <c r="G105" s="22"/>
      <c r="H105" s="14"/>
      <c r="I105" s="14"/>
      <c r="J105" s="18"/>
      <c r="K105" s="10" t="str">
        <f>IF(J105="","",IFERROR(INDEX('Reference Values'!$B$8:$B$12,J105),"?"))</f>
        <v/>
      </c>
      <c r="L105" s="18"/>
      <c r="M105" s="10" t="str">
        <f>IF(L105="","",IFERROR(INDEX('Reference Values'!$B$8:$B$12,L105),"?"))</f>
        <v/>
      </c>
      <c r="N105" s="18"/>
      <c r="O105" s="10" t="str">
        <f>IF(N105="","",IFERROR(INDEX('Reference Values'!$B$8:$B$12,N105),"?"))</f>
        <v/>
      </c>
      <c r="P105" s="24"/>
      <c r="Q105" s="20" t="str">
        <f>IF(P105="","",IFERROR(INDEX('Reference Values'!$B$8:$B$12,P105),"?"))</f>
        <v/>
      </c>
      <c r="R105" s="24"/>
      <c r="S105" s="20" t="str">
        <f>IF(R105="","",IFERROR(INDEX('Reference Values'!$B$8:$B$12,R105),"?"))</f>
        <v/>
      </c>
      <c r="T105" s="24"/>
      <c r="U105" s="20" t="str">
        <f>IF(T105="","",IFERROR(INDEX('Reference Values'!$B$8:$B$12,T105),"?"))</f>
        <v/>
      </c>
      <c r="V105" s="14"/>
      <c r="W105" s="14"/>
      <c r="X105" s="14"/>
      <c r="Y105" s="25"/>
    </row>
  </sheetData>
  <sheetProtection sheet="1" sort="0" autoFilter="0"/>
  <autoFilter ref="A5:Y5" xr:uid="{00000000-0009-0000-0000-000004000000}"/>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dxfId="63" priority="1">
      <formula>J6=1</formula>
    </cfRule>
    <cfRule type="expression" dxfId="62" priority="3">
      <formula>J6=2</formula>
    </cfRule>
    <cfRule type="expression" dxfId="61" priority="5">
      <formula>J6=3</formula>
    </cfRule>
    <cfRule type="expression" dxfId="60" priority="7">
      <formula>J6=4</formula>
    </cfRule>
    <cfRule type="expression" dxfId="59" priority="9">
      <formula>J6=5</formula>
    </cfRule>
  </conditionalFormatting>
  <conditionalFormatting sqref="K6:K105">
    <cfRule type="expression" dxfId="58" priority="2">
      <formula>J6=1</formula>
    </cfRule>
    <cfRule type="expression" dxfId="57" priority="4">
      <formula>J6=2</formula>
    </cfRule>
    <cfRule type="expression" dxfId="56" priority="6">
      <formula>J6=3</formula>
    </cfRule>
    <cfRule type="expression" dxfId="55" priority="8">
      <formula>J6=4</formula>
    </cfRule>
    <cfRule type="expression" dxfId="54" priority="10">
      <formula>J6=5</formula>
    </cfRule>
  </conditionalFormatting>
  <conditionalFormatting sqref="L6:L105">
    <cfRule type="expression" dxfId="53" priority="11">
      <formula>L6=1</formula>
    </cfRule>
    <cfRule type="expression" dxfId="52" priority="13">
      <formula>L6=2</formula>
    </cfRule>
    <cfRule type="expression" dxfId="51" priority="15">
      <formula>L6=3</formula>
    </cfRule>
    <cfRule type="expression" dxfId="50" priority="17">
      <formula>L6=4</formula>
    </cfRule>
    <cfRule type="expression" dxfId="49" priority="19">
      <formula>L6=5</formula>
    </cfRule>
  </conditionalFormatting>
  <conditionalFormatting sqref="M6:M105">
    <cfRule type="expression" dxfId="48" priority="12">
      <formula>L6=1</formula>
    </cfRule>
    <cfRule type="expression" dxfId="47" priority="14">
      <formula>L6=2</formula>
    </cfRule>
    <cfRule type="expression" dxfId="46" priority="16">
      <formula>L6=3</formula>
    </cfRule>
    <cfRule type="expression" dxfId="45" priority="18">
      <formula>L6=4</formula>
    </cfRule>
    <cfRule type="expression" dxfId="44" priority="20">
      <formula>L6=5</formula>
    </cfRule>
  </conditionalFormatting>
  <conditionalFormatting sqref="N6:N105">
    <cfRule type="expression" dxfId="43" priority="21">
      <formula>N6=1</formula>
    </cfRule>
    <cfRule type="expression" dxfId="42" priority="23">
      <formula>N6=2</formula>
    </cfRule>
    <cfRule type="expression" dxfId="41" priority="25">
      <formula>N6=3</formula>
    </cfRule>
    <cfRule type="expression" dxfId="40" priority="27">
      <formula>N6=4</formula>
    </cfRule>
    <cfRule type="expression" dxfId="39" priority="29">
      <formula>N6=5</formula>
    </cfRule>
  </conditionalFormatting>
  <conditionalFormatting sqref="O6:O105">
    <cfRule type="expression" dxfId="38" priority="22">
      <formula>N6=1</formula>
    </cfRule>
    <cfRule type="expression" dxfId="37" priority="24">
      <formula>N6=2</formula>
    </cfRule>
    <cfRule type="expression" dxfId="36" priority="26">
      <formula>N6=3</formula>
    </cfRule>
    <cfRule type="expression" dxfId="35" priority="28">
      <formula>N6=4</formula>
    </cfRule>
    <cfRule type="expression" dxfId="34" priority="30">
      <formula>N6=5</formula>
    </cfRule>
  </conditionalFormatting>
  <conditionalFormatting sqref="P6:P105">
    <cfRule type="expression" dxfId="33" priority="31">
      <formula>P6=1</formula>
    </cfRule>
    <cfRule type="expression" dxfId="32" priority="39">
      <formula>P6=5</formula>
    </cfRule>
    <cfRule type="expression" dxfId="31" priority="33">
      <formula>P6=2</formula>
    </cfRule>
    <cfRule type="expression" dxfId="30" priority="35">
      <formula>P6=3</formula>
    </cfRule>
    <cfRule type="expression" dxfId="29" priority="37">
      <formula>P6=4</formula>
    </cfRule>
  </conditionalFormatting>
  <conditionalFormatting sqref="Q6:Q105">
    <cfRule type="expression" dxfId="28" priority="36">
      <formula>P6=3</formula>
    </cfRule>
    <cfRule type="expression" dxfId="27" priority="34">
      <formula>P6=2</formula>
    </cfRule>
    <cfRule type="expression" dxfId="26" priority="38">
      <formula>P6=4</formula>
    </cfRule>
    <cfRule type="expression" dxfId="25" priority="32">
      <formula>P6=1</formula>
    </cfRule>
    <cfRule type="expression" dxfId="24" priority="40">
      <formula>P6=5</formula>
    </cfRule>
  </conditionalFormatting>
  <conditionalFormatting sqref="R6:R105">
    <cfRule type="expression" dxfId="23" priority="41">
      <formula>R6=1</formula>
    </cfRule>
    <cfRule type="expression" dxfId="22" priority="43">
      <formula>R6=2</formula>
    </cfRule>
    <cfRule type="expression" dxfId="21" priority="45">
      <formula>R6=3</formula>
    </cfRule>
    <cfRule type="expression" dxfId="20" priority="47">
      <formula>R6=4</formula>
    </cfRule>
    <cfRule type="expression" dxfId="19" priority="49">
      <formula>R6=5</formula>
    </cfRule>
  </conditionalFormatting>
  <conditionalFormatting sqref="S6:S105">
    <cfRule type="expression" dxfId="18" priority="42">
      <formula>R6=1</formula>
    </cfRule>
    <cfRule type="expression" dxfId="17" priority="44">
      <formula>R6=2</formula>
    </cfRule>
    <cfRule type="expression" dxfId="16" priority="46">
      <formula>R6=3</formula>
    </cfRule>
    <cfRule type="expression" dxfId="15" priority="48">
      <formula>R6=4</formula>
    </cfRule>
    <cfRule type="expression" dxfId="14" priority="50">
      <formula>R6=5</formula>
    </cfRule>
  </conditionalFormatting>
  <conditionalFormatting sqref="T6:T105">
    <cfRule type="expression" dxfId="13" priority="51">
      <formula>T6=1</formula>
    </cfRule>
    <cfRule type="expression" dxfId="12" priority="53">
      <formula>T6=2</formula>
    </cfRule>
    <cfRule type="expression" dxfId="11" priority="55">
      <formula>T6=3</formula>
    </cfRule>
    <cfRule type="expression" dxfId="10" priority="57">
      <formula>T6=4</formula>
    </cfRule>
    <cfRule type="expression" dxfId="9" priority="59">
      <formula>T6=5</formula>
    </cfRule>
  </conditionalFormatting>
  <conditionalFormatting sqref="U6:U105">
    <cfRule type="expression" dxfId="8" priority="52">
      <formula>T6=1</formula>
    </cfRule>
    <cfRule type="expression" dxfId="7" priority="54">
      <formula>T6=2</formula>
    </cfRule>
    <cfRule type="expression" dxfId="6" priority="56">
      <formula>T6=3</formula>
    </cfRule>
    <cfRule type="expression" dxfId="5" priority="58">
      <formula>T6=4</formula>
    </cfRule>
    <cfRule type="expression" dxfId="4" priority="60">
      <formula>T6=5</formula>
    </cfRule>
  </conditionalFormatting>
  <conditionalFormatting sqref="V6:X105">
    <cfRule type="expression" dxfId="3" priority="61">
      <formula>V6&lt;&gt;""</formula>
    </cfRule>
  </conditionalFormatting>
  <dataValidations count="1">
    <dataValidation type="list" allowBlank="1" sqref="J6:J105 T6:T105 R6:R105 P6:P105 N6:N105 L6:L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N222"/>
  <sheetViews>
    <sheetView showGridLines="0" workbookViewId="0">
      <pane xSplit="4" ySplit="3" topLeftCell="E4" activePane="bottomRight" state="frozen"/>
      <selection pane="topRight"/>
      <selection pane="bottomLeft"/>
      <selection pane="bottomRight"/>
    </sheetView>
  </sheetViews>
  <sheetFormatPr defaultRowHeight="15" x14ac:dyDescent="0.25"/>
  <cols>
    <col min="1" max="1" width="14" customWidth="1"/>
    <col min="2" max="2" width="60" customWidth="1"/>
    <col min="3" max="3" width="13" customWidth="1"/>
    <col min="4" max="4" width="18" customWidth="1"/>
    <col min="5" max="14" width="22" customWidth="1"/>
  </cols>
  <sheetData>
    <row r="1" spans="1:14" ht="33.950000000000003" customHeight="1" x14ac:dyDescent="0.25">
      <c r="A1" s="106" t="s">
        <v>8</v>
      </c>
      <c r="B1" s="88"/>
      <c r="C1" s="88"/>
      <c r="D1" s="88"/>
      <c r="E1" s="107"/>
      <c r="F1" s="88"/>
      <c r="G1" s="88"/>
      <c r="H1" s="88"/>
      <c r="I1" s="88"/>
      <c r="J1" s="88"/>
      <c r="K1" s="88"/>
      <c r="L1" s="88"/>
      <c r="M1" s="88"/>
      <c r="N1" s="88"/>
    </row>
    <row r="2" spans="1:14" ht="36" customHeight="1" x14ac:dyDescent="0.25">
      <c r="A2" s="6" t="s">
        <v>9</v>
      </c>
      <c r="B2" s="6" t="s">
        <v>10</v>
      </c>
      <c r="C2" s="6" t="s">
        <v>11</v>
      </c>
      <c r="D2" s="6" t="s">
        <v>12</v>
      </c>
      <c r="E2" s="27"/>
      <c r="F2" s="28"/>
      <c r="G2" s="28"/>
      <c r="H2" s="28"/>
      <c r="I2" s="28"/>
      <c r="J2" s="28"/>
      <c r="K2" s="28"/>
      <c r="L2" s="28"/>
      <c r="M2" s="28"/>
      <c r="N2" s="28"/>
    </row>
    <row r="3" spans="1:14" ht="27.95" customHeight="1" x14ac:dyDescent="0.25">
      <c r="A3" s="29"/>
      <c r="B3" s="29"/>
      <c r="C3" s="29"/>
      <c r="D3" s="29"/>
      <c r="E3" s="30"/>
      <c r="F3" s="31"/>
      <c r="G3" s="31"/>
      <c r="H3" s="31"/>
      <c r="I3" s="31"/>
      <c r="J3" s="31"/>
      <c r="K3" s="31"/>
      <c r="L3" s="31"/>
      <c r="M3" s="31"/>
      <c r="N3" s="31"/>
    </row>
    <row r="4" spans="1:14" ht="30" customHeight="1" x14ac:dyDescent="0.25">
      <c r="A4" s="32" t="s">
        <v>13</v>
      </c>
      <c r="B4" s="33" t="s">
        <v>14</v>
      </c>
      <c r="C4" s="32" t="s">
        <v>15</v>
      </c>
      <c r="D4" s="34"/>
      <c r="E4" s="35"/>
      <c r="F4" s="35"/>
      <c r="G4" s="35"/>
      <c r="H4" s="35"/>
      <c r="I4" s="35"/>
      <c r="J4" s="35"/>
      <c r="K4" s="35"/>
      <c r="L4" s="35"/>
      <c r="M4" s="35"/>
      <c r="N4" s="35"/>
    </row>
    <row r="5" spans="1:14" ht="30" customHeight="1" x14ac:dyDescent="0.25">
      <c r="A5" s="36" t="s">
        <v>16</v>
      </c>
      <c r="B5" s="37" t="s">
        <v>17</v>
      </c>
      <c r="C5" s="36" t="s">
        <v>18</v>
      </c>
      <c r="D5" s="38"/>
      <c r="E5" s="39"/>
      <c r="F5" s="39"/>
      <c r="G5" s="39"/>
      <c r="H5" s="39"/>
      <c r="I5" s="39"/>
      <c r="J5" s="39"/>
      <c r="K5" s="39"/>
      <c r="L5" s="39"/>
      <c r="M5" s="39"/>
      <c r="N5" s="39"/>
    </row>
    <row r="6" spans="1:14" ht="30" customHeight="1" x14ac:dyDescent="0.25">
      <c r="A6" s="40" t="s">
        <v>19</v>
      </c>
      <c r="B6" s="33" t="s">
        <v>20</v>
      </c>
      <c r="C6" s="40" t="s">
        <v>21</v>
      </c>
      <c r="D6" s="34"/>
      <c r="E6" s="35"/>
      <c r="F6" s="35"/>
      <c r="G6" s="35"/>
      <c r="H6" s="35"/>
      <c r="I6" s="35"/>
      <c r="J6" s="35"/>
      <c r="K6" s="35"/>
      <c r="L6" s="35"/>
      <c r="M6" s="35"/>
      <c r="N6" s="35"/>
    </row>
    <row r="7" spans="1:14" ht="30" customHeight="1" x14ac:dyDescent="0.25">
      <c r="A7" s="32" t="s">
        <v>22</v>
      </c>
      <c r="B7" s="37" t="s">
        <v>23</v>
      </c>
      <c r="C7" s="32" t="s">
        <v>15</v>
      </c>
      <c r="D7" s="38"/>
      <c r="E7" s="39"/>
      <c r="F7" s="39"/>
      <c r="G7" s="39"/>
      <c r="H7" s="39"/>
      <c r="I7" s="39"/>
      <c r="J7" s="39"/>
      <c r="K7" s="39"/>
      <c r="L7" s="39"/>
      <c r="M7" s="39"/>
      <c r="N7" s="39"/>
    </row>
    <row r="8" spans="1:14" ht="30" customHeight="1" x14ac:dyDescent="0.25">
      <c r="A8" s="32" t="s">
        <v>24</v>
      </c>
      <c r="B8" s="33" t="s">
        <v>25</v>
      </c>
      <c r="C8" s="32" t="s">
        <v>15</v>
      </c>
      <c r="D8" s="34"/>
      <c r="E8" s="35"/>
      <c r="F8" s="35"/>
      <c r="G8" s="35"/>
      <c r="H8" s="35"/>
      <c r="I8" s="35"/>
      <c r="J8" s="35"/>
      <c r="K8" s="35"/>
      <c r="L8" s="35"/>
      <c r="M8" s="35"/>
      <c r="N8" s="35"/>
    </row>
    <row r="9" spans="1:14" ht="30" customHeight="1" x14ac:dyDescent="0.25">
      <c r="A9" s="32" t="s">
        <v>26</v>
      </c>
      <c r="B9" s="37" t="s">
        <v>27</v>
      </c>
      <c r="C9" s="32" t="s">
        <v>15</v>
      </c>
      <c r="D9" s="38"/>
      <c r="E9" s="39"/>
      <c r="F9" s="39"/>
      <c r="G9" s="39"/>
      <c r="H9" s="39"/>
      <c r="I9" s="39"/>
      <c r="J9" s="39"/>
      <c r="K9" s="39"/>
      <c r="L9" s="39"/>
      <c r="M9" s="39"/>
      <c r="N9" s="39"/>
    </row>
    <row r="10" spans="1:14" ht="30" customHeight="1" x14ac:dyDescent="0.25">
      <c r="A10" s="36" t="s">
        <v>28</v>
      </c>
      <c r="B10" s="33" t="s">
        <v>29</v>
      </c>
      <c r="C10" s="36" t="s">
        <v>18</v>
      </c>
      <c r="D10" s="34"/>
      <c r="E10" s="35"/>
      <c r="F10" s="35"/>
      <c r="G10" s="35"/>
      <c r="H10" s="35"/>
      <c r="I10" s="35"/>
      <c r="J10" s="35"/>
      <c r="K10" s="35"/>
      <c r="L10" s="35"/>
      <c r="M10" s="35"/>
      <c r="N10" s="35"/>
    </row>
    <row r="11" spans="1:14" ht="30" customHeight="1" x14ac:dyDescent="0.25">
      <c r="A11" s="36" t="s">
        <v>30</v>
      </c>
      <c r="B11" s="37" t="s">
        <v>31</v>
      </c>
      <c r="C11" s="36" t="s">
        <v>18</v>
      </c>
      <c r="D11" s="38"/>
      <c r="E11" s="39"/>
      <c r="F11" s="39"/>
      <c r="G11" s="39"/>
      <c r="H11" s="39"/>
      <c r="I11" s="39"/>
      <c r="J11" s="39"/>
      <c r="K11" s="39"/>
      <c r="L11" s="39"/>
      <c r="M11" s="39"/>
      <c r="N11" s="39"/>
    </row>
    <row r="12" spans="1:14" ht="30" customHeight="1" x14ac:dyDescent="0.25">
      <c r="A12" s="32" t="s">
        <v>32</v>
      </c>
      <c r="B12" s="33" t="s">
        <v>33</v>
      </c>
      <c r="C12" s="32" t="s">
        <v>15</v>
      </c>
      <c r="D12" s="34"/>
      <c r="E12" s="35"/>
      <c r="F12" s="35"/>
      <c r="G12" s="35"/>
      <c r="H12" s="35"/>
      <c r="I12" s="35"/>
      <c r="J12" s="35"/>
      <c r="K12" s="35"/>
      <c r="L12" s="35"/>
      <c r="M12" s="35"/>
      <c r="N12" s="35"/>
    </row>
    <row r="13" spans="1:14" ht="30" customHeight="1" x14ac:dyDescent="0.25">
      <c r="A13" s="32" t="s">
        <v>34</v>
      </c>
      <c r="B13" s="37" t="s">
        <v>35</v>
      </c>
      <c r="C13" s="32" t="s">
        <v>15</v>
      </c>
      <c r="D13" s="38"/>
      <c r="E13" s="39"/>
      <c r="F13" s="39"/>
      <c r="G13" s="39"/>
      <c r="H13" s="39"/>
      <c r="I13" s="39"/>
      <c r="J13" s="39"/>
      <c r="K13" s="39"/>
      <c r="L13" s="39"/>
      <c r="M13" s="39"/>
      <c r="N13" s="39"/>
    </row>
    <row r="14" spans="1:14" ht="30" customHeight="1" x14ac:dyDescent="0.25">
      <c r="A14" s="32" t="s">
        <v>36</v>
      </c>
      <c r="B14" s="33" t="s">
        <v>37</v>
      </c>
      <c r="C14" s="32" t="s">
        <v>15</v>
      </c>
      <c r="D14" s="34"/>
      <c r="E14" s="35"/>
      <c r="F14" s="35"/>
      <c r="G14" s="35"/>
      <c r="H14" s="35"/>
      <c r="I14" s="35"/>
      <c r="J14" s="35"/>
      <c r="K14" s="35"/>
      <c r="L14" s="35"/>
      <c r="M14" s="35"/>
      <c r="N14" s="35"/>
    </row>
    <row r="15" spans="1:14" ht="30" customHeight="1" x14ac:dyDescent="0.25">
      <c r="A15" s="40" t="s">
        <v>38</v>
      </c>
      <c r="B15" s="37" t="s">
        <v>39</v>
      </c>
      <c r="C15" s="40" t="s">
        <v>21</v>
      </c>
      <c r="D15" s="38"/>
      <c r="E15" s="39"/>
      <c r="F15" s="39"/>
      <c r="G15" s="39"/>
      <c r="H15" s="39"/>
      <c r="I15" s="39"/>
      <c r="J15" s="39"/>
      <c r="K15" s="39"/>
      <c r="L15" s="39"/>
      <c r="M15" s="39"/>
      <c r="N15" s="39"/>
    </row>
    <row r="16" spans="1:14" ht="30" customHeight="1" x14ac:dyDescent="0.25">
      <c r="A16" s="32" t="s">
        <v>40</v>
      </c>
      <c r="B16" s="33" t="s">
        <v>41</v>
      </c>
      <c r="C16" s="32" t="s">
        <v>15</v>
      </c>
      <c r="D16" s="34"/>
      <c r="E16" s="35"/>
      <c r="F16" s="35"/>
      <c r="G16" s="35"/>
      <c r="H16" s="35"/>
      <c r="I16" s="35"/>
      <c r="J16" s="35"/>
      <c r="K16" s="35"/>
      <c r="L16" s="35"/>
      <c r="M16" s="35"/>
      <c r="N16" s="35"/>
    </row>
    <row r="17" spans="1:14" ht="30" customHeight="1" x14ac:dyDescent="0.25">
      <c r="A17" s="32" t="s">
        <v>42</v>
      </c>
      <c r="B17" s="37" t="s">
        <v>43</v>
      </c>
      <c r="C17" s="32" t="s">
        <v>15</v>
      </c>
      <c r="D17" s="38"/>
      <c r="E17" s="39"/>
      <c r="F17" s="39"/>
      <c r="G17" s="39"/>
      <c r="H17" s="39"/>
      <c r="I17" s="39"/>
      <c r="J17" s="39"/>
      <c r="K17" s="39"/>
      <c r="L17" s="39"/>
      <c r="M17" s="39"/>
      <c r="N17" s="39"/>
    </row>
    <row r="18" spans="1:14" ht="30" customHeight="1" x14ac:dyDescent="0.25">
      <c r="A18" s="32" t="s">
        <v>44</v>
      </c>
      <c r="B18" s="33" t="s">
        <v>45</v>
      </c>
      <c r="C18" s="32" t="s">
        <v>15</v>
      </c>
      <c r="D18" s="34"/>
      <c r="E18" s="35"/>
      <c r="F18" s="35"/>
      <c r="G18" s="35"/>
      <c r="H18" s="35"/>
      <c r="I18" s="35"/>
      <c r="J18" s="35"/>
      <c r="K18" s="35"/>
      <c r="L18" s="35"/>
      <c r="M18" s="35"/>
      <c r="N18" s="35"/>
    </row>
    <row r="19" spans="1:14" ht="30" customHeight="1" x14ac:dyDescent="0.25">
      <c r="A19" s="36" t="s">
        <v>46</v>
      </c>
      <c r="B19" s="37" t="s">
        <v>47</v>
      </c>
      <c r="C19" s="36" t="s">
        <v>18</v>
      </c>
      <c r="D19" s="38"/>
      <c r="E19" s="39"/>
      <c r="F19" s="39"/>
      <c r="G19" s="39"/>
      <c r="H19" s="39"/>
      <c r="I19" s="39"/>
      <c r="J19" s="39"/>
      <c r="K19" s="39"/>
      <c r="L19" s="39"/>
      <c r="M19" s="39"/>
      <c r="N19" s="39"/>
    </row>
    <row r="20" spans="1:14" ht="30" customHeight="1" x14ac:dyDescent="0.25">
      <c r="A20" s="32" t="s">
        <v>48</v>
      </c>
      <c r="B20" s="33" t="s">
        <v>49</v>
      </c>
      <c r="C20" s="32" t="s">
        <v>15</v>
      </c>
      <c r="D20" s="34" t="s">
        <v>50</v>
      </c>
      <c r="E20" s="35"/>
      <c r="F20" s="35"/>
      <c r="G20" s="35"/>
      <c r="H20" s="35"/>
      <c r="I20" s="35"/>
      <c r="J20" s="35"/>
      <c r="K20" s="35"/>
      <c r="L20" s="35"/>
      <c r="M20" s="35"/>
      <c r="N20" s="35"/>
    </row>
    <row r="21" spans="1:14" ht="30" customHeight="1" x14ac:dyDescent="0.25">
      <c r="A21" s="36" t="s">
        <v>51</v>
      </c>
      <c r="B21" s="37" t="s">
        <v>52</v>
      </c>
      <c r="C21" s="36" t="s">
        <v>18</v>
      </c>
      <c r="D21" s="38"/>
      <c r="E21" s="39"/>
      <c r="F21" s="39"/>
      <c r="G21" s="39"/>
      <c r="H21" s="39"/>
      <c r="I21" s="39"/>
      <c r="J21" s="39"/>
      <c r="K21" s="39"/>
      <c r="L21" s="39"/>
      <c r="M21" s="39"/>
      <c r="N21" s="39"/>
    </row>
    <row r="22" spans="1:14" ht="30" customHeight="1" x14ac:dyDescent="0.25">
      <c r="A22" s="32" t="s">
        <v>53</v>
      </c>
      <c r="B22" s="33" t="s">
        <v>54</v>
      </c>
      <c r="C22" s="32" t="s">
        <v>15</v>
      </c>
      <c r="D22" s="34"/>
      <c r="E22" s="35"/>
      <c r="F22" s="35"/>
      <c r="G22" s="35"/>
      <c r="H22" s="35"/>
      <c r="I22" s="35"/>
      <c r="J22" s="35"/>
      <c r="K22" s="35"/>
      <c r="L22" s="35"/>
      <c r="M22" s="35"/>
      <c r="N22" s="35"/>
    </row>
    <row r="23" spans="1:14" ht="30" customHeight="1" x14ac:dyDescent="0.25">
      <c r="A23" s="32" t="s">
        <v>55</v>
      </c>
      <c r="B23" s="37" t="s">
        <v>56</v>
      </c>
      <c r="C23" s="32" t="s">
        <v>15</v>
      </c>
      <c r="D23" s="38"/>
      <c r="E23" s="39"/>
      <c r="F23" s="39"/>
      <c r="G23" s="39"/>
      <c r="H23" s="39"/>
      <c r="I23" s="39"/>
      <c r="J23" s="39"/>
      <c r="K23" s="39"/>
      <c r="L23" s="39"/>
      <c r="M23" s="39"/>
      <c r="N23" s="39"/>
    </row>
    <row r="24" spans="1:14" ht="30" customHeight="1" x14ac:dyDescent="0.25">
      <c r="A24" s="40" t="s">
        <v>57</v>
      </c>
      <c r="B24" s="33" t="s">
        <v>58</v>
      </c>
      <c r="C24" s="40" t="s">
        <v>21</v>
      </c>
      <c r="D24" s="34"/>
      <c r="E24" s="35"/>
      <c r="F24" s="35"/>
      <c r="G24" s="35"/>
      <c r="H24" s="35"/>
      <c r="I24" s="35"/>
      <c r="J24" s="35"/>
      <c r="K24" s="35"/>
      <c r="L24" s="35"/>
      <c r="M24" s="35"/>
      <c r="N24" s="35"/>
    </row>
    <row r="25" spans="1:14" ht="30" customHeight="1" x14ac:dyDescent="0.25">
      <c r="A25" s="32" t="s">
        <v>59</v>
      </c>
      <c r="B25" s="37" t="s">
        <v>60</v>
      </c>
      <c r="C25" s="32" t="s">
        <v>15</v>
      </c>
      <c r="D25" s="38"/>
      <c r="E25" s="39"/>
      <c r="F25" s="39"/>
      <c r="G25" s="39"/>
      <c r="H25" s="39"/>
      <c r="I25" s="39"/>
      <c r="J25" s="39"/>
      <c r="K25" s="39"/>
      <c r="L25" s="39"/>
      <c r="M25" s="39"/>
      <c r="N25" s="39"/>
    </row>
    <row r="26" spans="1:14" ht="30" customHeight="1" x14ac:dyDescent="0.25">
      <c r="A26" s="40" t="s">
        <v>61</v>
      </c>
      <c r="B26" s="33" t="s">
        <v>62</v>
      </c>
      <c r="C26" s="40" t="s">
        <v>21</v>
      </c>
      <c r="D26" s="34"/>
      <c r="E26" s="35"/>
      <c r="F26" s="35"/>
      <c r="G26" s="35"/>
      <c r="H26" s="35"/>
      <c r="I26" s="35"/>
      <c r="J26" s="35"/>
      <c r="K26" s="35"/>
      <c r="L26" s="35"/>
      <c r="M26" s="35"/>
      <c r="N26" s="35"/>
    </row>
    <row r="27" spans="1:14" ht="30" customHeight="1" x14ac:dyDescent="0.25">
      <c r="A27" s="32" t="s">
        <v>63</v>
      </c>
      <c r="B27" s="37" t="s">
        <v>64</v>
      </c>
      <c r="C27" s="32" t="s">
        <v>15</v>
      </c>
      <c r="D27" s="38"/>
      <c r="E27" s="39"/>
      <c r="F27" s="39"/>
      <c r="G27" s="39"/>
      <c r="H27" s="39"/>
      <c r="I27" s="39"/>
      <c r="J27" s="39"/>
      <c r="K27" s="39"/>
      <c r="L27" s="39"/>
      <c r="M27" s="39"/>
      <c r="N27" s="39"/>
    </row>
    <row r="28" spans="1:14" ht="30" customHeight="1" x14ac:dyDescent="0.25">
      <c r="A28" s="36" t="s">
        <v>65</v>
      </c>
      <c r="B28" s="33" t="s">
        <v>66</v>
      </c>
      <c r="C28" s="36" t="s">
        <v>18</v>
      </c>
      <c r="D28" s="34"/>
      <c r="E28" s="35"/>
      <c r="F28" s="35"/>
      <c r="G28" s="35"/>
      <c r="H28" s="35"/>
      <c r="I28" s="35"/>
      <c r="J28" s="35"/>
      <c r="K28" s="35"/>
      <c r="L28" s="35"/>
      <c r="M28" s="35"/>
      <c r="N28" s="35"/>
    </row>
    <row r="29" spans="1:14" ht="30" customHeight="1" x14ac:dyDescent="0.25">
      <c r="A29" s="36" t="s">
        <v>67</v>
      </c>
      <c r="B29" s="37" t="s">
        <v>68</v>
      </c>
      <c r="C29" s="36" t="s">
        <v>18</v>
      </c>
      <c r="D29" s="38"/>
      <c r="E29" s="39"/>
      <c r="F29" s="39"/>
      <c r="G29" s="39"/>
      <c r="H29" s="39"/>
      <c r="I29" s="39"/>
      <c r="J29" s="39"/>
      <c r="K29" s="39"/>
      <c r="L29" s="39"/>
      <c r="M29" s="39"/>
      <c r="N29" s="39"/>
    </row>
    <row r="30" spans="1:14" ht="30" customHeight="1" x14ac:dyDescent="0.25">
      <c r="A30" s="36" t="s">
        <v>69</v>
      </c>
      <c r="B30" s="33" t="s">
        <v>70</v>
      </c>
      <c r="C30" s="36" t="s">
        <v>18</v>
      </c>
      <c r="D30" s="34"/>
      <c r="E30" s="35"/>
      <c r="F30" s="35"/>
      <c r="G30" s="35"/>
      <c r="H30" s="35"/>
      <c r="I30" s="35"/>
      <c r="J30" s="35"/>
      <c r="K30" s="35"/>
      <c r="L30" s="35"/>
      <c r="M30" s="35"/>
      <c r="N30" s="35"/>
    </row>
    <row r="31" spans="1:14" ht="30" customHeight="1" x14ac:dyDescent="0.25">
      <c r="A31" s="32" t="s">
        <v>71</v>
      </c>
      <c r="B31" s="37" t="s">
        <v>72</v>
      </c>
      <c r="C31" s="32" t="s">
        <v>15</v>
      </c>
      <c r="D31" s="38"/>
      <c r="E31" s="39"/>
      <c r="F31" s="39"/>
      <c r="G31" s="39"/>
      <c r="H31" s="39"/>
      <c r="I31" s="39"/>
      <c r="J31" s="39"/>
      <c r="K31" s="39"/>
      <c r="L31" s="39"/>
      <c r="M31" s="39"/>
      <c r="N31" s="39"/>
    </row>
    <row r="32" spans="1:14" ht="30" customHeight="1" x14ac:dyDescent="0.25">
      <c r="A32" s="36" t="s">
        <v>73</v>
      </c>
      <c r="B32" s="33" t="s">
        <v>74</v>
      </c>
      <c r="C32" s="36" t="s">
        <v>18</v>
      </c>
      <c r="D32" s="34"/>
      <c r="E32" s="35"/>
      <c r="F32" s="35"/>
      <c r="G32" s="35"/>
      <c r="H32" s="35"/>
      <c r="I32" s="35"/>
      <c r="J32" s="35"/>
      <c r="K32" s="35"/>
      <c r="L32" s="35"/>
      <c r="M32" s="35"/>
      <c r="N32" s="35"/>
    </row>
    <row r="33" spans="1:14" ht="30" customHeight="1" x14ac:dyDescent="0.25">
      <c r="A33" s="32" t="s">
        <v>75</v>
      </c>
      <c r="B33" s="37" t="s">
        <v>76</v>
      </c>
      <c r="C33" s="32" t="s">
        <v>15</v>
      </c>
      <c r="D33" s="38"/>
      <c r="E33" s="39"/>
      <c r="F33" s="39"/>
      <c r="G33" s="39"/>
      <c r="H33" s="39"/>
      <c r="I33" s="39"/>
      <c r="J33" s="39"/>
      <c r="K33" s="39"/>
      <c r="L33" s="39"/>
      <c r="M33" s="39"/>
      <c r="N33" s="39"/>
    </row>
    <row r="34" spans="1:14" ht="30" customHeight="1" x14ac:dyDescent="0.25">
      <c r="A34" s="36" t="s">
        <v>77</v>
      </c>
      <c r="B34" s="33" t="s">
        <v>78</v>
      </c>
      <c r="C34" s="36" t="s">
        <v>18</v>
      </c>
      <c r="D34" s="34" t="s">
        <v>50</v>
      </c>
      <c r="E34" s="35"/>
      <c r="F34" s="35"/>
      <c r="G34" s="35"/>
      <c r="H34" s="35"/>
      <c r="I34" s="35"/>
      <c r="J34" s="35"/>
      <c r="K34" s="35"/>
      <c r="L34" s="35"/>
      <c r="M34" s="35"/>
      <c r="N34" s="35"/>
    </row>
    <row r="35" spans="1:14" ht="30" customHeight="1" x14ac:dyDescent="0.25">
      <c r="A35" s="36" t="s">
        <v>79</v>
      </c>
      <c r="B35" s="37" t="s">
        <v>80</v>
      </c>
      <c r="C35" s="36" t="s">
        <v>18</v>
      </c>
      <c r="D35" s="38" t="s">
        <v>50</v>
      </c>
      <c r="E35" s="39"/>
      <c r="F35" s="39"/>
      <c r="G35" s="39"/>
      <c r="H35" s="39"/>
      <c r="I35" s="39"/>
      <c r="J35" s="39"/>
      <c r="K35" s="39"/>
      <c r="L35" s="39"/>
      <c r="M35" s="39"/>
      <c r="N35" s="39"/>
    </row>
    <row r="36" spans="1:14" ht="30" customHeight="1" x14ac:dyDescent="0.25">
      <c r="A36" s="36" t="s">
        <v>81</v>
      </c>
      <c r="B36" s="33" t="s">
        <v>82</v>
      </c>
      <c r="C36" s="36" t="s">
        <v>18</v>
      </c>
      <c r="D36" s="34"/>
      <c r="E36" s="35"/>
      <c r="F36" s="35"/>
      <c r="G36" s="35"/>
      <c r="H36" s="35"/>
      <c r="I36" s="35"/>
      <c r="J36" s="35"/>
      <c r="K36" s="35"/>
      <c r="L36" s="35"/>
      <c r="M36" s="35"/>
      <c r="N36" s="35"/>
    </row>
    <row r="37" spans="1:14" ht="30" customHeight="1" x14ac:dyDescent="0.25">
      <c r="A37" s="32" t="s">
        <v>83</v>
      </c>
      <c r="B37" s="37" t="s">
        <v>84</v>
      </c>
      <c r="C37" s="32" t="s">
        <v>15</v>
      </c>
      <c r="D37" s="38"/>
      <c r="E37" s="39"/>
      <c r="F37" s="39"/>
      <c r="G37" s="39"/>
      <c r="H37" s="39"/>
      <c r="I37" s="39"/>
      <c r="J37" s="39"/>
      <c r="K37" s="39"/>
      <c r="L37" s="39"/>
      <c r="M37" s="39"/>
      <c r="N37" s="39"/>
    </row>
    <row r="38" spans="1:14" ht="30" customHeight="1" x14ac:dyDescent="0.25">
      <c r="A38" s="36" t="s">
        <v>85</v>
      </c>
      <c r="B38" s="33" t="s">
        <v>86</v>
      </c>
      <c r="C38" s="36" t="s">
        <v>18</v>
      </c>
      <c r="D38" s="34"/>
      <c r="E38" s="35"/>
      <c r="F38" s="35"/>
      <c r="G38" s="35"/>
      <c r="H38" s="35"/>
      <c r="I38" s="35"/>
      <c r="J38" s="35"/>
      <c r="K38" s="35"/>
      <c r="L38" s="35"/>
      <c r="M38" s="35"/>
      <c r="N38" s="35"/>
    </row>
    <row r="39" spans="1:14" ht="30" customHeight="1" x14ac:dyDescent="0.25">
      <c r="A39" s="36" t="s">
        <v>87</v>
      </c>
      <c r="B39" s="37" t="s">
        <v>88</v>
      </c>
      <c r="C39" s="36" t="s">
        <v>18</v>
      </c>
      <c r="D39" s="38"/>
      <c r="E39" s="39"/>
      <c r="F39" s="39"/>
      <c r="G39" s="39"/>
      <c r="H39" s="39"/>
      <c r="I39" s="39"/>
      <c r="J39" s="39"/>
      <c r="K39" s="39"/>
      <c r="L39" s="39"/>
      <c r="M39" s="39"/>
      <c r="N39" s="39"/>
    </row>
    <row r="40" spans="1:14" ht="30" customHeight="1" x14ac:dyDescent="0.25">
      <c r="A40" s="36" t="s">
        <v>89</v>
      </c>
      <c r="B40" s="33" t="s">
        <v>90</v>
      </c>
      <c r="C40" s="36" t="s">
        <v>18</v>
      </c>
      <c r="D40" s="34"/>
      <c r="E40" s="35"/>
      <c r="F40" s="35"/>
      <c r="G40" s="35"/>
      <c r="H40" s="35"/>
      <c r="I40" s="35"/>
      <c r="J40" s="35"/>
      <c r="K40" s="35"/>
      <c r="L40" s="35"/>
      <c r="M40" s="35"/>
      <c r="N40" s="35"/>
    </row>
    <row r="41" spans="1:14" ht="30" customHeight="1" x14ac:dyDescent="0.25">
      <c r="A41" s="32" t="s">
        <v>91</v>
      </c>
      <c r="B41" s="37" t="s">
        <v>92</v>
      </c>
      <c r="C41" s="32" t="s">
        <v>15</v>
      </c>
      <c r="D41" s="38"/>
      <c r="E41" s="39"/>
      <c r="F41" s="39"/>
      <c r="G41" s="39"/>
      <c r="H41" s="39"/>
      <c r="I41" s="39"/>
      <c r="J41" s="39"/>
      <c r="K41" s="39"/>
      <c r="L41" s="39"/>
      <c r="M41" s="39"/>
      <c r="N41" s="39"/>
    </row>
    <row r="42" spans="1:14" ht="30" customHeight="1" x14ac:dyDescent="0.25">
      <c r="A42" s="36" t="s">
        <v>93</v>
      </c>
      <c r="B42" s="33" t="s">
        <v>94</v>
      </c>
      <c r="C42" s="36" t="s">
        <v>18</v>
      </c>
      <c r="D42" s="34"/>
      <c r="E42" s="35"/>
      <c r="F42" s="35"/>
      <c r="G42" s="35"/>
      <c r="H42" s="35"/>
      <c r="I42" s="35"/>
      <c r="J42" s="35"/>
      <c r="K42" s="35"/>
      <c r="L42" s="35"/>
      <c r="M42" s="35"/>
      <c r="N42" s="35"/>
    </row>
    <row r="43" spans="1:14" ht="30" customHeight="1" x14ac:dyDescent="0.25">
      <c r="A43" s="36" t="s">
        <v>95</v>
      </c>
      <c r="B43" s="37" t="s">
        <v>96</v>
      </c>
      <c r="C43" s="36" t="s">
        <v>18</v>
      </c>
      <c r="D43" s="38"/>
      <c r="E43" s="39"/>
      <c r="F43" s="39"/>
      <c r="G43" s="39"/>
      <c r="H43" s="39"/>
      <c r="I43" s="39"/>
      <c r="J43" s="39"/>
      <c r="K43" s="39"/>
      <c r="L43" s="39"/>
      <c r="M43" s="39"/>
      <c r="N43" s="39"/>
    </row>
    <row r="44" spans="1:14" ht="30" customHeight="1" x14ac:dyDescent="0.25">
      <c r="A44" s="40" t="s">
        <v>97</v>
      </c>
      <c r="B44" s="33" t="s">
        <v>98</v>
      </c>
      <c r="C44" s="40" t="s">
        <v>21</v>
      </c>
      <c r="D44" s="34"/>
      <c r="E44" s="35"/>
      <c r="F44" s="35"/>
      <c r="G44" s="35"/>
      <c r="H44" s="35"/>
      <c r="I44" s="35"/>
      <c r="J44" s="35"/>
      <c r="K44" s="35"/>
      <c r="L44" s="35"/>
      <c r="M44" s="35"/>
      <c r="N44" s="35"/>
    </row>
    <row r="45" spans="1:14" ht="30" customHeight="1" x14ac:dyDescent="0.25">
      <c r="A45" s="32" t="s">
        <v>99</v>
      </c>
      <c r="B45" s="37" t="s">
        <v>100</v>
      </c>
      <c r="C45" s="32" t="s">
        <v>15</v>
      </c>
      <c r="D45" s="38"/>
      <c r="E45" s="39"/>
      <c r="F45" s="39"/>
      <c r="G45" s="39"/>
      <c r="H45" s="39"/>
      <c r="I45" s="39"/>
      <c r="J45" s="39"/>
      <c r="K45" s="39"/>
      <c r="L45" s="39"/>
      <c r="M45" s="39"/>
      <c r="N45" s="39"/>
    </row>
    <row r="46" spans="1:14" ht="30" customHeight="1" x14ac:dyDescent="0.25">
      <c r="A46" s="32" t="s">
        <v>101</v>
      </c>
      <c r="B46" s="33" t="s">
        <v>102</v>
      </c>
      <c r="C46" s="32" t="s">
        <v>15</v>
      </c>
      <c r="D46" s="34"/>
      <c r="E46" s="35"/>
      <c r="F46" s="35"/>
      <c r="G46" s="35"/>
      <c r="H46" s="35"/>
      <c r="I46" s="35"/>
      <c r="J46" s="35"/>
      <c r="K46" s="35"/>
      <c r="L46" s="35"/>
      <c r="M46" s="35"/>
      <c r="N46" s="35"/>
    </row>
    <row r="47" spans="1:14" ht="30" customHeight="1" x14ac:dyDescent="0.25">
      <c r="A47" s="36" t="s">
        <v>103</v>
      </c>
      <c r="B47" s="37" t="s">
        <v>104</v>
      </c>
      <c r="C47" s="36" t="s">
        <v>18</v>
      </c>
      <c r="D47" s="38"/>
      <c r="E47" s="39"/>
      <c r="F47" s="39"/>
      <c r="G47" s="39"/>
      <c r="H47" s="39"/>
      <c r="I47" s="39"/>
      <c r="J47" s="39"/>
      <c r="K47" s="39"/>
      <c r="L47" s="39"/>
      <c r="M47" s="39"/>
      <c r="N47" s="39"/>
    </row>
    <row r="48" spans="1:14" ht="30" customHeight="1" x14ac:dyDescent="0.25">
      <c r="A48" s="40" t="s">
        <v>105</v>
      </c>
      <c r="B48" s="33" t="s">
        <v>106</v>
      </c>
      <c r="C48" s="40" t="s">
        <v>21</v>
      </c>
      <c r="D48" s="34"/>
      <c r="E48" s="35"/>
      <c r="F48" s="35"/>
      <c r="G48" s="35"/>
      <c r="H48" s="35"/>
      <c r="I48" s="35"/>
      <c r="J48" s="35"/>
      <c r="K48" s="35"/>
      <c r="L48" s="35"/>
      <c r="M48" s="35"/>
      <c r="N48" s="35"/>
    </row>
    <row r="49" spans="1:14" ht="30" customHeight="1" x14ac:dyDescent="0.25">
      <c r="A49" s="32" t="s">
        <v>107</v>
      </c>
      <c r="B49" s="37" t="s">
        <v>108</v>
      </c>
      <c r="C49" s="32" t="s">
        <v>15</v>
      </c>
      <c r="D49" s="38"/>
      <c r="E49" s="39"/>
      <c r="F49" s="39"/>
      <c r="G49" s="39"/>
      <c r="H49" s="39"/>
      <c r="I49" s="39"/>
      <c r="J49" s="39"/>
      <c r="K49" s="39"/>
      <c r="L49" s="39"/>
      <c r="M49" s="39"/>
      <c r="N49" s="39"/>
    </row>
    <row r="50" spans="1:14" ht="30" customHeight="1" x14ac:dyDescent="0.25">
      <c r="A50" s="32" t="s">
        <v>109</v>
      </c>
      <c r="B50" s="33" t="s">
        <v>110</v>
      </c>
      <c r="C50" s="32" t="s">
        <v>15</v>
      </c>
      <c r="D50" s="34"/>
      <c r="E50" s="35"/>
      <c r="F50" s="35"/>
      <c r="G50" s="35"/>
      <c r="H50" s="35"/>
      <c r="I50" s="35"/>
      <c r="J50" s="35"/>
      <c r="K50" s="35"/>
      <c r="L50" s="35"/>
      <c r="M50" s="35"/>
      <c r="N50" s="35"/>
    </row>
    <row r="51" spans="1:14" ht="30" customHeight="1" x14ac:dyDescent="0.25">
      <c r="A51" s="32" t="s">
        <v>111</v>
      </c>
      <c r="B51" s="37" t="s">
        <v>112</v>
      </c>
      <c r="C51" s="32" t="s">
        <v>15</v>
      </c>
      <c r="D51" s="38"/>
      <c r="E51" s="39"/>
      <c r="F51" s="39"/>
      <c r="G51" s="39"/>
      <c r="H51" s="39"/>
      <c r="I51" s="39"/>
      <c r="J51" s="39"/>
      <c r="K51" s="39"/>
      <c r="L51" s="39"/>
      <c r="M51" s="39"/>
      <c r="N51" s="39"/>
    </row>
    <row r="52" spans="1:14" ht="30" customHeight="1" x14ac:dyDescent="0.25">
      <c r="A52" s="36" t="s">
        <v>113</v>
      </c>
      <c r="B52" s="33" t="s">
        <v>114</v>
      </c>
      <c r="C52" s="36" t="s">
        <v>18</v>
      </c>
      <c r="D52" s="34"/>
      <c r="E52" s="35"/>
      <c r="F52" s="35"/>
      <c r="G52" s="35"/>
      <c r="H52" s="35"/>
      <c r="I52" s="35"/>
      <c r="J52" s="35"/>
      <c r="K52" s="35"/>
      <c r="L52" s="35"/>
      <c r="M52" s="35"/>
      <c r="N52" s="35"/>
    </row>
    <row r="53" spans="1:14" ht="30" customHeight="1" x14ac:dyDescent="0.25">
      <c r="A53" s="32" t="s">
        <v>115</v>
      </c>
      <c r="B53" s="37" t="s">
        <v>116</v>
      </c>
      <c r="C53" s="32" t="s">
        <v>15</v>
      </c>
      <c r="D53" s="38"/>
      <c r="E53" s="39"/>
      <c r="F53" s="39"/>
      <c r="G53" s="39"/>
      <c r="H53" s="39"/>
      <c r="I53" s="39"/>
      <c r="J53" s="39"/>
      <c r="K53" s="39"/>
      <c r="L53" s="39"/>
      <c r="M53" s="39"/>
      <c r="N53" s="39"/>
    </row>
    <row r="54" spans="1:14" ht="30" customHeight="1" x14ac:dyDescent="0.25">
      <c r="A54" s="36" t="s">
        <v>117</v>
      </c>
      <c r="B54" s="33" t="s">
        <v>118</v>
      </c>
      <c r="C54" s="36" t="s">
        <v>18</v>
      </c>
      <c r="D54" s="34" t="s">
        <v>50</v>
      </c>
      <c r="E54" s="35"/>
      <c r="F54" s="35"/>
      <c r="G54" s="35"/>
      <c r="H54" s="35"/>
      <c r="I54" s="35"/>
      <c r="J54" s="35"/>
      <c r="K54" s="35"/>
      <c r="L54" s="35"/>
      <c r="M54" s="35"/>
      <c r="N54" s="35"/>
    </row>
    <row r="55" spans="1:14" ht="30" customHeight="1" x14ac:dyDescent="0.25">
      <c r="A55" s="32" t="s">
        <v>119</v>
      </c>
      <c r="B55" s="37" t="s">
        <v>120</v>
      </c>
      <c r="C55" s="32" t="s">
        <v>15</v>
      </c>
      <c r="D55" s="38"/>
      <c r="E55" s="39"/>
      <c r="F55" s="39"/>
      <c r="G55" s="39"/>
      <c r="H55" s="39"/>
      <c r="I55" s="39"/>
      <c r="J55" s="39"/>
      <c r="K55" s="39"/>
      <c r="L55" s="39"/>
      <c r="M55" s="39"/>
      <c r="N55" s="39"/>
    </row>
    <row r="56" spans="1:14" ht="30" customHeight="1" x14ac:dyDescent="0.25">
      <c r="A56" s="36" t="s">
        <v>121</v>
      </c>
      <c r="B56" s="33" t="s">
        <v>122</v>
      </c>
      <c r="C56" s="36" t="s">
        <v>18</v>
      </c>
      <c r="D56" s="34"/>
      <c r="E56" s="35"/>
      <c r="F56" s="35"/>
      <c r="G56" s="35"/>
      <c r="H56" s="35"/>
      <c r="I56" s="35"/>
      <c r="J56" s="35"/>
      <c r="K56" s="35"/>
      <c r="L56" s="35"/>
      <c r="M56" s="35"/>
      <c r="N56" s="35"/>
    </row>
    <row r="57" spans="1:14" ht="30" customHeight="1" x14ac:dyDescent="0.25">
      <c r="A57" s="40" t="s">
        <v>123</v>
      </c>
      <c r="B57" s="37" t="s">
        <v>124</v>
      </c>
      <c r="C57" s="40" t="s">
        <v>21</v>
      </c>
      <c r="D57" s="38"/>
      <c r="E57" s="39"/>
      <c r="F57" s="39"/>
      <c r="G57" s="39"/>
      <c r="H57" s="39"/>
      <c r="I57" s="39"/>
      <c r="J57" s="39"/>
      <c r="K57" s="39"/>
      <c r="L57" s="39"/>
      <c r="M57" s="39"/>
      <c r="N57" s="39"/>
    </row>
    <row r="58" spans="1:14" ht="30" customHeight="1" x14ac:dyDescent="0.25">
      <c r="A58" s="40" t="s">
        <v>125</v>
      </c>
      <c r="B58" s="33" t="s">
        <v>126</v>
      </c>
      <c r="C58" s="40" t="s">
        <v>21</v>
      </c>
      <c r="D58" s="34"/>
      <c r="E58" s="35"/>
      <c r="F58" s="35"/>
      <c r="G58" s="35"/>
      <c r="H58" s="35"/>
      <c r="I58" s="35"/>
      <c r="J58" s="35"/>
      <c r="K58" s="35"/>
      <c r="L58" s="35"/>
      <c r="M58" s="35"/>
      <c r="N58" s="35"/>
    </row>
    <row r="59" spans="1:14" ht="30" customHeight="1" x14ac:dyDescent="0.25">
      <c r="A59" s="32" t="s">
        <v>127</v>
      </c>
      <c r="B59" s="37" t="s">
        <v>128</v>
      </c>
      <c r="C59" s="32" t="s">
        <v>15</v>
      </c>
      <c r="D59" s="38"/>
      <c r="E59" s="39"/>
      <c r="F59" s="39"/>
      <c r="G59" s="39"/>
      <c r="H59" s="39"/>
      <c r="I59" s="39"/>
      <c r="J59" s="39"/>
      <c r="K59" s="39"/>
      <c r="L59" s="39"/>
      <c r="M59" s="39"/>
      <c r="N59" s="39"/>
    </row>
    <row r="60" spans="1:14" ht="30" customHeight="1" x14ac:dyDescent="0.25">
      <c r="A60" s="40" t="s">
        <v>129</v>
      </c>
      <c r="B60" s="33" t="s">
        <v>130</v>
      </c>
      <c r="C60" s="40" t="s">
        <v>21</v>
      </c>
      <c r="D60" s="34" t="s">
        <v>50</v>
      </c>
      <c r="E60" s="35"/>
      <c r="F60" s="35"/>
      <c r="G60" s="35"/>
      <c r="H60" s="35"/>
      <c r="I60" s="35"/>
      <c r="J60" s="35"/>
      <c r="K60" s="35"/>
      <c r="L60" s="35"/>
      <c r="M60" s="35"/>
      <c r="N60" s="35"/>
    </row>
    <row r="61" spans="1:14" ht="30" customHeight="1" x14ac:dyDescent="0.25">
      <c r="A61" s="32" t="s">
        <v>131</v>
      </c>
      <c r="B61" s="37" t="s">
        <v>132</v>
      </c>
      <c r="C61" s="32" t="s">
        <v>15</v>
      </c>
      <c r="D61" s="38"/>
      <c r="E61" s="39"/>
      <c r="F61" s="39"/>
      <c r="G61" s="39"/>
      <c r="H61" s="39"/>
      <c r="I61" s="39"/>
      <c r="J61" s="39"/>
      <c r="K61" s="39"/>
      <c r="L61" s="39"/>
      <c r="M61" s="39"/>
      <c r="N61" s="39"/>
    </row>
    <row r="62" spans="1:14" ht="30" customHeight="1" x14ac:dyDescent="0.25">
      <c r="A62" s="32" t="s">
        <v>133</v>
      </c>
      <c r="B62" s="33" t="s">
        <v>134</v>
      </c>
      <c r="C62" s="32" t="s">
        <v>15</v>
      </c>
      <c r="D62" s="34"/>
      <c r="E62" s="35"/>
      <c r="F62" s="35"/>
      <c r="G62" s="35"/>
      <c r="H62" s="35"/>
      <c r="I62" s="35"/>
      <c r="J62" s="35"/>
      <c r="K62" s="35"/>
      <c r="L62" s="35"/>
      <c r="M62" s="35"/>
      <c r="N62" s="35"/>
    </row>
    <row r="63" spans="1:14" ht="30" customHeight="1" x14ac:dyDescent="0.25">
      <c r="A63" s="36" t="s">
        <v>135</v>
      </c>
      <c r="B63" s="37" t="s">
        <v>136</v>
      </c>
      <c r="C63" s="36" t="s">
        <v>18</v>
      </c>
      <c r="D63" s="38"/>
      <c r="E63" s="39"/>
      <c r="F63" s="39"/>
      <c r="G63" s="39"/>
      <c r="H63" s="39"/>
      <c r="I63" s="39"/>
      <c r="J63" s="39"/>
      <c r="K63" s="39"/>
      <c r="L63" s="39"/>
      <c r="M63" s="39"/>
      <c r="N63" s="39"/>
    </row>
    <row r="64" spans="1:14" ht="30" customHeight="1" x14ac:dyDescent="0.25">
      <c r="A64" s="32" t="s">
        <v>137</v>
      </c>
      <c r="B64" s="33" t="s">
        <v>138</v>
      </c>
      <c r="C64" s="32" t="s">
        <v>15</v>
      </c>
      <c r="D64" s="34"/>
      <c r="E64" s="35"/>
      <c r="F64" s="35"/>
      <c r="G64" s="35"/>
      <c r="H64" s="35"/>
      <c r="I64" s="35"/>
      <c r="J64" s="35"/>
      <c r="K64" s="35"/>
      <c r="L64" s="35"/>
      <c r="M64" s="35"/>
      <c r="N64" s="35"/>
    </row>
    <row r="65" spans="1:14" ht="30" customHeight="1" x14ac:dyDescent="0.25">
      <c r="A65" s="36" t="s">
        <v>139</v>
      </c>
      <c r="B65" s="37" t="s">
        <v>140</v>
      </c>
      <c r="C65" s="36" t="s">
        <v>18</v>
      </c>
      <c r="D65" s="38" t="s">
        <v>50</v>
      </c>
      <c r="E65" s="39"/>
      <c r="F65" s="39"/>
      <c r="G65" s="39"/>
      <c r="H65" s="39"/>
      <c r="I65" s="39"/>
      <c r="J65" s="39"/>
      <c r="K65" s="39"/>
      <c r="L65" s="39"/>
      <c r="M65" s="39"/>
      <c r="N65" s="39"/>
    </row>
    <row r="66" spans="1:14" ht="30" customHeight="1" x14ac:dyDescent="0.25">
      <c r="A66" s="32" t="s">
        <v>141</v>
      </c>
      <c r="B66" s="33" t="s">
        <v>142</v>
      </c>
      <c r="C66" s="32" t="s">
        <v>15</v>
      </c>
      <c r="D66" s="34"/>
      <c r="E66" s="35"/>
      <c r="F66" s="35"/>
      <c r="G66" s="35"/>
      <c r="H66" s="35"/>
      <c r="I66" s="35"/>
      <c r="J66" s="35"/>
      <c r="K66" s="35"/>
      <c r="L66" s="35"/>
      <c r="M66" s="35"/>
      <c r="N66" s="35"/>
    </row>
    <row r="67" spans="1:14" ht="30" customHeight="1" x14ac:dyDescent="0.25">
      <c r="A67" s="36" t="s">
        <v>143</v>
      </c>
      <c r="B67" s="37" t="s">
        <v>144</v>
      </c>
      <c r="C67" s="36" t="s">
        <v>18</v>
      </c>
      <c r="D67" s="38" t="s">
        <v>50</v>
      </c>
      <c r="E67" s="39"/>
      <c r="F67" s="39"/>
      <c r="G67" s="39"/>
      <c r="H67" s="39"/>
      <c r="I67" s="39"/>
      <c r="J67" s="39"/>
      <c r="K67" s="39"/>
      <c r="L67" s="39"/>
      <c r="M67" s="39"/>
      <c r="N67" s="39"/>
    </row>
    <row r="68" spans="1:14" ht="30" customHeight="1" x14ac:dyDescent="0.25">
      <c r="A68" s="36" t="s">
        <v>145</v>
      </c>
      <c r="B68" s="33" t="s">
        <v>146</v>
      </c>
      <c r="C68" s="36" t="s">
        <v>18</v>
      </c>
      <c r="D68" s="34" t="s">
        <v>50</v>
      </c>
      <c r="E68" s="35"/>
      <c r="F68" s="35"/>
      <c r="G68" s="35"/>
      <c r="H68" s="35"/>
      <c r="I68" s="35"/>
      <c r="J68" s="35"/>
      <c r="K68" s="35"/>
      <c r="L68" s="35"/>
      <c r="M68" s="35"/>
      <c r="N68" s="35"/>
    </row>
    <row r="69" spans="1:14" ht="30" customHeight="1" x14ac:dyDescent="0.25">
      <c r="A69" s="32" t="s">
        <v>147</v>
      </c>
      <c r="B69" s="37" t="s">
        <v>148</v>
      </c>
      <c r="C69" s="32" t="s">
        <v>15</v>
      </c>
      <c r="D69" s="38"/>
      <c r="E69" s="39"/>
      <c r="F69" s="39"/>
      <c r="G69" s="39"/>
      <c r="H69" s="39"/>
      <c r="I69" s="39"/>
      <c r="J69" s="39"/>
      <c r="K69" s="39"/>
      <c r="L69" s="39"/>
      <c r="M69" s="39"/>
      <c r="N69" s="39"/>
    </row>
    <row r="70" spans="1:14" ht="30" customHeight="1" x14ac:dyDescent="0.25">
      <c r="A70" s="32" t="s">
        <v>149</v>
      </c>
      <c r="B70" s="33" t="s">
        <v>150</v>
      </c>
      <c r="C70" s="32" t="s">
        <v>15</v>
      </c>
      <c r="D70" s="34"/>
      <c r="E70" s="35"/>
      <c r="F70" s="35"/>
      <c r="G70" s="35"/>
      <c r="H70" s="35"/>
      <c r="I70" s="35"/>
      <c r="J70" s="35"/>
      <c r="K70" s="35"/>
      <c r="L70" s="35"/>
      <c r="M70" s="35"/>
      <c r="N70" s="35"/>
    </row>
    <row r="71" spans="1:14" ht="30" customHeight="1" x14ac:dyDescent="0.25">
      <c r="A71" s="36" t="s">
        <v>151</v>
      </c>
      <c r="B71" s="37" t="s">
        <v>152</v>
      </c>
      <c r="C71" s="36" t="s">
        <v>18</v>
      </c>
      <c r="D71" s="38"/>
      <c r="E71" s="39"/>
      <c r="F71" s="39"/>
      <c r="G71" s="39"/>
      <c r="H71" s="39"/>
      <c r="I71" s="39"/>
      <c r="J71" s="39"/>
      <c r="K71" s="39"/>
      <c r="L71" s="39"/>
      <c r="M71" s="39"/>
      <c r="N71" s="39"/>
    </row>
    <row r="72" spans="1:14" ht="30" customHeight="1" x14ac:dyDescent="0.25">
      <c r="A72" s="40" t="s">
        <v>153</v>
      </c>
      <c r="B72" s="33" t="s">
        <v>154</v>
      </c>
      <c r="C72" s="40" t="s">
        <v>21</v>
      </c>
      <c r="D72" s="34"/>
      <c r="E72" s="35"/>
      <c r="F72" s="35"/>
      <c r="G72" s="35"/>
      <c r="H72" s="35"/>
      <c r="I72" s="35"/>
      <c r="J72" s="35"/>
      <c r="K72" s="35"/>
      <c r="L72" s="35"/>
      <c r="M72" s="35"/>
      <c r="N72" s="35"/>
    </row>
    <row r="73" spans="1:14" ht="30" customHeight="1" x14ac:dyDescent="0.25">
      <c r="A73" s="32" t="s">
        <v>155</v>
      </c>
      <c r="B73" s="37" t="s">
        <v>156</v>
      </c>
      <c r="C73" s="32" t="s">
        <v>15</v>
      </c>
      <c r="D73" s="38"/>
      <c r="E73" s="39"/>
      <c r="F73" s="39"/>
      <c r="G73" s="39"/>
      <c r="H73" s="39"/>
      <c r="I73" s="39"/>
      <c r="J73" s="39"/>
      <c r="K73" s="39"/>
      <c r="L73" s="39"/>
      <c r="M73" s="39"/>
      <c r="N73" s="39"/>
    </row>
    <row r="74" spans="1:14" ht="30" customHeight="1" x14ac:dyDescent="0.25">
      <c r="A74" s="32" t="s">
        <v>157</v>
      </c>
      <c r="B74" s="33" t="s">
        <v>158</v>
      </c>
      <c r="C74" s="32" t="s">
        <v>15</v>
      </c>
      <c r="D74" s="34"/>
      <c r="E74" s="35"/>
      <c r="F74" s="35"/>
      <c r="G74" s="35"/>
      <c r="H74" s="35"/>
      <c r="I74" s="35"/>
      <c r="J74" s="35"/>
      <c r="K74" s="35"/>
      <c r="L74" s="35"/>
      <c r="M74" s="35"/>
      <c r="N74" s="35"/>
    </row>
    <row r="75" spans="1:14" ht="30" customHeight="1" x14ac:dyDescent="0.25">
      <c r="A75" s="36" t="s">
        <v>159</v>
      </c>
      <c r="B75" s="37" t="s">
        <v>160</v>
      </c>
      <c r="C75" s="36" t="s">
        <v>18</v>
      </c>
      <c r="D75" s="38"/>
      <c r="E75" s="39"/>
      <c r="F75" s="39"/>
      <c r="G75" s="39"/>
      <c r="H75" s="39"/>
      <c r="I75" s="39"/>
      <c r="J75" s="39"/>
      <c r="K75" s="39"/>
      <c r="L75" s="39"/>
      <c r="M75" s="39"/>
      <c r="N75" s="39"/>
    </row>
    <row r="76" spans="1:14" ht="30" customHeight="1" x14ac:dyDescent="0.25">
      <c r="A76" s="32" t="s">
        <v>161</v>
      </c>
      <c r="B76" s="33" t="s">
        <v>162</v>
      </c>
      <c r="C76" s="32" t="s">
        <v>15</v>
      </c>
      <c r="D76" s="34"/>
      <c r="E76" s="35"/>
      <c r="F76" s="35"/>
      <c r="G76" s="35"/>
      <c r="H76" s="35"/>
      <c r="I76" s="35"/>
      <c r="J76" s="35"/>
      <c r="K76" s="35"/>
      <c r="L76" s="35"/>
      <c r="M76" s="35"/>
      <c r="N76" s="35"/>
    </row>
    <row r="77" spans="1:14" ht="30" customHeight="1" x14ac:dyDescent="0.25">
      <c r="A77" s="32" t="s">
        <v>163</v>
      </c>
      <c r="B77" s="37" t="s">
        <v>164</v>
      </c>
      <c r="C77" s="32" t="s">
        <v>15</v>
      </c>
      <c r="D77" s="38"/>
      <c r="E77" s="39"/>
      <c r="F77" s="39"/>
      <c r="G77" s="39"/>
      <c r="H77" s="39"/>
      <c r="I77" s="39"/>
      <c r="J77" s="39"/>
      <c r="K77" s="39"/>
      <c r="L77" s="39"/>
      <c r="M77" s="39"/>
      <c r="N77" s="39"/>
    </row>
    <row r="78" spans="1:14" ht="30" customHeight="1" x14ac:dyDescent="0.25">
      <c r="A78" s="32" t="s">
        <v>165</v>
      </c>
      <c r="B78" s="33" t="s">
        <v>166</v>
      </c>
      <c r="C78" s="32" t="s">
        <v>15</v>
      </c>
      <c r="D78" s="34"/>
      <c r="E78" s="35"/>
      <c r="F78" s="35"/>
      <c r="G78" s="35"/>
      <c r="H78" s="35"/>
      <c r="I78" s="35"/>
      <c r="J78" s="35"/>
      <c r="K78" s="35"/>
      <c r="L78" s="35"/>
      <c r="M78" s="35"/>
      <c r="N78" s="35"/>
    </row>
    <row r="79" spans="1:14" ht="30" customHeight="1" x14ac:dyDescent="0.25">
      <c r="A79" s="36" t="s">
        <v>167</v>
      </c>
      <c r="B79" s="37" t="s">
        <v>168</v>
      </c>
      <c r="C79" s="36" t="s">
        <v>18</v>
      </c>
      <c r="D79" s="38"/>
      <c r="E79" s="39"/>
      <c r="F79" s="39"/>
      <c r="G79" s="39"/>
      <c r="H79" s="39"/>
      <c r="I79" s="39"/>
      <c r="J79" s="39"/>
      <c r="K79" s="39"/>
      <c r="L79" s="39"/>
      <c r="M79" s="39"/>
      <c r="N79" s="39"/>
    </row>
    <row r="80" spans="1:14" ht="30" customHeight="1" x14ac:dyDescent="0.25">
      <c r="A80" s="32" t="s">
        <v>169</v>
      </c>
      <c r="B80" s="33" t="s">
        <v>170</v>
      </c>
      <c r="C80" s="32" t="s">
        <v>15</v>
      </c>
      <c r="D80" s="34"/>
      <c r="E80" s="35"/>
      <c r="F80" s="35"/>
      <c r="G80" s="35"/>
      <c r="H80" s="35"/>
      <c r="I80" s="35"/>
      <c r="J80" s="35"/>
      <c r="K80" s="35"/>
      <c r="L80" s="35"/>
      <c r="M80" s="35"/>
      <c r="N80" s="35"/>
    </row>
    <row r="81" spans="1:14" ht="30" customHeight="1" x14ac:dyDescent="0.25">
      <c r="A81" s="40" t="s">
        <v>171</v>
      </c>
      <c r="B81" s="37" t="s">
        <v>172</v>
      </c>
      <c r="C81" s="40" t="s">
        <v>21</v>
      </c>
      <c r="D81" s="38"/>
      <c r="E81" s="39"/>
      <c r="F81" s="39"/>
      <c r="G81" s="39"/>
      <c r="H81" s="39"/>
      <c r="I81" s="39"/>
      <c r="J81" s="39"/>
      <c r="K81" s="39"/>
      <c r="L81" s="39"/>
      <c r="M81" s="39"/>
      <c r="N81" s="39"/>
    </row>
    <row r="82" spans="1:14" ht="30" customHeight="1" x14ac:dyDescent="0.25">
      <c r="A82" s="32" t="s">
        <v>173</v>
      </c>
      <c r="B82" s="33" t="s">
        <v>174</v>
      </c>
      <c r="C82" s="32" t="s">
        <v>15</v>
      </c>
      <c r="D82" s="34"/>
      <c r="E82" s="35"/>
      <c r="F82" s="35"/>
      <c r="G82" s="35"/>
      <c r="H82" s="35"/>
      <c r="I82" s="35"/>
      <c r="J82" s="35"/>
      <c r="K82" s="35"/>
      <c r="L82" s="35"/>
      <c r="M82" s="35"/>
      <c r="N82" s="35"/>
    </row>
    <row r="83" spans="1:14" ht="30" customHeight="1" x14ac:dyDescent="0.25">
      <c r="A83" s="36" t="s">
        <v>175</v>
      </c>
      <c r="B83" s="37" t="s">
        <v>176</v>
      </c>
      <c r="C83" s="36" t="s">
        <v>18</v>
      </c>
      <c r="D83" s="38"/>
      <c r="E83" s="39"/>
      <c r="F83" s="39"/>
      <c r="G83" s="39"/>
      <c r="H83" s="39"/>
      <c r="I83" s="39"/>
      <c r="J83" s="39"/>
      <c r="K83" s="39"/>
      <c r="L83" s="39"/>
      <c r="M83" s="39"/>
      <c r="N83" s="39"/>
    </row>
    <row r="84" spans="1:14" ht="30" customHeight="1" x14ac:dyDescent="0.25">
      <c r="A84" s="32" t="s">
        <v>177</v>
      </c>
      <c r="B84" s="33" t="s">
        <v>178</v>
      </c>
      <c r="C84" s="32" t="s">
        <v>15</v>
      </c>
      <c r="D84" s="34"/>
      <c r="E84" s="35"/>
      <c r="F84" s="35"/>
      <c r="G84" s="35"/>
      <c r="H84" s="35"/>
      <c r="I84" s="35"/>
      <c r="J84" s="35"/>
      <c r="K84" s="35"/>
      <c r="L84" s="35"/>
      <c r="M84" s="35"/>
      <c r="N84" s="35"/>
    </row>
    <row r="85" spans="1:14" ht="30" customHeight="1" x14ac:dyDescent="0.25">
      <c r="A85" s="32" t="s">
        <v>179</v>
      </c>
      <c r="B85" s="37" t="s">
        <v>180</v>
      </c>
      <c r="C85" s="32" t="s">
        <v>15</v>
      </c>
      <c r="D85" s="38" t="s">
        <v>50</v>
      </c>
      <c r="E85" s="39"/>
      <c r="F85" s="39"/>
      <c r="G85" s="39"/>
      <c r="H85" s="39"/>
      <c r="I85" s="39"/>
      <c r="J85" s="39"/>
      <c r="K85" s="39"/>
      <c r="L85" s="39"/>
      <c r="M85" s="39"/>
      <c r="N85" s="39"/>
    </row>
    <row r="86" spans="1:14" ht="30" customHeight="1" x14ac:dyDescent="0.25">
      <c r="A86" s="36" t="s">
        <v>181</v>
      </c>
      <c r="B86" s="33" t="s">
        <v>182</v>
      </c>
      <c r="C86" s="36" t="s">
        <v>18</v>
      </c>
      <c r="D86" s="34"/>
      <c r="E86" s="35"/>
      <c r="F86" s="35"/>
      <c r="G86" s="35"/>
      <c r="H86" s="35"/>
      <c r="I86" s="35"/>
      <c r="J86" s="35"/>
      <c r="K86" s="35"/>
      <c r="L86" s="35"/>
      <c r="M86" s="35"/>
      <c r="N86" s="35"/>
    </row>
    <row r="87" spans="1:14" ht="30" customHeight="1" x14ac:dyDescent="0.25">
      <c r="A87" s="32" t="s">
        <v>183</v>
      </c>
      <c r="B87" s="37" t="s">
        <v>184</v>
      </c>
      <c r="C87" s="32" t="s">
        <v>15</v>
      </c>
      <c r="D87" s="38"/>
      <c r="E87" s="39"/>
      <c r="F87" s="39"/>
      <c r="G87" s="39"/>
      <c r="H87" s="39"/>
      <c r="I87" s="39"/>
      <c r="J87" s="39"/>
      <c r="K87" s="39"/>
      <c r="L87" s="39"/>
      <c r="M87" s="39"/>
      <c r="N87" s="39"/>
    </row>
    <row r="88" spans="1:14" ht="30" customHeight="1" x14ac:dyDescent="0.25">
      <c r="A88" s="40" t="s">
        <v>185</v>
      </c>
      <c r="B88" s="33" t="s">
        <v>186</v>
      </c>
      <c r="C88" s="40" t="s">
        <v>21</v>
      </c>
      <c r="D88" s="34"/>
      <c r="E88" s="35"/>
      <c r="F88" s="35"/>
      <c r="G88" s="35"/>
      <c r="H88" s="35"/>
      <c r="I88" s="35"/>
      <c r="J88" s="35"/>
      <c r="K88" s="35"/>
      <c r="L88" s="35"/>
      <c r="M88" s="35"/>
      <c r="N88" s="35"/>
    </row>
    <row r="89" spans="1:14" ht="30" customHeight="1" x14ac:dyDescent="0.25">
      <c r="A89" s="32" t="s">
        <v>187</v>
      </c>
      <c r="B89" s="37" t="s">
        <v>188</v>
      </c>
      <c r="C89" s="32" t="s">
        <v>15</v>
      </c>
      <c r="D89" s="38"/>
      <c r="E89" s="39"/>
      <c r="F89" s="39"/>
      <c r="G89" s="39"/>
      <c r="H89" s="39"/>
      <c r="I89" s="39"/>
      <c r="J89" s="39"/>
      <c r="K89" s="39"/>
      <c r="L89" s="39"/>
      <c r="M89" s="39"/>
      <c r="N89" s="39"/>
    </row>
    <row r="90" spans="1:14" ht="30" customHeight="1" x14ac:dyDescent="0.25">
      <c r="A90" s="32" t="s">
        <v>189</v>
      </c>
      <c r="B90" s="33" t="s">
        <v>190</v>
      </c>
      <c r="C90" s="32" t="s">
        <v>15</v>
      </c>
      <c r="D90" s="34"/>
      <c r="E90" s="35"/>
      <c r="F90" s="35"/>
      <c r="G90" s="35"/>
      <c r="H90" s="35"/>
      <c r="I90" s="35"/>
      <c r="J90" s="35"/>
      <c r="K90" s="35"/>
      <c r="L90" s="35"/>
      <c r="M90" s="35"/>
      <c r="N90" s="35"/>
    </row>
    <row r="91" spans="1:14" ht="30" customHeight="1" x14ac:dyDescent="0.25">
      <c r="A91" s="32" t="s">
        <v>191</v>
      </c>
      <c r="B91" s="37" t="s">
        <v>192</v>
      </c>
      <c r="C91" s="32" t="s">
        <v>15</v>
      </c>
      <c r="D91" s="38"/>
      <c r="E91" s="39"/>
      <c r="F91" s="39"/>
      <c r="G91" s="39"/>
      <c r="H91" s="39"/>
      <c r="I91" s="39"/>
      <c r="J91" s="39"/>
      <c r="K91" s="39"/>
      <c r="L91" s="39"/>
      <c r="M91" s="39"/>
      <c r="N91" s="39"/>
    </row>
    <row r="92" spans="1:14" ht="30" customHeight="1" x14ac:dyDescent="0.25">
      <c r="A92" s="32" t="s">
        <v>193</v>
      </c>
      <c r="B92" s="33" t="s">
        <v>194</v>
      </c>
      <c r="C92" s="32" t="s">
        <v>15</v>
      </c>
      <c r="D92" s="34"/>
      <c r="E92" s="35"/>
      <c r="F92" s="35"/>
      <c r="G92" s="35"/>
      <c r="H92" s="35"/>
      <c r="I92" s="35"/>
      <c r="J92" s="35"/>
      <c r="K92" s="35"/>
      <c r="L92" s="35"/>
      <c r="M92" s="35"/>
      <c r="N92" s="35"/>
    </row>
    <row r="93" spans="1:14" ht="30" customHeight="1" x14ac:dyDescent="0.25">
      <c r="A93" s="32" t="s">
        <v>195</v>
      </c>
      <c r="B93" s="37" t="s">
        <v>196</v>
      </c>
      <c r="C93" s="32" t="s">
        <v>15</v>
      </c>
      <c r="D93" s="38"/>
      <c r="E93" s="39"/>
      <c r="F93" s="39"/>
      <c r="G93" s="39"/>
      <c r="H93" s="39"/>
      <c r="I93" s="39"/>
      <c r="J93" s="39"/>
      <c r="K93" s="39"/>
      <c r="L93" s="39"/>
      <c r="M93" s="39"/>
      <c r="N93" s="39"/>
    </row>
    <row r="94" spans="1:14" ht="30" customHeight="1" x14ac:dyDescent="0.25">
      <c r="A94" s="36" t="s">
        <v>197</v>
      </c>
      <c r="B94" s="33" t="s">
        <v>198</v>
      </c>
      <c r="C94" s="36" t="s">
        <v>18</v>
      </c>
      <c r="D94" s="34"/>
      <c r="E94" s="35"/>
      <c r="F94" s="35"/>
      <c r="G94" s="35"/>
      <c r="H94" s="35"/>
      <c r="I94" s="35"/>
      <c r="J94" s="35"/>
      <c r="K94" s="35"/>
      <c r="L94" s="35"/>
      <c r="M94" s="35"/>
      <c r="N94" s="35"/>
    </row>
    <row r="95" spans="1:14" ht="30" customHeight="1" x14ac:dyDescent="0.25">
      <c r="A95" s="36" t="s">
        <v>199</v>
      </c>
      <c r="B95" s="37" t="s">
        <v>200</v>
      </c>
      <c r="C95" s="36" t="s">
        <v>18</v>
      </c>
      <c r="D95" s="38"/>
      <c r="E95" s="39"/>
      <c r="F95" s="39"/>
      <c r="G95" s="39"/>
      <c r="H95" s="39"/>
      <c r="I95" s="39"/>
      <c r="J95" s="39"/>
      <c r="K95" s="39"/>
      <c r="L95" s="39"/>
      <c r="M95" s="39"/>
      <c r="N95" s="39"/>
    </row>
    <row r="96" spans="1:14" ht="30" customHeight="1" x14ac:dyDescent="0.25">
      <c r="A96" s="36" t="s">
        <v>201</v>
      </c>
      <c r="B96" s="33" t="s">
        <v>202</v>
      </c>
      <c r="C96" s="36" t="s">
        <v>18</v>
      </c>
      <c r="D96" s="34"/>
      <c r="E96" s="35"/>
      <c r="F96" s="35"/>
      <c r="G96" s="35"/>
      <c r="H96" s="35"/>
      <c r="I96" s="35"/>
      <c r="J96" s="35"/>
      <c r="K96" s="35"/>
      <c r="L96" s="35"/>
      <c r="M96" s="35"/>
      <c r="N96" s="35"/>
    </row>
    <row r="97" spans="1:14" ht="30" customHeight="1" x14ac:dyDescent="0.25">
      <c r="A97" s="32" t="s">
        <v>203</v>
      </c>
      <c r="B97" s="37" t="s">
        <v>204</v>
      </c>
      <c r="C97" s="32" t="s">
        <v>15</v>
      </c>
      <c r="D97" s="38"/>
      <c r="E97" s="39"/>
      <c r="F97" s="39"/>
      <c r="G97" s="39"/>
      <c r="H97" s="39"/>
      <c r="I97" s="39"/>
      <c r="J97" s="39"/>
      <c r="K97" s="39"/>
      <c r="L97" s="39"/>
      <c r="M97" s="39"/>
      <c r="N97" s="39"/>
    </row>
    <row r="98" spans="1:14" ht="30" customHeight="1" x14ac:dyDescent="0.25">
      <c r="A98" s="36" t="s">
        <v>205</v>
      </c>
      <c r="B98" s="33" t="s">
        <v>206</v>
      </c>
      <c r="C98" s="36" t="s">
        <v>18</v>
      </c>
      <c r="D98" s="34"/>
      <c r="E98" s="35"/>
      <c r="F98" s="35"/>
      <c r="G98" s="35"/>
      <c r="H98" s="35"/>
      <c r="I98" s="35"/>
      <c r="J98" s="35"/>
      <c r="K98" s="35"/>
      <c r="L98" s="35"/>
      <c r="M98" s="35"/>
      <c r="N98" s="35"/>
    </row>
    <row r="99" spans="1:14" ht="30" customHeight="1" x14ac:dyDescent="0.25">
      <c r="A99" s="40" t="s">
        <v>207</v>
      </c>
      <c r="B99" s="37" t="s">
        <v>208</v>
      </c>
      <c r="C99" s="40" t="s">
        <v>21</v>
      </c>
      <c r="D99" s="38" t="s">
        <v>50</v>
      </c>
      <c r="E99" s="39"/>
      <c r="F99" s="39"/>
      <c r="G99" s="39"/>
      <c r="H99" s="39"/>
      <c r="I99" s="39"/>
      <c r="J99" s="39"/>
      <c r="K99" s="39"/>
      <c r="L99" s="39"/>
      <c r="M99" s="39"/>
      <c r="N99" s="39"/>
    </row>
    <row r="100" spans="1:14" ht="30" customHeight="1" x14ac:dyDescent="0.25">
      <c r="A100" s="32" t="s">
        <v>209</v>
      </c>
      <c r="B100" s="33" t="s">
        <v>210</v>
      </c>
      <c r="C100" s="32" t="s">
        <v>15</v>
      </c>
      <c r="D100" s="34"/>
      <c r="E100" s="35"/>
      <c r="F100" s="35"/>
      <c r="G100" s="35"/>
      <c r="H100" s="35"/>
      <c r="I100" s="35"/>
      <c r="J100" s="35"/>
      <c r="K100" s="35"/>
      <c r="L100" s="35"/>
      <c r="M100" s="35"/>
      <c r="N100" s="35"/>
    </row>
    <row r="101" spans="1:14" ht="30" customHeight="1" x14ac:dyDescent="0.25">
      <c r="A101" s="36" t="s">
        <v>211</v>
      </c>
      <c r="B101" s="37" t="s">
        <v>212</v>
      </c>
      <c r="C101" s="36" t="s">
        <v>18</v>
      </c>
      <c r="D101" s="38"/>
      <c r="E101" s="39"/>
      <c r="F101" s="39"/>
      <c r="G101" s="39"/>
      <c r="H101" s="39"/>
      <c r="I101" s="39"/>
      <c r="J101" s="39"/>
      <c r="K101" s="39"/>
      <c r="L101" s="39"/>
      <c r="M101" s="39"/>
      <c r="N101" s="39"/>
    </row>
    <row r="102" spans="1:14" ht="30" customHeight="1" x14ac:dyDescent="0.25">
      <c r="A102" s="36" t="s">
        <v>213</v>
      </c>
      <c r="B102" s="33" t="s">
        <v>214</v>
      </c>
      <c r="C102" s="36" t="s">
        <v>18</v>
      </c>
      <c r="D102" s="34"/>
      <c r="E102" s="35"/>
      <c r="F102" s="35"/>
      <c r="G102" s="35"/>
      <c r="H102" s="35"/>
      <c r="I102" s="35"/>
      <c r="J102" s="35"/>
      <c r="K102" s="35"/>
      <c r="L102" s="35"/>
      <c r="M102" s="35"/>
      <c r="N102" s="35"/>
    </row>
    <row r="103" spans="1:14" ht="30" customHeight="1" x14ac:dyDescent="0.25">
      <c r="A103" s="36" t="s">
        <v>215</v>
      </c>
      <c r="B103" s="37" t="s">
        <v>216</v>
      </c>
      <c r="C103" s="36" t="s">
        <v>18</v>
      </c>
      <c r="D103" s="38"/>
      <c r="E103" s="39"/>
      <c r="F103" s="39"/>
      <c r="G103" s="39"/>
      <c r="H103" s="39"/>
      <c r="I103" s="39"/>
      <c r="J103" s="39"/>
      <c r="K103" s="39"/>
      <c r="L103" s="39"/>
      <c r="M103" s="39"/>
      <c r="N103" s="39"/>
    </row>
    <row r="104" spans="1:14" ht="30" customHeight="1" x14ac:dyDescent="0.25">
      <c r="A104" s="32" t="s">
        <v>217</v>
      </c>
      <c r="B104" s="33" t="s">
        <v>218</v>
      </c>
      <c r="C104" s="32" t="s">
        <v>15</v>
      </c>
      <c r="D104" s="34"/>
      <c r="E104" s="35"/>
      <c r="F104" s="35"/>
      <c r="G104" s="35"/>
      <c r="H104" s="35"/>
      <c r="I104" s="35"/>
      <c r="J104" s="35"/>
      <c r="K104" s="35"/>
      <c r="L104" s="35"/>
      <c r="M104" s="35"/>
      <c r="N104" s="35"/>
    </row>
    <row r="105" spans="1:14" ht="30" customHeight="1" x14ac:dyDescent="0.25">
      <c r="A105" s="36" t="s">
        <v>219</v>
      </c>
      <c r="B105" s="37" t="s">
        <v>220</v>
      </c>
      <c r="C105" s="36" t="s">
        <v>18</v>
      </c>
      <c r="D105" s="38"/>
      <c r="E105" s="39"/>
      <c r="F105" s="39"/>
      <c r="G105" s="39"/>
      <c r="H105" s="39"/>
      <c r="I105" s="39"/>
      <c r="J105" s="39"/>
      <c r="K105" s="39"/>
      <c r="L105" s="39"/>
      <c r="M105" s="39"/>
      <c r="N105" s="39"/>
    </row>
    <row r="106" spans="1:14" ht="30" customHeight="1" x14ac:dyDescent="0.25">
      <c r="A106" s="40" t="s">
        <v>221</v>
      </c>
      <c r="B106" s="33" t="s">
        <v>222</v>
      </c>
      <c r="C106" s="40" t="s">
        <v>21</v>
      </c>
      <c r="D106" s="34"/>
      <c r="E106" s="35"/>
      <c r="F106" s="35"/>
      <c r="G106" s="35"/>
      <c r="H106" s="35"/>
      <c r="I106" s="35"/>
      <c r="J106" s="35"/>
      <c r="K106" s="35"/>
      <c r="L106" s="35"/>
      <c r="M106" s="35"/>
      <c r="N106" s="35"/>
    </row>
    <row r="107" spans="1:14" ht="30" customHeight="1" x14ac:dyDescent="0.25">
      <c r="A107" s="40" t="s">
        <v>223</v>
      </c>
      <c r="B107" s="37" t="s">
        <v>224</v>
      </c>
      <c r="C107" s="40" t="s">
        <v>21</v>
      </c>
      <c r="D107" s="38" t="s">
        <v>50</v>
      </c>
      <c r="E107" s="39"/>
      <c r="F107" s="39"/>
      <c r="G107" s="39"/>
      <c r="H107" s="39"/>
      <c r="I107" s="39"/>
      <c r="J107" s="39"/>
      <c r="K107" s="39"/>
      <c r="L107" s="39"/>
      <c r="M107" s="39"/>
      <c r="N107" s="39"/>
    </row>
    <row r="108" spans="1:14" ht="30" customHeight="1" x14ac:dyDescent="0.25">
      <c r="A108" s="32" t="s">
        <v>225</v>
      </c>
      <c r="B108" s="33" t="s">
        <v>226</v>
      </c>
      <c r="C108" s="32" t="s">
        <v>15</v>
      </c>
      <c r="D108" s="34" t="s">
        <v>50</v>
      </c>
      <c r="E108" s="35"/>
      <c r="F108" s="35"/>
      <c r="G108" s="35"/>
      <c r="H108" s="35"/>
      <c r="I108" s="35"/>
      <c r="J108" s="35"/>
      <c r="K108" s="35"/>
      <c r="L108" s="35"/>
      <c r="M108" s="35"/>
      <c r="N108" s="35"/>
    </row>
    <row r="109" spans="1:14" ht="30" customHeight="1" x14ac:dyDescent="0.25">
      <c r="A109" s="36" t="s">
        <v>227</v>
      </c>
      <c r="B109" s="37" t="s">
        <v>228</v>
      </c>
      <c r="C109" s="36" t="s">
        <v>18</v>
      </c>
      <c r="D109" s="38"/>
      <c r="E109" s="39"/>
      <c r="F109" s="39"/>
      <c r="G109" s="39"/>
      <c r="H109" s="39"/>
      <c r="I109" s="39"/>
      <c r="J109" s="39"/>
      <c r="K109" s="39"/>
      <c r="L109" s="39"/>
      <c r="M109" s="39"/>
      <c r="N109" s="39"/>
    </row>
    <row r="110" spans="1:14" ht="30" customHeight="1" x14ac:dyDescent="0.25">
      <c r="A110" s="36" t="s">
        <v>229</v>
      </c>
      <c r="B110" s="33" t="s">
        <v>230</v>
      </c>
      <c r="C110" s="36" t="s">
        <v>18</v>
      </c>
      <c r="D110" s="34"/>
      <c r="E110" s="35"/>
      <c r="F110" s="35"/>
      <c r="G110" s="35"/>
      <c r="H110" s="35"/>
      <c r="I110" s="35"/>
      <c r="J110" s="35"/>
      <c r="K110" s="35"/>
      <c r="L110" s="35"/>
      <c r="M110" s="35"/>
      <c r="N110" s="35"/>
    </row>
    <row r="111" spans="1:14" ht="30" customHeight="1" x14ac:dyDescent="0.25">
      <c r="A111" s="36" t="s">
        <v>231</v>
      </c>
      <c r="B111" s="37" t="s">
        <v>232</v>
      </c>
      <c r="C111" s="36" t="s">
        <v>18</v>
      </c>
      <c r="D111" s="38"/>
      <c r="E111" s="39"/>
      <c r="F111" s="39"/>
      <c r="G111" s="39"/>
      <c r="H111" s="39"/>
      <c r="I111" s="39"/>
      <c r="J111" s="39"/>
      <c r="K111" s="39"/>
      <c r="L111" s="39"/>
      <c r="M111" s="39"/>
      <c r="N111" s="39"/>
    </row>
    <row r="112" spans="1:14" ht="30" customHeight="1" x14ac:dyDescent="0.25">
      <c r="A112" s="40" t="s">
        <v>233</v>
      </c>
      <c r="B112" s="33" t="s">
        <v>234</v>
      </c>
      <c r="C112" s="40" t="s">
        <v>21</v>
      </c>
      <c r="D112" s="34" t="s">
        <v>50</v>
      </c>
      <c r="E112" s="35"/>
      <c r="F112" s="35"/>
      <c r="G112" s="35"/>
      <c r="H112" s="35"/>
      <c r="I112" s="35"/>
      <c r="J112" s="35"/>
      <c r="K112" s="35"/>
      <c r="L112" s="35"/>
      <c r="M112" s="35"/>
      <c r="N112" s="35"/>
    </row>
    <row r="113" spans="1:14" ht="30" customHeight="1" x14ac:dyDescent="0.25">
      <c r="A113" s="40" t="s">
        <v>235</v>
      </c>
      <c r="B113" s="37" t="s">
        <v>236</v>
      </c>
      <c r="C113" s="40" t="s">
        <v>21</v>
      </c>
      <c r="D113" s="38" t="s">
        <v>50</v>
      </c>
      <c r="E113" s="39"/>
      <c r="F113" s="39"/>
      <c r="G113" s="39"/>
      <c r="H113" s="39"/>
      <c r="I113" s="39"/>
      <c r="J113" s="39"/>
      <c r="K113" s="39"/>
      <c r="L113" s="39"/>
      <c r="M113" s="39"/>
      <c r="N113" s="39"/>
    </row>
    <row r="114" spans="1:14" ht="30" customHeight="1" x14ac:dyDescent="0.25">
      <c r="A114" s="40" t="s">
        <v>237</v>
      </c>
      <c r="B114" s="33" t="s">
        <v>238</v>
      </c>
      <c r="C114" s="40" t="s">
        <v>21</v>
      </c>
      <c r="D114" s="34" t="s">
        <v>50</v>
      </c>
      <c r="E114" s="35"/>
      <c r="F114" s="35"/>
      <c r="G114" s="35"/>
      <c r="H114" s="35"/>
      <c r="I114" s="35"/>
      <c r="J114" s="35"/>
      <c r="K114" s="35"/>
      <c r="L114" s="35"/>
      <c r="M114" s="35"/>
      <c r="N114" s="35"/>
    </row>
    <row r="115" spans="1:14" ht="30" customHeight="1" x14ac:dyDescent="0.25">
      <c r="A115" s="40" t="s">
        <v>239</v>
      </c>
      <c r="B115" s="37" t="s">
        <v>240</v>
      </c>
      <c r="C115" s="40" t="s">
        <v>21</v>
      </c>
      <c r="D115" s="38" t="s">
        <v>50</v>
      </c>
      <c r="E115" s="39"/>
      <c r="F115" s="39"/>
      <c r="G115" s="39"/>
      <c r="H115" s="39"/>
      <c r="I115" s="39"/>
      <c r="J115" s="39"/>
      <c r="K115" s="39"/>
      <c r="L115" s="39"/>
      <c r="M115" s="39"/>
      <c r="N115" s="39"/>
    </row>
    <row r="116" spans="1:14" ht="30" customHeight="1" x14ac:dyDescent="0.25">
      <c r="A116" s="32" t="s">
        <v>241</v>
      </c>
      <c r="B116" s="33" t="s">
        <v>242</v>
      </c>
      <c r="C116" s="32" t="s">
        <v>15</v>
      </c>
      <c r="D116" s="34"/>
      <c r="E116" s="35"/>
      <c r="F116" s="35"/>
      <c r="G116" s="35"/>
      <c r="H116" s="35"/>
      <c r="I116" s="35"/>
      <c r="J116" s="35"/>
      <c r="K116" s="35"/>
      <c r="L116" s="35"/>
      <c r="M116" s="35"/>
      <c r="N116" s="35"/>
    </row>
    <row r="117" spans="1:14" ht="30" customHeight="1" x14ac:dyDescent="0.25">
      <c r="A117" s="32" t="s">
        <v>243</v>
      </c>
      <c r="B117" s="37" t="s">
        <v>244</v>
      </c>
      <c r="C117" s="32" t="s">
        <v>15</v>
      </c>
      <c r="D117" s="38"/>
      <c r="E117" s="39"/>
      <c r="F117" s="39"/>
      <c r="G117" s="39"/>
      <c r="H117" s="39"/>
      <c r="I117" s="39"/>
      <c r="J117" s="39"/>
      <c r="K117" s="39"/>
      <c r="L117" s="39"/>
      <c r="M117" s="39"/>
      <c r="N117" s="39"/>
    </row>
    <row r="118" spans="1:14" ht="30" customHeight="1" x14ac:dyDescent="0.25">
      <c r="A118" s="32" t="s">
        <v>245</v>
      </c>
      <c r="B118" s="33" t="s">
        <v>246</v>
      </c>
      <c r="C118" s="32" t="s">
        <v>15</v>
      </c>
      <c r="D118" s="34"/>
      <c r="E118" s="35"/>
      <c r="F118" s="35"/>
      <c r="G118" s="35"/>
      <c r="H118" s="35"/>
      <c r="I118" s="35"/>
      <c r="J118" s="35"/>
      <c r="K118" s="35"/>
      <c r="L118" s="35"/>
      <c r="M118" s="35"/>
      <c r="N118" s="35"/>
    </row>
    <row r="119" spans="1:14" ht="30" customHeight="1" x14ac:dyDescent="0.25">
      <c r="A119" s="36" t="s">
        <v>247</v>
      </c>
      <c r="B119" s="37" t="s">
        <v>248</v>
      </c>
      <c r="C119" s="36" t="s">
        <v>18</v>
      </c>
      <c r="D119" s="38"/>
      <c r="E119" s="39"/>
      <c r="F119" s="39"/>
      <c r="G119" s="39"/>
      <c r="H119" s="39"/>
      <c r="I119" s="39"/>
      <c r="J119" s="39"/>
      <c r="K119" s="39"/>
      <c r="L119" s="39"/>
      <c r="M119" s="39"/>
      <c r="N119" s="39"/>
    </row>
    <row r="120" spans="1:14" ht="30" customHeight="1" x14ac:dyDescent="0.25">
      <c r="A120" s="36" t="s">
        <v>249</v>
      </c>
      <c r="B120" s="33" t="s">
        <v>250</v>
      </c>
      <c r="C120" s="36" t="s">
        <v>18</v>
      </c>
      <c r="D120" s="34"/>
      <c r="E120" s="35"/>
      <c r="F120" s="35"/>
      <c r="G120" s="35"/>
      <c r="H120" s="35"/>
      <c r="I120" s="35"/>
      <c r="J120" s="35"/>
      <c r="K120" s="35"/>
      <c r="L120" s="35"/>
      <c r="M120" s="35"/>
      <c r="N120" s="35"/>
    </row>
    <row r="121" spans="1:14" ht="30" customHeight="1" x14ac:dyDescent="0.25">
      <c r="A121" s="40" t="s">
        <v>251</v>
      </c>
      <c r="B121" s="37" t="s">
        <v>252</v>
      </c>
      <c r="C121" s="40" t="s">
        <v>21</v>
      </c>
      <c r="D121" s="38"/>
      <c r="E121" s="39"/>
      <c r="F121" s="39"/>
      <c r="G121" s="39"/>
      <c r="H121" s="39"/>
      <c r="I121" s="39"/>
      <c r="J121" s="39"/>
      <c r="K121" s="39"/>
      <c r="L121" s="39"/>
      <c r="M121" s="39"/>
      <c r="N121" s="39"/>
    </row>
    <row r="122" spans="1:14" ht="30" customHeight="1" x14ac:dyDescent="0.25">
      <c r="A122" s="32" t="s">
        <v>253</v>
      </c>
      <c r="B122" s="33" t="s">
        <v>254</v>
      </c>
      <c r="C122" s="32" t="s">
        <v>15</v>
      </c>
      <c r="D122" s="34"/>
      <c r="E122" s="35"/>
      <c r="F122" s="35"/>
      <c r="G122" s="35"/>
      <c r="H122" s="35"/>
      <c r="I122" s="35"/>
      <c r="J122" s="35"/>
      <c r="K122" s="35"/>
      <c r="L122" s="35"/>
      <c r="M122" s="35"/>
      <c r="N122" s="35"/>
    </row>
    <row r="123" spans="1:14" ht="30" customHeight="1" x14ac:dyDescent="0.25">
      <c r="A123" s="36" t="s">
        <v>255</v>
      </c>
      <c r="B123" s="37" t="s">
        <v>256</v>
      </c>
      <c r="C123" s="36" t="s">
        <v>18</v>
      </c>
      <c r="D123" s="38"/>
      <c r="E123" s="39"/>
      <c r="F123" s="39"/>
      <c r="G123" s="39"/>
      <c r="H123" s="39"/>
      <c r="I123" s="39"/>
      <c r="J123" s="39"/>
      <c r="K123" s="39"/>
      <c r="L123" s="39"/>
      <c r="M123" s="39"/>
      <c r="N123" s="39"/>
    </row>
    <row r="124" spans="1:14" ht="30" customHeight="1" x14ac:dyDescent="0.25">
      <c r="A124" s="36" t="s">
        <v>257</v>
      </c>
      <c r="B124" s="33" t="s">
        <v>258</v>
      </c>
      <c r="C124" s="36" t="s">
        <v>18</v>
      </c>
      <c r="D124" s="34"/>
      <c r="E124" s="35"/>
      <c r="F124" s="35"/>
      <c r="G124" s="35"/>
      <c r="H124" s="35"/>
      <c r="I124" s="35"/>
      <c r="J124" s="35"/>
      <c r="K124" s="35"/>
      <c r="L124" s="35"/>
      <c r="M124" s="35"/>
      <c r="N124" s="35"/>
    </row>
    <row r="125" spans="1:14" ht="30" customHeight="1" x14ac:dyDescent="0.25">
      <c r="A125" s="40" t="s">
        <v>259</v>
      </c>
      <c r="B125" s="37" t="s">
        <v>260</v>
      </c>
      <c r="C125" s="40" t="s">
        <v>21</v>
      </c>
      <c r="D125" s="38"/>
      <c r="E125" s="39"/>
      <c r="F125" s="39"/>
      <c r="G125" s="39"/>
      <c r="H125" s="39"/>
      <c r="I125" s="39"/>
      <c r="J125" s="39"/>
      <c r="K125" s="39"/>
      <c r="L125" s="39"/>
      <c r="M125" s="39"/>
      <c r="N125" s="39"/>
    </row>
    <row r="126" spans="1:14" ht="30" customHeight="1" x14ac:dyDescent="0.25">
      <c r="A126" s="32" t="s">
        <v>261</v>
      </c>
      <c r="B126" s="33" t="s">
        <v>262</v>
      </c>
      <c r="C126" s="32" t="s">
        <v>15</v>
      </c>
      <c r="D126" s="34"/>
      <c r="E126" s="35"/>
      <c r="F126" s="35"/>
      <c r="G126" s="35"/>
      <c r="H126" s="35"/>
      <c r="I126" s="35"/>
      <c r="J126" s="35"/>
      <c r="K126" s="35"/>
      <c r="L126" s="35"/>
      <c r="M126" s="35"/>
      <c r="N126" s="35"/>
    </row>
    <row r="127" spans="1:14" ht="30" customHeight="1" x14ac:dyDescent="0.25">
      <c r="A127" s="32" t="s">
        <v>263</v>
      </c>
      <c r="B127" s="37" t="s">
        <v>264</v>
      </c>
      <c r="C127" s="32" t="s">
        <v>15</v>
      </c>
      <c r="D127" s="38"/>
      <c r="E127" s="39"/>
      <c r="F127" s="39"/>
      <c r="G127" s="39"/>
      <c r="H127" s="39"/>
      <c r="I127" s="39"/>
      <c r="J127" s="39"/>
      <c r="K127" s="39"/>
      <c r="L127" s="39"/>
      <c r="M127" s="39"/>
      <c r="N127" s="39"/>
    </row>
    <row r="128" spans="1:14" ht="30" customHeight="1" x14ac:dyDescent="0.25">
      <c r="A128" s="36" t="s">
        <v>265</v>
      </c>
      <c r="B128" s="33" t="s">
        <v>266</v>
      </c>
      <c r="C128" s="36" t="s">
        <v>18</v>
      </c>
      <c r="D128" s="34"/>
      <c r="E128" s="35"/>
      <c r="F128" s="35"/>
      <c r="G128" s="35"/>
      <c r="H128" s="35"/>
      <c r="I128" s="35"/>
      <c r="J128" s="35"/>
      <c r="K128" s="35"/>
      <c r="L128" s="35"/>
      <c r="M128" s="35"/>
      <c r="N128" s="35"/>
    </row>
    <row r="129" spans="1:14" ht="30" customHeight="1" x14ac:dyDescent="0.25">
      <c r="A129" s="32" t="s">
        <v>267</v>
      </c>
      <c r="B129" s="37" t="s">
        <v>268</v>
      </c>
      <c r="C129" s="32" t="s">
        <v>15</v>
      </c>
      <c r="D129" s="38"/>
      <c r="E129" s="39"/>
      <c r="F129" s="39"/>
      <c r="G129" s="39"/>
      <c r="H129" s="39"/>
      <c r="I129" s="39"/>
      <c r="J129" s="39"/>
      <c r="K129" s="39"/>
      <c r="L129" s="39"/>
      <c r="M129" s="39"/>
      <c r="N129" s="39"/>
    </row>
    <row r="130" spans="1:14" ht="30" customHeight="1" x14ac:dyDescent="0.25">
      <c r="A130" s="32" t="s">
        <v>269</v>
      </c>
      <c r="B130" s="33" t="s">
        <v>270</v>
      </c>
      <c r="C130" s="32" t="s">
        <v>15</v>
      </c>
      <c r="D130" s="34"/>
      <c r="E130" s="35"/>
      <c r="F130" s="35"/>
      <c r="G130" s="35"/>
      <c r="H130" s="35"/>
      <c r="I130" s="35"/>
      <c r="J130" s="35"/>
      <c r="K130" s="35"/>
      <c r="L130" s="35"/>
      <c r="M130" s="35"/>
      <c r="N130" s="35"/>
    </row>
    <row r="131" spans="1:14" ht="30" customHeight="1" x14ac:dyDescent="0.25">
      <c r="A131" s="32" t="s">
        <v>271</v>
      </c>
      <c r="B131" s="37" t="s">
        <v>272</v>
      </c>
      <c r="C131" s="32" t="s">
        <v>15</v>
      </c>
      <c r="D131" s="38"/>
      <c r="E131" s="39"/>
      <c r="F131" s="39"/>
      <c r="G131" s="39"/>
      <c r="H131" s="39"/>
      <c r="I131" s="39"/>
      <c r="J131" s="39"/>
      <c r="K131" s="39"/>
      <c r="L131" s="39"/>
      <c r="M131" s="39"/>
      <c r="N131" s="39"/>
    </row>
    <row r="132" spans="1:14" ht="30" customHeight="1" x14ac:dyDescent="0.25">
      <c r="A132" s="32" t="s">
        <v>273</v>
      </c>
      <c r="B132" s="33" t="s">
        <v>274</v>
      </c>
      <c r="C132" s="32" t="s">
        <v>15</v>
      </c>
      <c r="D132" s="34"/>
      <c r="E132" s="35"/>
      <c r="F132" s="35"/>
      <c r="G132" s="35"/>
      <c r="H132" s="35"/>
      <c r="I132" s="35"/>
      <c r="J132" s="35"/>
      <c r="K132" s="35"/>
      <c r="L132" s="35"/>
      <c r="M132" s="35"/>
      <c r="N132" s="35"/>
    </row>
    <row r="133" spans="1:14" ht="30" customHeight="1" x14ac:dyDescent="0.25">
      <c r="A133" s="36" t="s">
        <v>275</v>
      </c>
      <c r="B133" s="37" t="s">
        <v>276</v>
      </c>
      <c r="C133" s="36" t="s">
        <v>18</v>
      </c>
      <c r="D133" s="38"/>
      <c r="E133" s="39"/>
      <c r="F133" s="39"/>
      <c r="G133" s="39"/>
      <c r="H133" s="39"/>
      <c r="I133" s="39"/>
      <c r="J133" s="39"/>
      <c r="K133" s="39"/>
      <c r="L133" s="39"/>
      <c r="M133" s="39"/>
      <c r="N133" s="39"/>
    </row>
    <row r="134" spans="1:14" ht="30" customHeight="1" x14ac:dyDescent="0.25">
      <c r="A134" s="36" t="s">
        <v>277</v>
      </c>
      <c r="B134" s="33" t="s">
        <v>278</v>
      </c>
      <c r="C134" s="36" t="s">
        <v>18</v>
      </c>
      <c r="D134" s="34"/>
      <c r="E134" s="35"/>
      <c r="F134" s="35"/>
      <c r="G134" s="35"/>
      <c r="H134" s="35"/>
      <c r="I134" s="35"/>
      <c r="J134" s="35"/>
      <c r="K134" s="35"/>
      <c r="L134" s="35"/>
      <c r="M134" s="35"/>
      <c r="N134" s="35"/>
    </row>
    <row r="135" spans="1:14" ht="30" customHeight="1" x14ac:dyDescent="0.25">
      <c r="A135" s="32" t="s">
        <v>279</v>
      </c>
      <c r="B135" s="37" t="s">
        <v>280</v>
      </c>
      <c r="C135" s="32" t="s">
        <v>15</v>
      </c>
      <c r="D135" s="38"/>
      <c r="E135" s="39"/>
      <c r="F135" s="39"/>
      <c r="G135" s="39"/>
      <c r="H135" s="39"/>
      <c r="I135" s="39"/>
      <c r="J135" s="39"/>
      <c r="K135" s="39"/>
      <c r="L135" s="39"/>
      <c r="M135" s="39"/>
      <c r="N135" s="39"/>
    </row>
    <row r="136" spans="1:14" ht="30" customHeight="1" x14ac:dyDescent="0.25">
      <c r="A136" s="32" t="s">
        <v>281</v>
      </c>
      <c r="B136" s="33" t="s">
        <v>282</v>
      </c>
      <c r="C136" s="32" t="s">
        <v>15</v>
      </c>
      <c r="D136" s="34"/>
      <c r="E136" s="35"/>
      <c r="F136" s="35"/>
      <c r="G136" s="35"/>
      <c r="H136" s="35"/>
      <c r="I136" s="35"/>
      <c r="J136" s="35"/>
      <c r="K136" s="35"/>
      <c r="L136" s="35"/>
      <c r="M136" s="35"/>
      <c r="N136" s="35"/>
    </row>
    <row r="137" spans="1:14" ht="30" customHeight="1" x14ac:dyDescent="0.25">
      <c r="A137" s="36" t="s">
        <v>283</v>
      </c>
      <c r="B137" s="37" t="s">
        <v>284</v>
      </c>
      <c r="C137" s="36" t="s">
        <v>18</v>
      </c>
      <c r="D137" s="38"/>
      <c r="E137" s="39"/>
      <c r="F137" s="39"/>
      <c r="G137" s="39"/>
      <c r="H137" s="39"/>
      <c r="I137" s="39"/>
      <c r="J137" s="39"/>
      <c r="K137" s="39"/>
      <c r="L137" s="39"/>
      <c r="M137" s="39"/>
      <c r="N137" s="39"/>
    </row>
    <row r="138" spans="1:14" ht="30" customHeight="1" x14ac:dyDescent="0.25">
      <c r="A138" s="40" t="s">
        <v>285</v>
      </c>
      <c r="B138" s="33" t="s">
        <v>286</v>
      </c>
      <c r="C138" s="40" t="s">
        <v>21</v>
      </c>
      <c r="D138" s="34"/>
      <c r="E138" s="35"/>
      <c r="F138" s="35"/>
      <c r="G138" s="35"/>
      <c r="H138" s="35"/>
      <c r="I138" s="35"/>
      <c r="J138" s="35"/>
      <c r="K138" s="35"/>
      <c r="L138" s="35"/>
      <c r="M138" s="35"/>
      <c r="N138" s="35"/>
    </row>
    <row r="139" spans="1:14" ht="30" customHeight="1" x14ac:dyDescent="0.25">
      <c r="A139" s="36" t="s">
        <v>287</v>
      </c>
      <c r="B139" s="37" t="s">
        <v>288</v>
      </c>
      <c r="C139" s="36" t="s">
        <v>18</v>
      </c>
      <c r="D139" s="38" t="s">
        <v>50</v>
      </c>
      <c r="E139" s="39"/>
      <c r="F139" s="39"/>
      <c r="G139" s="39"/>
      <c r="H139" s="39"/>
      <c r="I139" s="39"/>
      <c r="J139" s="39"/>
      <c r="K139" s="39"/>
      <c r="L139" s="39"/>
      <c r="M139" s="39"/>
      <c r="N139" s="39"/>
    </row>
    <row r="140" spans="1:14" ht="30" customHeight="1" x14ac:dyDescent="0.25">
      <c r="A140" s="36" t="s">
        <v>289</v>
      </c>
      <c r="B140" s="33" t="s">
        <v>290</v>
      </c>
      <c r="C140" s="36" t="s">
        <v>18</v>
      </c>
      <c r="D140" s="34"/>
      <c r="E140" s="35"/>
      <c r="F140" s="35"/>
      <c r="G140" s="35"/>
      <c r="H140" s="35"/>
      <c r="I140" s="35"/>
      <c r="J140" s="35"/>
      <c r="K140" s="35"/>
      <c r="L140" s="35"/>
      <c r="M140" s="35"/>
      <c r="N140" s="35"/>
    </row>
    <row r="141" spans="1:14" ht="30" customHeight="1" x14ac:dyDescent="0.25">
      <c r="A141" s="36" t="s">
        <v>291</v>
      </c>
      <c r="B141" s="37" t="s">
        <v>292</v>
      </c>
      <c r="C141" s="36" t="s">
        <v>18</v>
      </c>
      <c r="D141" s="38"/>
      <c r="E141" s="39"/>
      <c r="F141" s="39"/>
      <c r="G141" s="39"/>
      <c r="H141" s="39"/>
      <c r="I141" s="39"/>
      <c r="J141" s="39"/>
      <c r="K141" s="39"/>
      <c r="L141" s="39"/>
      <c r="M141" s="39"/>
      <c r="N141" s="39"/>
    </row>
    <row r="142" spans="1:14" ht="30" customHeight="1" x14ac:dyDescent="0.25">
      <c r="A142" s="40" t="s">
        <v>293</v>
      </c>
      <c r="B142" s="33" t="s">
        <v>294</v>
      </c>
      <c r="C142" s="40" t="s">
        <v>21</v>
      </c>
      <c r="D142" s="34" t="s">
        <v>50</v>
      </c>
      <c r="E142" s="35"/>
      <c r="F142" s="35"/>
      <c r="G142" s="35"/>
      <c r="H142" s="35"/>
      <c r="I142" s="35"/>
      <c r="J142" s="35"/>
      <c r="K142" s="35"/>
      <c r="L142" s="35"/>
      <c r="M142" s="35"/>
      <c r="N142" s="35"/>
    </row>
    <row r="143" spans="1:14" ht="30" customHeight="1" x14ac:dyDescent="0.25">
      <c r="A143" s="32" t="s">
        <v>295</v>
      </c>
      <c r="B143" s="37" t="s">
        <v>296</v>
      </c>
      <c r="C143" s="32" t="s">
        <v>15</v>
      </c>
      <c r="D143" s="38"/>
      <c r="E143" s="39"/>
      <c r="F143" s="39"/>
      <c r="G143" s="39"/>
      <c r="H143" s="39"/>
      <c r="I143" s="39"/>
      <c r="J143" s="39"/>
      <c r="K143" s="39"/>
      <c r="L143" s="39"/>
      <c r="M143" s="39"/>
      <c r="N143" s="39"/>
    </row>
    <row r="144" spans="1:14" ht="30" customHeight="1" x14ac:dyDescent="0.25">
      <c r="A144" s="32" t="s">
        <v>297</v>
      </c>
      <c r="B144" s="33" t="s">
        <v>298</v>
      </c>
      <c r="C144" s="32" t="s">
        <v>15</v>
      </c>
      <c r="D144" s="34"/>
      <c r="E144" s="35"/>
      <c r="F144" s="35"/>
      <c r="G144" s="35"/>
      <c r="H144" s="35"/>
      <c r="I144" s="35"/>
      <c r="J144" s="35"/>
      <c r="K144" s="35"/>
      <c r="L144" s="35"/>
      <c r="M144" s="35"/>
      <c r="N144" s="35"/>
    </row>
    <row r="145" spans="1:14" ht="30" customHeight="1" x14ac:dyDescent="0.25">
      <c r="A145" s="36" t="s">
        <v>299</v>
      </c>
      <c r="B145" s="37" t="s">
        <v>300</v>
      </c>
      <c r="C145" s="36" t="s">
        <v>18</v>
      </c>
      <c r="D145" s="38"/>
      <c r="E145" s="39"/>
      <c r="F145" s="39"/>
      <c r="G145" s="39"/>
      <c r="H145" s="39"/>
      <c r="I145" s="39"/>
      <c r="J145" s="39"/>
      <c r="K145" s="39"/>
      <c r="L145" s="39"/>
      <c r="M145" s="39"/>
      <c r="N145" s="39"/>
    </row>
    <row r="146" spans="1:14" ht="30" customHeight="1" x14ac:dyDescent="0.25">
      <c r="A146" s="36" t="s">
        <v>301</v>
      </c>
      <c r="B146" s="33" t="s">
        <v>302</v>
      </c>
      <c r="C146" s="36" t="s">
        <v>18</v>
      </c>
      <c r="D146" s="34"/>
      <c r="E146" s="35"/>
      <c r="F146" s="35"/>
      <c r="G146" s="35"/>
      <c r="H146" s="35"/>
      <c r="I146" s="35"/>
      <c r="J146" s="35"/>
      <c r="K146" s="35"/>
      <c r="L146" s="35"/>
      <c r="M146" s="35"/>
      <c r="N146" s="35"/>
    </row>
    <row r="147" spans="1:14" ht="30" customHeight="1" x14ac:dyDescent="0.25">
      <c r="A147" s="32" t="s">
        <v>303</v>
      </c>
      <c r="B147" s="37" t="s">
        <v>304</v>
      </c>
      <c r="C147" s="32" t="s">
        <v>15</v>
      </c>
      <c r="D147" s="38" t="s">
        <v>50</v>
      </c>
      <c r="E147" s="39"/>
      <c r="F147" s="39"/>
      <c r="G147" s="39"/>
      <c r="H147" s="39"/>
      <c r="I147" s="39"/>
      <c r="J147" s="39"/>
      <c r="K147" s="39"/>
      <c r="L147" s="39"/>
      <c r="M147" s="39"/>
      <c r="N147" s="39"/>
    </row>
    <row r="148" spans="1:14" ht="30" customHeight="1" x14ac:dyDescent="0.25">
      <c r="A148" s="36" t="s">
        <v>305</v>
      </c>
      <c r="B148" s="33" t="s">
        <v>306</v>
      </c>
      <c r="C148" s="36" t="s">
        <v>18</v>
      </c>
      <c r="D148" s="34"/>
      <c r="E148" s="35"/>
      <c r="F148" s="35"/>
      <c r="G148" s="35"/>
      <c r="H148" s="35"/>
      <c r="I148" s="35"/>
      <c r="J148" s="35"/>
      <c r="K148" s="35"/>
      <c r="L148" s="35"/>
      <c r="M148" s="35"/>
      <c r="N148" s="35"/>
    </row>
    <row r="149" spans="1:14" ht="30" customHeight="1" x14ac:dyDescent="0.25">
      <c r="A149" s="36" t="s">
        <v>307</v>
      </c>
      <c r="B149" s="37" t="s">
        <v>308</v>
      </c>
      <c r="C149" s="36" t="s">
        <v>18</v>
      </c>
      <c r="D149" s="38"/>
      <c r="E149" s="39"/>
      <c r="F149" s="39"/>
      <c r="G149" s="39"/>
      <c r="H149" s="39"/>
      <c r="I149" s="39"/>
      <c r="J149" s="39"/>
      <c r="K149" s="39"/>
      <c r="L149" s="39"/>
      <c r="M149" s="39"/>
      <c r="N149" s="39"/>
    </row>
    <row r="150" spans="1:14" ht="30" customHeight="1" x14ac:dyDescent="0.25">
      <c r="A150" s="36" t="s">
        <v>309</v>
      </c>
      <c r="B150" s="33" t="s">
        <v>310</v>
      </c>
      <c r="C150" s="36" t="s">
        <v>18</v>
      </c>
      <c r="D150" s="34"/>
      <c r="E150" s="35"/>
      <c r="F150" s="35"/>
      <c r="G150" s="35"/>
      <c r="H150" s="35"/>
      <c r="I150" s="35"/>
      <c r="J150" s="35"/>
      <c r="K150" s="35"/>
      <c r="L150" s="35"/>
      <c r="M150" s="35"/>
      <c r="N150" s="35"/>
    </row>
    <row r="151" spans="1:14" ht="30" customHeight="1" x14ac:dyDescent="0.25">
      <c r="A151" s="36" t="s">
        <v>311</v>
      </c>
      <c r="B151" s="37" t="s">
        <v>312</v>
      </c>
      <c r="C151" s="36" t="s">
        <v>18</v>
      </c>
      <c r="D151" s="38"/>
      <c r="E151" s="39"/>
      <c r="F151" s="39"/>
      <c r="G151" s="39"/>
      <c r="H151" s="39"/>
      <c r="I151" s="39"/>
      <c r="J151" s="39"/>
      <c r="K151" s="39"/>
      <c r="L151" s="39"/>
      <c r="M151" s="39"/>
      <c r="N151" s="39"/>
    </row>
    <row r="152" spans="1:14" ht="30" customHeight="1" x14ac:dyDescent="0.25">
      <c r="A152" s="32" t="s">
        <v>313</v>
      </c>
      <c r="B152" s="33" t="s">
        <v>314</v>
      </c>
      <c r="C152" s="32" t="s">
        <v>15</v>
      </c>
      <c r="D152" s="34"/>
      <c r="E152" s="35"/>
      <c r="F152" s="35"/>
      <c r="G152" s="35"/>
      <c r="H152" s="35"/>
      <c r="I152" s="35"/>
      <c r="J152" s="35"/>
      <c r="K152" s="35"/>
      <c r="L152" s="35"/>
      <c r="M152" s="35"/>
      <c r="N152" s="35"/>
    </row>
    <row r="153" spans="1:14" ht="30" customHeight="1" x14ac:dyDescent="0.25">
      <c r="A153" s="32" t="s">
        <v>315</v>
      </c>
      <c r="B153" s="37" t="s">
        <v>316</v>
      </c>
      <c r="C153" s="32" t="s">
        <v>15</v>
      </c>
      <c r="D153" s="38"/>
      <c r="E153" s="39"/>
      <c r="F153" s="39"/>
      <c r="G153" s="39"/>
      <c r="H153" s="39"/>
      <c r="I153" s="39"/>
      <c r="J153" s="39"/>
      <c r="K153" s="39"/>
      <c r="L153" s="39"/>
      <c r="M153" s="39"/>
      <c r="N153" s="39"/>
    </row>
    <row r="154" spans="1:14" ht="30" customHeight="1" x14ac:dyDescent="0.25">
      <c r="A154" s="40" t="s">
        <v>317</v>
      </c>
      <c r="B154" s="33" t="s">
        <v>318</v>
      </c>
      <c r="C154" s="40" t="s">
        <v>21</v>
      </c>
      <c r="D154" s="34" t="s">
        <v>50</v>
      </c>
      <c r="E154" s="35"/>
      <c r="F154" s="35"/>
      <c r="G154" s="35"/>
      <c r="H154" s="35"/>
      <c r="I154" s="35"/>
      <c r="J154" s="35"/>
      <c r="K154" s="35"/>
      <c r="L154" s="35"/>
      <c r="M154" s="35"/>
      <c r="N154" s="35"/>
    </row>
    <row r="155" spans="1:14" ht="30" customHeight="1" x14ac:dyDescent="0.25">
      <c r="A155" s="32" t="s">
        <v>319</v>
      </c>
      <c r="B155" s="37" t="s">
        <v>320</v>
      </c>
      <c r="C155" s="32" t="s">
        <v>15</v>
      </c>
      <c r="D155" s="38"/>
      <c r="E155" s="39"/>
      <c r="F155" s="39"/>
      <c r="G155" s="39"/>
      <c r="H155" s="39"/>
      <c r="I155" s="39"/>
      <c r="J155" s="39"/>
      <c r="K155" s="39"/>
      <c r="L155" s="39"/>
      <c r="M155" s="39"/>
      <c r="N155" s="39"/>
    </row>
    <row r="156" spans="1:14" ht="30" customHeight="1" x14ac:dyDescent="0.25">
      <c r="A156" s="32" t="s">
        <v>321</v>
      </c>
      <c r="B156" s="33" t="s">
        <v>322</v>
      </c>
      <c r="C156" s="32" t="s">
        <v>15</v>
      </c>
      <c r="D156" s="34"/>
      <c r="E156" s="35"/>
      <c r="F156" s="35"/>
      <c r="G156" s="35"/>
      <c r="H156" s="35"/>
      <c r="I156" s="35"/>
      <c r="J156" s="35"/>
      <c r="K156" s="35"/>
      <c r="L156" s="35"/>
      <c r="M156" s="35"/>
      <c r="N156" s="35"/>
    </row>
    <row r="157" spans="1:14" ht="30" customHeight="1" x14ac:dyDescent="0.25">
      <c r="A157" s="36" t="s">
        <v>323</v>
      </c>
      <c r="B157" s="37" t="s">
        <v>324</v>
      </c>
      <c r="C157" s="36" t="s">
        <v>18</v>
      </c>
      <c r="D157" s="38"/>
      <c r="E157" s="39"/>
      <c r="F157" s="39"/>
      <c r="G157" s="39"/>
      <c r="H157" s="39"/>
      <c r="I157" s="39"/>
      <c r="J157" s="39"/>
      <c r="K157" s="39"/>
      <c r="L157" s="39"/>
      <c r="M157" s="39"/>
      <c r="N157" s="39"/>
    </row>
    <row r="158" spans="1:14" ht="30" customHeight="1" x14ac:dyDescent="0.25">
      <c r="A158" s="36" t="s">
        <v>325</v>
      </c>
      <c r="B158" s="33" t="s">
        <v>326</v>
      </c>
      <c r="C158" s="36" t="s">
        <v>18</v>
      </c>
      <c r="D158" s="34"/>
      <c r="E158" s="35"/>
      <c r="F158" s="35"/>
      <c r="G158" s="35"/>
      <c r="H158" s="35"/>
      <c r="I158" s="35"/>
      <c r="J158" s="35"/>
      <c r="K158" s="35"/>
      <c r="L158" s="35"/>
      <c r="M158" s="35"/>
      <c r="N158" s="35"/>
    </row>
    <row r="159" spans="1:14" ht="30" customHeight="1" x14ac:dyDescent="0.25">
      <c r="A159" s="40" t="s">
        <v>327</v>
      </c>
      <c r="B159" s="37" t="s">
        <v>328</v>
      </c>
      <c r="C159" s="40" t="s">
        <v>21</v>
      </c>
      <c r="D159" s="38"/>
      <c r="E159" s="39"/>
      <c r="F159" s="39"/>
      <c r="G159" s="39"/>
      <c r="H159" s="39"/>
      <c r="I159" s="39"/>
      <c r="J159" s="39"/>
      <c r="K159" s="39"/>
      <c r="L159" s="39"/>
      <c r="M159" s="39"/>
      <c r="N159" s="39"/>
    </row>
    <row r="160" spans="1:14" ht="30" customHeight="1" x14ac:dyDescent="0.25">
      <c r="A160" s="32" t="s">
        <v>329</v>
      </c>
      <c r="B160" s="33" t="s">
        <v>330</v>
      </c>
      <c r="C160" s="32" t="s">
        <v>15</v>
      </c>
      <c r="D160" s="34"/>
      <c r="E160" s="35"/>
      <c r="F160" s="35"/>
      <c r="G160" s="35"/>
      <c r="H160" s="35"/>
      <c r="I160" s="35"/>
      <c r="J160" s="35"/>
      <c r="K160" s="35"/>
      <c r="L160" s="35"/>
      <c r="M160" s="35"/>
      <c r="N160" s="35"/>
    </row>
    <row r="161" spans="1:14" ht="30" customHeight="1" x14ac:dyDescent="0.25">
      <c r="A161" s="32" t="s">
        <v>331</v>
      </c>
      <c r="B161" s="37" t="s">
        <v>332</v>
      </c>
      <c r="C161" s="32" t="s">
        <v>15</v>
      </c>
      <c r="D161" s="38"/>
      <c r="E161" s="39"/>
      <c r="F161" s="39"/>
      <c r="G161" s="39"/>
      <c r="H161" s="39"/>
      <c r="I161" s="39"/>
      <c r="J161" s="39"/>
      <c r="K161" s="39"/>
      <c r="L161" s="39"/>
      <c r="M161" s="39"/>
      <c r="N161" s="39"/>
    </row>
    <row r="162" spans="1:14" ht="30" customHeight="1" x14ac:dyDescent="0.25">
      <c r="A162" s="32" t="s">
        <v>333</v>
      </c>
      <c r="B162" s="33" t="s">
        <v>334</v>
      </c>
      <c r="C162" s="32" t="s">
        <v>15</v>
      </c>
      <c r="D162" s="34"/>
      <c r="E162" s="35"/>
      <c r="F162" s="35"/>
      <c r="G162" s="35"/>
      <c r="H162" s="35"/>
      <c r="I162" s="35"/>
      <c r="J162" s="35"/>
      <c r="K162" s="35"/>
      <c r="L162" s="35"/>
      <c r="M162" s="35"/>
      <c r="N162" s="35"/>
    </row>
    <row r="163" spans="1:14" ht="30" customHeight="1" x14ac:dyDescent="0.25">
      <c r="A163" s="36" t="s">
        <v>335</v>
      </c>
      <c r="B163" s="37" t="s">
        <v>336</v>
      </c>
      <c r="C163" s="36" t="s">
        <v>18</v>
      </c>
      <c r="D163" s="38"/>
      <c r="E163" s="39"/>
      <c r="F163" s="39"/>
      <c r="G163" s="39"/>
      <c r="H163" s="39"/>
      <c r="I163" s="39"/>
      <c r="J163" s="39"/>
      <c r="K163" s="39"/>
      <c r="L163" s="39"/>
      <c r="M163" s="39"/>
      <c r="N163" s="39"/>
    </row>
    <row r="164" spans="1:14" ht="30" customHeight="1" x14ac:dyDescent="0.25">
      <c r="A164" s="36" t="s">
        <v>337</v>
      </c>
      <c r="B164" s="33" t="s">
        <v>338</v>
      </c>
      <c r="C164" s="36" t="s">
        <v>18</v>
      </c>
      <c r="D164" s="34"/>
      <c r="E164" s="35"/>
      <c r="F164" s="35"/>
      <c r="G164" s="35"/>
      <c r="H164" s="35"/>
      <c r="I164" s="35"/>
      <c r="J164" s="35"/>
      <c r="K164" s="35"/>
      <c r="L164" s="35"/>
      <c r="M164" s="35"/>
      <c r="N164" s="35"/>
    </row>
    <row r="165" spans="1:14" ht="30" customHeight="1" x14ac:dyDescent="0.25">
      <c r="A165" s="40" t="s">
        <v>339</v>
      </c>
      <c r="B165" s="37" t="s">
        <v>340</v>
      </c>
      <c r="C165" s="40" t="s">
        <v>21</v>
      </c>
      <c r="D165" s="38" t="s">
        <v>50</v>
      </c>
      <c r="E165" s="39"/>
      <c r="F165" s="39"/>
      <c r="G165" s="39"/>
      <c r="H165" s="39"/>
      <c r="I165" s="39"/>
      <c r="J165" s="39"/>
      <c r="K165" s="39"/>
      <c r="L165" s="39"/>
      <c r="M165" s="39"/>
      <c r="N165" s="39"/>
    </row>
    <row r="166" spans="1:14" ht="30" customHeight="1" x14ac:dyDescent="0.25">
      <c r="A166" s="40" t="s">
        <v>341</v>
      </c>
      <c r="B166" s="33" t="s">
        <v>342</v>
      </c>
      <c r="C166" s="40" t="s">
        <v>21</v>
      </c>
      <c r="D166" s="34" t="s">
        <v>50</v>
      </c>
      <c r="E166" s="35"/>
      <c r="F166" s="35"/>
      <c r="G166" s="35"/>
      <c r="H166" s="35"/>
      <c r="I166" s="35"/>
      <c r="J166" s="35"/>
      <c r="K166" s="35"/>
      <c r="L166" s="35"/>
      <c r="M166" s="35"/>
      <c r="N166" s="35"/>
    </row>
    <row r="167" spans="1:14" ht="30" customHeight="1" x14ac:dyDescent="0.25">
      <c r="A167" s="32" t="s">
        <v>343</v>
      </c>
      <c r="B167" s="37" t="s">
        <v>344</v>
      </c>
      <c r="C167" s="32" t="s">
        <v>15</v>
      </c>
      <c r="D167" s="38" t="s">
        <v>50</v>
      </c>
      <c r="E167" s="39"/>
      <c r="F167" s="39"/>
      <c r="G167" s="39"/>
      <c r="H167" s="39"/>
      <c r="I167" s="39"/>
      <c r="J167" s="39"/>
      <c r="K167" s="39"/>
      <c r="L167" s="39"/>
      <c r="M167" s="39"/>
      <c r="N167" s="39"/>
    </row>
    <row r="168" spans="1:14" ht="30" customHeight="1" x14ac:dyDescent="0.25">
      <c r="A168" s="32" t="s">
        <v>345</v>
      </c>
      <c r="B168" s="33" t="s">
        <v>346</v>
      </c>
      <c r="C168" s="32" t="s">
        <v>15</v>
      </c>
      <c r="D168" s="34" t="s">
        <v>50</v>
      </c>
      <c r="E168" s="35"/>
      <c r="F168" s="35"/>
      <c r="G168" s="35"/>
      <c r="H168" s="35"/>
      <c r="I168" s="35"/>
      <c r="J168" s="35"/>
      <c r="K168" s="35"/>
      <c r="L168" s="35"/>
      <c r="M168" s="35"/>
      <c r="N168" s="35"/>
    </row>
    <row r="169" spans="1:14" ht="30" customHeight="1" x14ac:dyDescent="0.25">
      <c r="A169" s="36" t="s">
        <v>347</v>
      </c>
      <c r="B169" s="37" t="s">
        <v>348</v>
      </c>
      <c r="C169" s="36" t="s">
        <v>18</v>
      </c>
      <c r="D169" s="38"/>
      <c r="E169" s="39"/>
      <c r="F169" s="39"/>
      <c r="G169" s="39"/>
      <c r="H169" s="39"/>
      <c r="I169" s="39"/>
      <c r="J169" s="39"/>
      <c r="K169" s="39"/>
      <c r="L169" s="39"/>
      <c r="M169" s="39"/>
      <c r="N169" s="39"/>
    </row>
    <row r="170" spans="1:14" ht="30" customHeight="1" x14ac:dyDescent="0.25">
      <c r="A170" s="36" t="s">
        <v>349</v>
      </c>
      <c r="B170" s="33" t="s">
        <v>350</v>
      </c>
      <c r="C170" s="36" t="s">
        <v>18</v>
      </c>
      <c r="D170" s="34"/>
      <c r="E170" s="35"/>
      <c r="F170" s="35"/>
      <c r="G170" s="35"/>
      <c r="H170" s="35"/>
      <c r="I170" s="35"/>
      <c r="J170" s="35"/>
      <c r="K170" s="35"/>
      <c r="L170" s="35"/>
      <c r="M170" s="35"/>
      <c r="N170" s="35"/>
    </row>
    <row r="171" spans="1:14" ht="30" customHeight="1" x14ac:dyDescent="0.25">
      <c r="A171" s="36" t="s">
        <v>351</v>
      </c>
      <c r="B171" s="37" t="s">
        <v>352</v>
      </c>
      <c r="C171" s="36" t="s">
        <v>18</v>
      </c>
      <c r="D171" s="38"/>
      <c r="E171" s="39"/>
      <c r="F171" s="39"/>
      <c r="G171" s="39"/>
      <c r="H171" s="39"/>
      <c r="I171" s="39"/>
      <c r="J171" s="39"/>
      <c r="K171" s="39"/>
      <c r="L171" s="39"/>
      <c r="M171" s="39"/>
      <c r="N171" s="39"/>
    </row>
    <row r="172" spans="1:14" ht="30" customHeight="1" x14ac:dyDescent="0.25">
      <c r="A172" s="36" t="s">
        <v>353</v>
      </c>
      <c r="B172" s="33" t="s">
        <v>354</v>
      </c>
      <c r="C172" s="36" t="s">
        <v>18</v>
      </c>
      <c r="D172" s="34"/>
      <c r="E172" s="35"/>
      <c r="F172" s="35"/>
      <c r="G172" s="35"/>
      <c r="H172" s="35"/>
      <c r="I172" s="35"/>
      <c r="J172" s="35"/>
      <c r="K172" s="35"/>
      <c r="L172" s="35"/>
      <c r="M172" s="35"/>
      <c r="N172" s="35"/>
    </row>
    <row r="173" spans="1:14" ht="30" customHeight="1" x14ac:dyDescent="0.25">
      <c r="A173" s="36" t="s">
        <v>355</v>
      </c>
      <c r="B173" s="37" t="s">
        <v>356</v>
      </c>
      <c r="C173" s="36" t="s">
        <v>18</v>
      </c>
      <c r="D173" s="38"/>
      <c r="E173" s="39"/>
      <c r="F173" s="39"/>
      <c r="G173" s="39"/>
      <c r="H173" s="39"/>
      <c r="I173" s="39"/>
      <c r="J173" s="39"/>
      <c r="K173" s="39"/>
      <c r="L173" s="39"/>
      <c r="M173" s="39"/>
      <c r="N173" s="39"/>
    </row>
    <row r="174" spans="1:14" ht="30" customHeight="1" x14ac:dyDescent="0.25">
      <c r="A174" s="32" t="s">
        <v>357</v>
      </c>
      <c r="B174" s="33" t="s">
        <v>358</v>
      </c>
      <c r="C174" s="32" t="s">
        <v>15</v>
      </c>
      <c r="D174" s="34"/>
      <c r="E174" s="35"/>
      <c r="F174" s="35"/>
      <c r="G174" s="35"/>
      <c r="H174" s="35"/>
      <c r="I174" s="35"/>
      <c r="J174" s="35"/>
      <c r="K174" s="35"/>
      <c r="L174" s="35"/>
      <c r="M174" s="35"/>
      <c r="N174" s="35"/>
    </row>
    <row r="175" spans="1:14" ht="30" customHeight="1" x14ac:dyDescent="0.25">
      <c r="A175" s="36" t="s">
        <v>359</v>
      </c>
      <c r="B175" s="37" t="s">
        <v>360</v>
      </c>
      <c r="C175" s="36" t="s">
        <v>18</v>
      </c>
      <c r="D175" s="38"/>
      <c r="E175" s="39"/>
      <c r="F175" s="39"/>
      <c r="G175" s="39"/>
      <c r="H175" s="39"/>
      <c r="I175" s="39"/>
      <c r="J175" s="39"/>
      <c r="K175" s="39"/>
      <c r="L175" s="39"/>
      <c r="M175" s="39"/>
      <c r="N175" s="39"/>
    </row>
    <row r="176" spans="1:14" ht="30" customHeight="1" x14ac:dyDescent="0.25">
      <c r="A176" s="36" t="s">
        <v>361</v>
      </c>
      <c r="B176" s="33" t="s">
        <v>362</v>
      </c>
      <c r="C176" s="36" t="s">
        <v>18</v>
      </c>
      <c r="D176" s="34"/>
      <c r="E176" s="35"/>
      <c r="F176" s="35"/>
      <c r="G176" s="35"/>
      <c r="H176" s="35"/>
      <c r="I176" s="35"/>
      <c r="J176" s="35"/>
      <c r="K176" s="35"/>
      <c r="L176" s="35"/>
      <c r="M176" s="35"/>
      <c r="N176" s="35"/>
    </row>
    <row r="177" spans="1:14" ht="30" customHeight="1" x14ac:dyDescent="0.25">
      <c r="A177" s="32" t="s">
        <v>363</v>
      </c>
      <c r="B177" s="37" t="s">
        <v>364</v>
      </c>
      <c r="C177" s="32" t="s">
        <v>15</v>
      </c>
      <c r="D177" s="38"/>
      <c r="E177" s="39"/>
      <c r="F177" s="39"/>
      <c r="G177" s="39"/>
      <c r="H177" s="39"/>
      <c r="I177" s="39"/>
      <c r="J177" s="39"/>
      <c r="K177" s="39"/>
      <c r="L177" s="39"/>
      <c r="M177" s="39"/>
      <c r="N177" s="39"/>
    </row>
    <row r="178" spans="1:14" ht="30" customHeight="1" x14ac:dyDescent="0.25">
      <c r="A178" s="40" t="s">
        <v>365</v>
      </c>
      <c r="B178" s="33" t="s">
        <v>366</v>
      </c>
      <c r="C178" s="40" t="s">
        <v>21</v>
      </c>
      <c r="D178" s="34"/>
      <c r="E178" s="35"/>
      <c r="F178" s="35"/>
      <c r="G178" s="35"/>
      <c r="H178" s="35"/>
      <c r="I178" s="35"/>
      <c r="J178" s="35"/>
      <c r="K178" s="35"/>
      <c r="L178" s="35"/>
      <c r="M178" s="35"/>
      <c r="N178" s="35"/>
    </row>
    <row r="179" spans="1:14" ht="30" customHeight="1" x14ac:dyDescent="0.25">
      <c r="A179" s="40" t="s">
        <v>367</v>
      </c>
      <c r="B179" s="37" t="s">
        <v>368</v>
      </c>
      <c r="C179" s="40" t="s">
        <v>21</v>
      </c>
      <c r="D179" s="38" t="s">
        <v>50</v>
      </c>
      <c r="E179" s="39"/>
      <c r="F179" s="39"/>
      <c r="G179" s="39"/>
      <c r="H179" s="39"/>
      <c r="I179" s="39"/>
      <c r="J179" s="39"/>
      <c r="K179" s="39"/>
      <c r="L179" s="39"/>
      <c r="M179" s="39"/>
      <c r="N179" s="39"/>
    </row>
    <row r="180" spans="1:14" ht="30" customHeight="1" x14ac:dyDescent="0.25">
      <c r="A180" s="32" t="s">
        <v>369</v>
      </c>
      <c r="B180" s="33" t="s">
        <v>370</v>
      </c>
      <c r="C180" s="32" t="s">
        <v>15</v>
      </c>
      <c r="D180" s="34" t="s">
        <v>50</v>
      </c>
      <c r="E180" s="35"/>
      <c r="F180" s="35"/>
      <c r="G180" s="35"/>
      <c r="H180" s="35"/>
      <c r="I180" s="35"/>
      <c r="J180" s="35"/>
      <c r="K180" s="35"/>
      <c r="L180" s="35"/>
      <c r="M180" s="35"/>
      <c r="N180" s="35"/>
    </row>
    <row r="181" spans="1:14" ht="30" customHeight="1" x14ac:dyDescent="0.25">
      <c r="A181" s="36" t="s">
        <v>371</v>
      </c>
      <c r="B181" s="37" t="s">
        <v>372</v>
      </c>
      <c r="C181" s="36" t="s">
        <v>18</v>
      </c>
      <c r="D181" s="38"/>
      <c r="E181" s="39"/>
      <c r="F181" s="39"/>
      <c r="G181" s="39"/>
      <c r="H181" s="39"/>
      <c r="I181" s="39"/>
      <c r="J181" s="39"/>
      <c r="K181" s="39"/>
      <c r="L181" s="39"/>
      <c r="M181" s="39"/>
      <c r="N181" s="39"/>
    </row>
    <row r="182" spans="1:14" ht="30" customHeight="1" x14ac:dyDescent="0.25">
      <c r="A182" s="32" t="s">
        <v>373</v>
      </c>
      <c r="B182" s="33" t="s">
        <v>374</v>
      </c>
      <c r="C182" s="32" t="s">
        <v>15</v>
      </c>
      <c r="D182" s="34"/>
      <c r="E182" s="35"/>
      <c r="F182" s="35"/>
      <c r="G182" s="35"/>
      <c r="H182" s="35"/>
      <c r="I182" s="35"/>
      <c r="J182" s="35"/>
      <c r="K182" s="35"/>
      <c r="L182" s="35"/>
      <c r="M182" s="35"/>
      <c r="N182" s="35"/>
    </row>
    <row r="183" spans="1:14" ht="30" customHeight="1" x14ac:dyDescent="0.25">
      <c r="A183" s="36" t="s">
        <v>375</v>
      </c>
      <c r="B183" s="37" t="s">
        <v>376</v>
      </c>
      <c r="C183" s="36" t="s">
        <v>18</v>
      </c>
      <c r="D183" s="38"/>
      <c r="E183" s="39"/>
      <c r="F183" s="39"/>
      <c r="G183" s="39"/>
      <c r="H183" s="39"/>
      <c r="I183" s="39"/>
      <c r="J183" s="39"/>
      <c r="K183" s="39"/>
      <c r="L183" s="39"/>
      <c r="M183" s="39"/>
      <c r="N183" s="39"/>
    </row>
    <row r="184" spans="1:14" ht="30" customHeight="1" x14ac:dyDescent="0.25">
      <c r="A184" s="40" t="s">
        <v>377</v>
      </c>
      <c r="B184" s="33" t="s">
        <v>378</v>
      </c>
      <c r="C184" s="40" t="s">
        <v>21</v>
      </c>
      <c r="D184" s="34"/>
      <c r="E184" s="35"/>
      <c r="F184" s="35"/>
      <c r="G184" s="35"/>
      <c r="H184" s="35"/>
      <c r="I184" s="35"/>
      <c r="J184" s="35"/>
      <c r="K184" s="35"/>
      <c r="L184" s="35"/>
      <c r="M184" s="35"/>
      <c r="N184" s="35"/>
    </row>
    <row r="185" spans="1:14" ht="30" customHeight="1" x14ac:dyDescent="0.25">
      <c r="A185" s="32" t="s">
        <v>379</v>
      </c>
      <c r="B185" s="37" t="s">
        <v>380</v>
      </c>
      <c r="C185" s="32" t="s">
        <v>15</v>
      </c>
      <c r="D185" s="38"/>
      <c r="E185" s="39"/>
      <c r="F185" s="39"/>
      <c r="G185" s="39"/>
      <c r="H185" s="39"/>
      <c r="I185" s="39"/>
      <c r="J185" s="39"/>
      <c r="K185" s="39"/>
      <c r="L185" s="39"/>
      <c r="M185" s="39"/>
      <c r="N185" s="39"/>
    </row>
    <row r="186" spans="1:14" ht="30" customHeight="1" x14ac:dyDescent="0.25">
      <c r="A186" s="32" t="s">
        <v>381</v>
      </c>
      <c r="B186" s="33" t="s">
        <v>382</v>
      </c>
      <c r="C186" s="32" t="s">
        <v>15</v>
      </c>
      <c r="D186" s="34"/>
      <c r="E186" s="35"/>
      <c r="F186" s="35"/>
      <c r="G186" s="35"/>
      <c r="H186" s="35"/>
      <c r="I186" s="35"/>
      <c r="J186" s="35"/>
      <c r="K186" s="35"/>
      <c r="L186" s="35"/>
      <c r="M186" s="35"/>
      <c r="N186" s="35"/>
    </row>
    <row r="187" spans="1:14" ht="30" customHeight="1" x14ac:dyDescent="0.25">
      <c r="A187" s="32" t="s">
        <v>383</v>
      </c>
      <c r="B187" s="37" t="s">
        <v>384</v>
      </c>
      <c r="C187" s="32" t="s">
        <v>15</v>
      </c>
      <c r="D187" s="38"/>
      <c r="E187" s="39"/>
      <c r="F187" s="39"/>
      <c r="G187" s="39"/>
      <c r="H187" s="39"/>
      <c r="I187" s="39"/>
      <c r="J187" s="39"/>
      <c r="K187" s="39"/>
      <c r="L187" s="39"/>
      <c r="M187" s="39"/>
      <c r="N187" s="39"/>
    </row>
    <row r="188" spans="1:14" ht="30" customHeight="1" x14ac:dyDescent="0.25">
      <c r="A188" s="32" t="s">
        <v>385</v>
      </c>
      <c r="B188" s="33" t="s">
        <v>386</v>
      </c>
      <c r="C188" s="32" t="s">
        <v>15</v>
      </c>
      <c r="D188" s="34"/>
      <c r="E188" s="35"/>
      <c r="F188" s="35"/>
      <c r="G188" s="35"/>
      <c r="H188" s="35"/>
      <c r="I188" s="35"/>
      <c r="J188" s="35"/>
      <c r="K188" s="35"/>
      <c r="L188" s="35"/>
      <c r="M188" s="35"/>
      <c r="N188" s="35"/>
    </row>
    <row r="189" spans="1:14" ht="30" customHeight="1" x14ac:dyDescent="0.25">
      <c r="A189" s="36" t="s">
        <v>387</v>
      </c>
      <c r="B189" s="37" t="s">
        <v>388</v>
      </c>
      <c r="C189" s="36" t="s">
        <v>18</v>
      </c>
      <c r="D189" s="38"/>
      <c r="E189" s="39"/>
      <c r="F189" s="39"/>
      <c r="G189" s="39"/>
      <c r="H189" s="39"/>
      <c r="I189" s="39"/>
      <c r="J189" s="39"/>
      <c r="K189" s="39"/>
      <c r="L189" s="39"/>
      <c r="M189" s="39"/>
      <c r="N189" s="39"/>
    </row>
    <row r="190" spans="1:14" ht="30" customHeight="1" x14ac:dyDescent="0.25">
      <c r="A190" s="36" t="s">
        <v>389</v>
      </c>
      <c r="B190" s="33" t="s">
        <v>390</v>
      </c>
      <c r="C190" s="36" t="s">
        <v>18</v>
      </c>
      <c r="D190" s="34"/>
      <c r="E190" s="35"/>
      <c r="F190" s="35"/>
      <c r="G190" s="35"/>
      <c r="H190" s="35"/>
      <c r="I190" s="35"/>
      <c r="J190" s="35"/>
      <c r="K190" s="35"/>
      <c r="L190" s="35"/>
      <c r="M190" s="35"/>
      <c r="N190" s="35"/>
    </row>
    <row r="191" spans="1:14" ht="30" customHeight="1" x14ac:dyDescent="0.25">
      <c r="A191" s="36" t="s">
        <v>391</v>
      </c>
      <c r="B191" s="37" t="s">
        <v>392</v>
      </c>
      <c r="C191" s="36" t="s">
        <v>18</v>
      </c>
      <c r="D191" s="38"/>
      <c r="E191" s="39"/>
      <c r="F191" s="39"/>
      <c r="G191" s="39"/>
      <c r="H191" s="39"/>
      <c r="I191" s="39"/>
      <c r="J191" s="39"/>
      <c r="K191" s="39"/>
      <c r="L191" s="39"/>
      <c r="M191" s="39"/>
      <c r="N191" s="39"/>
    </row>
    <row r="192" spans="1:14" ht="30" customHeight="1" x14ac:dyDescent="0.25">
      <c r="A192" s="32" t="s">
        <v>393</v>
      </c>
      <c r="B192" s="33" t="s">
        <v>394</v>
      </c>
      <c r="C192" s="32" t="s">
        <v>15</v>
      </c>
      <c r="D192" s="34"/>
      <c r="E192" s="35"/>
      <c r="F192" s="35"/>
      <c r="G192" s="35"/>
      <c r="H192" s="35"/>
      <c r="I192" s="35"/>
      <c r="J192" s="35"/>
      <c r="K192" s="35"/>
      <c r="L192" s="35"/>
      <c r="M192" s="35"/>
      <c r="N192" s="35"/>
    </row>
    <row r="193" spans="1:14" ht="30" customHeight="1" x14ac:dyDescent="0.25">
      <c r="A193" s="36" t="s">
        <v>395</v>
      </c>
      <c r="B193" s="37" t="s">
        <v>396</v>
      </c>
      <c r="C193" s="36" t="s">
        <v>18</v>
      </c>
      <c r="D193" s="38"/>
      <c r="E193" s="39"/>
      <c r="F193" s="39"/>
      <c r="G193" s="39"/>
      <c r="H193" s="39"/>
      <c r="I193" s="39"/>
      <c r="J193" s="39"/>
      <c r="K193" s="39"/>
      <c r="L193" s="39"/>
      <c r="M193" s="39"/>
      <c r="N193" s="39"/>
    </row>
    <row r="194" spans="1:14" ht="30" customHeight="1" x14ac:dyDescent="0.25">
      <c r="A194" s="40" t="s">
        <v>397</v>
      </c>
      <c r="B194" s="33" t="s">
        <v>398</v>
      </c>
      <c r="C194" s="40" t="s">
        <v>21</v>
      </c>
      <c r="D194" s="34" t="s">
        <v>50</v>
      </c>
      <c r="E194" s="35"/>
      <c r="F194" s="35"/>
      <c r="G194" s="35"/>
      <c r="H194" s="35"/>
      <c r="I194" s="35"/>
      <c r="J194" s="35"/>
      <c r="K194" s="35"/>
      <c r="L194" s="35"/>
      <c r="M194" s="35"/>
      <c r="N194" s="35"/>
    </row>
    <row r="195" spans="1:14" ht="30" customHeight="1" x14ac:dyDescent="0.25">
      <c r="A195" s="32" t="s">
        <v>399</v>
      </c>
      <c r="B195" s="37" t="s">
        <v>400</v>
      </c>
      <c r="C195" s="32" t="s">
        <v>15</v>
      </c>
      <c r="D195" s="38"/>
      <c r="E195" s="39"/>
      <c r="F195" s="39"/>
      <c r="G195" s="39"/>
      <c r="H195" s="39"/>
      <c r="I195" s="39"/>
      <c r="J195" s="39"/>
      <c r="K195" s="39"/>
      <c r="L195" s="39"/>
      <c r="M195" s="39"/>
      <c r="N195" s="39"/>
    </row>
    <row r="196" spans="1:14" ht="30" customHeight="1" x14ac:dyDescent="0.25">
      <c r="A196" s="36" t="s">
        <v>401</v>
      </c>
      <c r="B196" s="33" t="s">
        <v>402</v>
      </c>
      <c r="C196" s="36" t="s">
        <v>18</v>
      </c>
      <c r="D196" s="34"/>
      <c r="E196" s="35"/>
      <c r="F196" s="35"/>
      <c r="G196" s="35"/>
      <c r="H196" s="35"/>
      <c r="I196" s="35"/>
      <c r="J196" s="35"/>
      <c r="K196" s="35"/>
      <c r="L196" s="35"/>
      <c r="M196" s="35"/>
      <c r="N196" s="35"/>
    </row>
    <row r="197" spans="1:14" ht="30" customHeight="1" x14ac:dyDescent="0.25">
      <c r="A197" s="36" t="s">
        <v>403</v>
      </c>
      <c r="B197" s="37" t="s">
        <v>404</v>
      </c>
      <c r="C197" s="36" t="s">
        <v>18</v>
      </c>
      <c r="D197" s="38"/>
      <c r="E197" s="39"/>
      <c r="F197" s="39"/>
      <c r="G197" s="39"/>
      <c r="H197" s="39"/>
      <c r="I197" s="39"/>
      <c r="J197" s="39"/>
      <c r="K197" s="39"/>
      <c r="L197" s="39"/>
      <c r="M197" s="39"/>
      <c r="N197" s="39"/>
    </row>
    <row r="198" spans="1:14" ht="30" customHeight="1" x14ac:dyDescent="0.25">
      <c r="A198" s="32" t="s">
        <v>405</v>
      </c>
      <c r="B198" s="33" t="s">
        <v>406</v>
      </c>
      <c r="C198" s="32" t="s">
        <v>15</v>
      </c>
      <c r="D198" s="34"/>
      <c r="E198" s="35"/>
      <c r="F198" s="35"/>
      <c r="G198" s="35"/>
      <c r="H198" s="35"/>
      <c r="I198" s="35"/>
      <c r="J198" s="35"/>
      <c r="K198" s="35"/>
      <c r="L198" s="35"/>
      <c r="M198" s="35"/>
      <c r="N198" s="35"/>
    </row>
    <row r="199" spans="1:14" ht="30" customHeight="1" x14ac:dyDescent="0.25">
      <c r="A199" s="32" t="s">
        <v>407</v>
      </c>
      <c r="B199" s="37" t="s">
        <v>408</v>
      </c>
      <c r="C199" s="32" t="s">
        <v>15</v>
      </c>
      <c r="D199" s="38"/>
      <c r="E199" s="39"/>
      <c r="F199" s="39"/>
      <c r="G199" s="39"/>
      <c r="H199" s="39"/>
      <c r="I199" s="39"/>
      <c r="J199" s="39"/>
      <c r="K199" s="39"/>
      <c r="L199" s="39"/>
      <c r="M199" s="39"/>
      <c r="N199" s="39"/>
    </row>
    <row r="200" spans="1:14" ht="30" customHeight="1" x14ac:dyDescent="0.25">
      <c r="A200" s="40" t="s">
        <v>409</v>
      </c>
      <c r="B200" s="33" t="s">
        <v>410</v>
      </c>
      <c r="C200" s="40" t="s">
        <v>21</v>
      </c>
      <c r="D200" s="34"/>
      <c r="E200" s="35"/>
      <c r="F200" s="35"/>
      <c r="G200" s="35"/>
      <c r="H200" s="35"/>
      <c r="I200" s="35"/>
      <c r="J200" s="35"/>
      <c r="K200" s="35"/>
      <c r="L200" s="35"/>
      <c r="M200" s="35"/>
      <c r="N200" s="35"/>
    </row>
    <row r="201" spans="1:14" ht="30" customHeight="1" x14ac:dyDescent="0.25">
      <c r="A201" s="32" t="s">
        <v>411</v>
      </c>
      <c r="B201" s="37" t="s">
        <v>412</v>
      </c>
      <c r="C201" s="32" t="s">
        <v>15</v>
      </c>
      <c r="D201" s="38"/>
      <c r="E201" s="39"/>
      <c r="F201" s="39"/>
      <c r="G201" s="39"/>
      <c r="H201" s="39"/>
      <c r="I201" s="39"/>
      <c r="J201" s="39"/>
      <c r="K201" s="39"/>
      <c r="L201" s="39"/>
      <c r="M201" s="39"/>
      <c r="N201" s="39"/>
    </row>
    <row r="202" spans="1:14" ht="30" customHeight="1" x14ac:dyDescent="0.25">
      <c r="A202" s="32" t="s">
        <v>413</v>
      </c>
      <c r="B202" s="33" t="s">
        <v>414</v>
      </c>
      <c r="C202" s="32" t="s">
        <v>15</v>
      </c>
      <c r="D202" s="34"/>
      <c r="E202" s="35"/>
      <c r="F202" s="35"/>
      <c r="G202" s="35"/>
      <c r="H202" s="35"/>
      <c r="I202" s="35"/>
      <c r="J202" s="35"/>
      <c r="K202" s="35"/>
      <c r="L202" s="35"/>
      <c r="M202" s="35"/>
      <c r="N202" s="35"/>
    </row>
    <row r="203" spans="1:14" ht="30" customHeight="1" x14ac:dyDescent="0.25">
      <c r="A203" s="36" t="s">
        <v>415</v>
      </c>
      <c r="B203" s="37" t="s">
        <v>416</v>
      </c>
      <c r="C203" s="36" t="s">
        <v>18</v>
      </c>
      <c r="D203" s="38"/>
      <c r="E203" s="39"/>
      <c r="F203" s="39"/>
      <c r="G203" s="39"/>
      <c r="H203" s="39"/>
      <c r="I203" s="39"/>
      <c r="J203" s="39"/>
      <c r="K203" s="39"/>
      <c r="L203" s="39"/>
      <c r="M203" s="39"/>
      <c r="N203" s="39"/>
    </row>
    <row r="204" spans="1:14" ht="30" customHeight="1" x14ac:dyDescent="0.25">
      <c r="A204" s="32" t="s">
        <v>417</v>
      </c>
      <c r="B204" s="33" t="s">
        <v>418</v>
      </c>
      <c r="C204" s="32" t="s">
        <v>15</v>
      </c>
      <c r="D204" s="34"/>
      <c r="E204" s="35"/>
      <c r="F204" s="35"/>
      <c r="G204" s="35"/>
      <c r="H204" s="35"/>
      <c r="I204" s="35"/>
      <c r="J204" s="35"/>
      <c r="K204" s="35"/>
      <c r="L204" s="35"/>
      <c r="M204" s="35"/>
      <c r="N204" s="35"/>
    </row>
    <row r="205" spans="1:14" ht="30" customHeight="1" x14ac:dyDescent="0.25">
      <c r="A205" s="32" t="s">
        <v>419</v>
      </c>
      <c r="B205" s="37" t="s">
        <v>420</v>
      </c>
      <c r="C205" s="32" t="s">
        <v>15</v>
      </c>
      <c r="D205" s="38"/>
      <c r="E205" s="39"/>
      <c r="F205" s="39"/>
      <c r="G205" s="39"/>
      <c r="H205" s="39"/>
      <c r="I205" s="39"/>
      <c r="J205" s="39"/>
      <c r="K205" s="39"/>
      <c r="L205" s="39"/>
      <c r="M205" s="39"/>
      <c r="N205" s="39"/>
    </row>
    <row r="206" spans="1:14" ht="30" customHeight="1" x14ac:dyDescent="0.25">
      <c r="A206" s="36" t="s">
        <v>421</v>
      </c>
      <c r="B206" s="33" t="s">
        <v>422</v>
      </c>
      <c r="C206" s="36" t="s">
        <v>18</v>
      </c>
      <c r="D206" s="34"/>
      <c r="E206" s="35"/>
      <c r="F206" s="35"/>
      <c r="G206" s="35"/>
      <c r="H206" s="35"/>
      <c r="I206" s="35"/>
      <c r="J206" s="35"/>
      <c r="K206" s="35"/>
      <c r="L206" s="35"/>
      <c r="M206" s="35"/>
      <c r="N206" s="35"/>
    </row>
    <row r="207" spans="1:14" ht="30" customHeight="1" x14ac:dyDescent="0.25">
      <c r="A207" s="36" t="s">
        <v>423</v>
      </c>
      <c r="B207" s="37" t="s">
        <v>424</v>
      </c>
      <c r="C207" s="36" t="s">
        <v>18</v>
      </c>
      <c r="D207" s="38"/>
      <c r="E207" s="39"/>
      <c r="F207" s="39"/>
      <c r="G207" s="39"/>
      <c r="H207" s="39"/>
      <c r="I207" s="39"/>
      <c r="J207" s="39"/>
      <c r="K207" s="39"/>
      <c r="L207" s="39"/>
      <c r="M207" s="39"/>
      <c r="N207" s="39"/>
    </row>
    <row r="208" spans="1:14" ht="30" customHeight="1" x14ac:dyDescent="0.25">
      <c r="A208" s="36" t="s">
        <v>425</v>
      </c>
      <c r="B208" s="33" t="s">
        <v>426</v>
      </c>
      <c r="C208" s="36" t="s">
        <v>18</v>
      </c>
      <c r="D208" s="34"/>
      <c r="E208" s="35"/>
      <c r="F208" s="35"/>
      <c r="G208" s="35"/>
      <c r="H208" s="35"/>
      <c r="I208" s="35"/>
      <c r="J208" s="35"/>
      <c r="K208" s="35"/>
      <c r="L208" s="35"/>
      <c r="M208" s="35"/>
      <c r="N208" s="35"/>
    </row>
    <row r="209" spans="1:14" ht="30" customHeight="1" x14ac:dyDescent="0.25">
      <c r="A209" s="36" t="s">
        <v>427</v>
      </c>
      <c r="B209" s="37" t="s">
        <v>428</v>
      </c>
      <c r="C209" s="36" t="s">
        <v>18</v>
      </c>
      <c r="D209" s="38"/>
      <c r="E209" s="39"/>
      <c r="F209" s="39"/>
      <c r="G209" s="39"/>
      <c r="H209" s="39"/>
      <c r="I209" s="39"/>
      <c r="J209" s="39"/>
      <c r="K209" s="39"/>
      <c r="L209" s="39"/>
      <c r="M209" s="39"/>
      <c r="N209" s="39"/>
    </row>
    <row r="210" spans="1:14" ht="30" customHeight="1" x14ac:dyDescent="0.25">
      <c r="A210" s="40" t="s">
        <v>429</v>
      </c>
      <c r="B210" s="33" t="s">
        <v>430</v>
      </c>
      <c r="C210" s="40" t="s">
        <v>21</v>
      </c>
      <c r="D210" s="34"/>
      <c r="E210" s="35"/>
      <c r="F210" s="35"/>
      <c r="G210" s="35"/>
      <c r="H210" s="35"/>
      <c r="I210" s="35"/>
      <c r="J210" s="35"/>
      <c r="K210" s="35"/>
      <c r="L210" s="35"/>
      <c r="M210" s="35"/>
      <c r="N210" s="35"/>
    </row>
    <row r="211" spans="1:14" ht="30" customHeight="1" x14ac:dyDescent="0.25">
      <c r="A211" s="32" t="s">
        <v>431</v>
      </c>
      <c r="B211" s="37" t="s">
        <v>432</v>
      </c>
      <c r="C211" s="32" t="s">
        <v>15</v>
      </c>
      <c r="D211" s="38" t="s">
        <v>50</v>
      </c>
      <c r="E211" s="39"/>
      <c r="F211" s="39"/>
      <c r="G211" s="39"/>
      <c r="H211" s="39"/>
      <c r="I211" s="39"/>
      <c r="J211" s="39"/>
      <c r="K211" s="39"/>
      <c r="L211" s="39"/>
      <c r="M211" s="39"/>
      <c r="N211" s="39"/>
    </row>
    <row r="212" spans="1:14" ht="30" customHeight="1" x14ac:dyDescent="0.25">
      <c r="A212" s="32" t="s">
        <v>433</v>
      </c>
      <c r="B212" s="33" t="s">
        <v>434</v>
      </c>
      <c r="C212" s="32" t="s">
        <v>15</v>
      </c>
      <c r="D212" s="34"/>
      <c r="E212" s="35"/>
      <c r="F212" s="35"/>
      <c r="G212" s="35"/>
      <c r="H212" s="35"/>
      <c r="I212" s="35"/>
      <c r="J212" s="35"/>
      <c r="K212" s="35"/>
      <c r="L212" s="35"/>
      <c r="M212" s="35"/>
      <c r="N212" s="35"/>
    </row>
    <row r="213" spans="1:14" ht="30" customHeight="1" x14ac:dyDescent="0.25">
      <c r="A213" s="32" t="s">
        <v>435</v>
      </c>
      <c r="B213" s="37" t="s">
        <v>436</v>
      </c>
      <c r="C213" s="32" t="s">
        <v>15</v>
      </c>
      <c r="D213" s="38" t="s">
        <v>50</v>
      </c>
      <c r="E213" s="39"/>
      <c r="F213" s="39"/>
      <c r="G213" s="39"/>
      <c r="H213" s="39"/>
      <c r="I213" s="39"/>
      <c r="J213" s="39"/>
      <c r="K213" s="39"/>
      <c r="L213" s="39"/>
      <c r="M213" s="39"/>
      <c r="N213" s="39"/>
    </row>
    <row r="214" spans="1:14" ht="30" customHeight="1" x14ac:dyDescent="0.25">
      <c r="A214" s="40" t="s">
        <v>437</v>
      </c>
      <c r="B214" s="33" t="s">
        <v>438</v>
      </c>
      <c r="C214" s="40" t="s">
        <v>21</v>
      </c>
      <c r="D214" s="34"/>
      <c r="E214" s="35"/>
      <c r="F214" s="35"/>
      <c r="G214" s="35"/>
      <c r="H214" s="35"/>
      <c r="I214" s="35"/>
      <c r="J214" s="35"/>
      <c r="K214" s="35"/>
      <c r="L214" s="35"/>
      <c r="M214" s="35"/>
      <c r="N214" s="35"/>
    </row>
    <row r="215" spans="1:14" ht="30" customHeight="1" x14ac:dyDescent="0.25">
      <c r="A215" s="36" t="s">
        <v>439</v>
      </c>
      <c r="B215" s="37" t="s">
        <v>440</v>
      </c>
      <c r="C215" s="36" t="s">
        <v>18</v>
      </c>
      <c r="D215" s="38"/>
      <c r="E215" s="39"/>
      <c r="F215" s="39"/>
      <c r="G215" s="39"/>
      <c r="H215" s="39"/>
      <c r="I215" s="39"/>
      <c r="J215" s="39"/>
      <c r="K215" s="39"/>
      <c r="L215" s="39"/>
      <c r="M215" s="39"/>
      <c r="N215" s="39"/>
    </row>
    <row r="216" spans="1:14" ht="30" customHeight="1" x14ac:dyDescent="0.25">
      <c r="A216" s="32" t="s">
        <v>441</v>
      </c>
      <c r="B216" s="33" t="s">
        <v>442</v>
      </c>
      <c r="C216" s="32" t="s">
        <v>15</v>
      </c>
      <c r="D216" s="34"/>
      <c r="E216" s="35"/>
      <c r="F216" s="35"/>
      <c r="G216" s="35"/>
      <c r="H216" s="35"/>
      <c r="I216" s="35"/>
      <c r="J216" s="35"/>
      <c r="K216" s="35"/>
      <c r="L216" s="35"/>
      <c r="M216" s="35"/>
      <c r="N216" s="35"/>
    </row>
    <row r="217" spans="1:14" ht="30" customHeight="1" x14ac:dyDescent="0.25">
      <c r="A217" s="32" t="s">
        <v>443</v>
      </c>
      <c r="B217" s="37" t="s">
        <v>444</v>
      </c>
      <c r="C217" s="32" t="s">
        <v>15</v>
      </c>
      <c r="D217" s="38"/>
      <c r="E217" s="39"/>
      <c r="F217" s="39"/>
      <c r="G217" s="39"/>
      <c r="H217" s="39"/>
      <c r="I217" s="39"/>
      <c r="J217" s="39"/>
      <c r="K217" s="39"/>
      <c r="L217" s="39"/>
      <c r="M217" s="39"/>
      <c r="N217" s="39"/>
    </row>
    <row r="218" spans="1:14" ht="30" customHeight="1" x14ac:dyDescent="0.25">
      <c r="A218" s="32" t="s">
        <v>445</v>
      </c>
      <c r="B218" s="33" t="s">
        <v>446</v>
      </c>
      <c r="C218" s="32" t="s">
        <v>15</v>
      </c>
      <c r="D218" s="34"/>
      <c r="E218" s="35"/>
      <c r="F218" s="35"/>
      <c r="G218" s="35"/>
      <c r="H218" s="35"/>
      <c r="I218" s="35"/>
      <c r="J218" s="35"/>
      <c r="K218" s="35"/>
      <c r="L218" s="35"/>
      <c r="M218" s="35"/>
      <c r="N218" s="35"/>
    </row>
    <row r="219" spans="1:14" ht="30" customHeight="1" x14ac:dyDescent="0.25">
      <c r="A219" s="32" t="s">
        <v>447</v>
      </c>
      <c r="B219" s="37" t="s">
        <v>448</v>
      </c>
      <c r="C219" s="32" t="s">
        <v>15</v>
      </c>
      <c r="D219" s="38"/>
      <c r="E219" s="39"/>
      <c r="F219" s="39"/>
      <c r="G219" s="39"/>
      <c r="H219" s="39"/>
      <c r="I219" s="39"/>
      <c r="J219" s="39"/>
      <c r="K219" s="39"/>
      <c r="L219" s="39"/>
      <c r="M219" s="39"/>
      <c r="N219" s="39"/>
    </row>
    <row r="220" spans="1:14" ht="30" customHeight="1" x14ac:dyDescent="0.25">
      <c r="A220" s="36" t="s">
        <v>449</v>
      </c>
      <c r="B220" s="33" t="s">
        <v>450</v>
      </c>
      <c r="C220" s="36" t="s">
        <v>18</v>
      </c>
      <c r="D220" s="34"/>
      <c r="E220" s="35"/>
      <c r="F220" s="35"/>
      <c r="G220" s="35"/>
      <c r="H220" s="35"/>
      <c r="I220" s="35"/>
      <c r="J220" s="35"/>
      <c r="K220" s="35"/>
      <c r="L220" s="35"/>
      <c r="M220" s="35"/>
      <c r="N220" s="35"/>
    </row>
    <row r="221" spans="1:14" ht="30" customHeight="1" x14ac:dyDescent="0.25">
      <c r="A221" s="36" t="s">
        <v>451</v>
      </c>
      <c r="B221" s="37" t="s">
        <v>452</v>
      </c>
      <c r="C221" s="36" t="s">
        <v>18</v>
      </c>
      <c r="D221" s="38"/>
      <c r="E221" s="39"/>
      <c r="F221" s="39"/>
      <c r="G221" s="39"/>
      <c r="H221" s="39"/>
      <c r="I221" s="39"/>
      <c r="J221" s="39"/>
      <c r="K221" s="39"/>
      <c r="L221" s="39"/>
      <c r="M221" s="39"/>
      <c r="N221" s="39"/>
    </row>
    <row r="222" spans="1:14" x14ac:dyDescent="0.25">
      <c r="E222" s="26"/>
    </row>
  </sheetData>
  <mergeCells count="1">
    <mergeCell ref="A1:N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93" t="str">
        <f>IFERROR(INDEX(_Lang!$B$2:$D$300,MATCH("verant_title",_Lang!$A$2:$A$300,0),IF(Config!$D$9="NL",1,IF(Config!$D$9="FR",2,3))),"[verant_title]")</f>
        <v>Verantwoordelijken</v>
      </c>
      <c r="B1" s="88"/>
      <c r="C1" s="88"/>
      <c r="D1" s="88"/>
      <c r="E1" s="88"/>
      <c r="F1" s="88"/>
      <c r="G1" s="88"/>
      <c r="H1" s="88"/>
      <c r="I1" s="88"/>
    </row>
    <row r="2" spans="1:9" ht="21.95" customHeight="1" x14ac:dyDescent="0.25">
      <c r="A2" s="94" t="str">
        <f>IFERROR(INDEX(_Lang!$B$2:$D$300,MATCH("app_tagline",_Lang!$A$2:$A$300,0),IF(Config!$D$9="NL",1,IF(Config!$D$9="FR",2,3))),"[app_tagline]")</f>
        <v>Governance · Risico · Compliance</v>
      </c>
      <c r="B2" s="88"/>
      <c r="C2" s="88"/>
      <c r="D2" s="88"/>
      <c r="E2" s="88"/>
      <c r="F2" s="88"/>
      <c r="G2" s="88"/>
      <c r="H2" s="88"/>
      <c r="I2" s="88"/>
    </row>
    <row r="3" spans="1:9" ht="21.95" customHeight="1" x14ac:dyDescent="0.25">
      <c r="A3" s="101" t="str">
        <f>IFERROR(INDEX(_Lang!$B$2:$D$300,MATCH("verant_subtitle",_Lang!$A$2:$A$300,0),IF(Config!$D$9="NL",1,IF(Config!$D$9="FR",2,3))),"[verant_subtitle]")</f>
        <v>Overzicht van contactpersonen en hun GRC-rol.</v>
      </c>
      <c r="B3" s="88"/>
      <c r="C3" s="88"/>
      <c r="D3" s="88"/>
      <c r="E3" s="88"/>
      <c r="F3" s="88"/>
      <c r="G3" s="88"/>
      <c r="H3" s="88"/>
      <c r="I3" s="88"/>
    </row>
    <row r="4" spans="1:9" ht="8.1" customHeight="1" x14ac:dyDescent="0.25"/>
    <row r="5" spans="1:9" ht="44.1" customHeight="1" x14ac:dyDescent="0.25">
      <c r="A5" s="6" t="str">
        <f>IFERROR(INDEX(_Lang!$B$2:$D$300,MATCH("verant_col_id",_Lang!$A$2:$A$300,0),IF(Config!$D$9="NL",1,IF(Config!$D$9="FR",2,3))),"[verant_col_id]")</f>
        <v>ID</v>
      </c>
      <c r="B5" s="6" t="str">
        <f>IFERROR(INDEX(_Lang!$B$2:$D$300,MATCH("verant_col_naam",_Lang!$A$2:$A$300,0),IF(Config!$D$9="NL",1,IF(Config!$D$9="FR",2,3))),"[verant_col_naam]")</f>
        <v>Naam</v>
      </c>
      <c r="C5" s="6" t="str">
        <f>IFERROR(INDEX(_Lang!$B$2:$D$300,MATCH("verant_col_voornaam",_Lang!$A$2:$A$300,0),IF(Config!$D$9="NL",1,IF(Config!$D$9="FR",2,3))),"[verant_col_voornaam]")</f>
        <v>Voornaam</v>
      </c>
      <c r="D5" s="6" t="str">
        <f>IFERROR(INDEX(_Lang!$B$2:$D$300,MATCH("verant_col_functie",_Lang!$A$2:$A$300,0),IF(Config!$D$9="NL",1,IF(Config!$D$9="FR",2,3))),"[verant_col_functie]")</f>
        <v>Functietitel</v>
      </c>
      <c r="E5" s="6" t="str">
        <f>IFERROR(INDEX(_Lang!$B$2:$D$300,MATCH("verant_col_dienst",_Lang!$A$2:$A$300,0),IF(Config!$D$9="NL",1,IF(Config!$D$9="FR",2,3))),"[verant_col_dienst]")</f>
        <v>Dienst / Entiteit</v>
      </c>
      <c r="F5" s="6" t="str">
        <f>IFERROR(INDEX(_Lang!$B$2:$D$300,MATCH("verant_col_email",_Lang!$A$2:$A$300,0),IF(Config!$D$9="NL",1,IF(Config!$D$9="FR",2,3))),"[verant_col_email]")</f>
        <v>E-mailadres</v>
      </c>
      <c r="G5" s="6" t="str">
        <f>IFERROR(INDEX(_Lang!$B$2:$D$300,MATCH("verant_col_tel",_Lang!$A$2:$A$300,0),IF(Config!$D$9="NL",1,IF(Config!$D$9="FR",2,3))),"[verant_col_tel]")</f>
        <v>Telefoon</v>
      </c>
      <c r="H5" s="6" t="str">
        <f>IFERROR(INDEX(_Lang!$B$2:$D$300,MATCH("verant_col_rol",_Lang!$A$2:$A$300,0),IF(Config!$D$9="NL",1,IF(Config!$D$9="FR",2,3))),"[verant_col_rol]")</f>
        <v>Rol in GRC</v>
      </c>
      <c r="I5" s="6" t="str">
        <f>IFERROR(INDEX(_Lang!$B$2:$D$300,MATCH("verant_col_opmerkingen",_Lang!$A$2:$A$300,0),IF(Config!$D$9="NL",1,IF(Config!$D$9="FR",2,3))),"[verant_col_opmerkingen]")</f>
        <v>Opmerkingen</v>
      </c>
    </row>
    <row r="6" spans="1:9" ht="24" customHeight="1" x14ac:dyDescent="0.25">
      <c r="A6" s="7" t="str">
        <f>IF(B6="","",TEXT(1,"V00"))</f>
        <v/>
      </c>
      <c r="B6" s="8"/>
      <c r="C6" s="8"/>
      <c r="D6" s="8"/>
      <c r="E6" s="8"/>
      <c r="F6" s="8"/>
      <c r="G6" s="8"/>
      <c r="H6" s="8"/>
      <c r="I6" s="8"/>
    </row>
    <row r="7" spans="1:9" ht="24" customHeight="1" x14ac:dyDescent="0.25">
      <c r="A7" s="11" t="str">
        <f>IF(B7="","",TEXT(2,"V00"))</f>
        <v/>
      </c>
      <c r="B7" s="12"/>
      <c r="C7" s="12"/>
      <c r="D7" s="12"/>
      <c r="E7" s="12"/>
      <c r="F7" s="12"/>
      <c r="G7" s="12"/>
      <c r="H7" s="12"/>
      <c r="I7" s="12"/>
    </row>
    <row r="8" spans="1:9" ht="24" customHeight="1" x14ac:dyDescent="0.25">
      <c r="A8" s="7" t="str">
        <f>IF(B8="","",TEXT(3,"V00"))</f>
        <v/>
      </c>
      <c r="B8" s="8"/>
      <c r="C8" s="8"/>
      <c r="D8" s="8"/>
      <c r="E8" s="8"/>
      <c r="F8" s="8"/>
      <c r="G8" s="8"/>
      <c r="H8" s="8"/>
      <c r="I8" s="8"/>
    </row>
    <row r="9" spans="1:9" ht="24" customHeight="1" x14ac:dyDescent="0.25">
      <c r="A9" s="11" t="str">
        <f>IF(B9="","",TEXT(4,"V00"))</f>
        <v/>
      </c>
      <c r="B9" s="12"/>
      <c r="C9" s="12"/>
      <c r="D9" s="12"/>
      <c r="E9" s="12"/>
      <c r="F9" s="12"/>
      <c r="G9" s="12"/>
      <c r="H9" s="12"/>
      <c r="I9" s="12"/>
    </row>
    <row r="10" spans="1:9" ht="24" customHeight="1" x14ac:dyDescent="0.25">
      <c r="A10" s="7" t="str">
        <f>IF(B10="","",TEXT(5,"V00"))</f>
        <v/>
      </c>
      <c r="B10" s="8"/>
      <c r="C10" s="8"/>
      <c r="D10" s="8"/>
      <c r="E10" s="8"/>
      <c r="F10" s="8"/>
      <c r="G10" s="8"/>
      <c r="H10" s="8"/>
      <c r="I10" s="8"/>
    </row>
    <row r="11" spans="1:9" ht="24" customHeight="1" x14ac:dyDescent="0.25">
      <c r="A11" s="11" t="str">
        <f>IF(B11="","",TEXT(6,"V00"))</f>
        <v/>
      </c>
      <c r="B11" s="12"/>
      <c r="C11" s="12"/>
      <c r="D11" s="12"/>
      <c r="E11" s="12"/>
      <c r="F11" s="12"/>
      <c r="G11" s="12"/>
      <c r="H11" s="12"/>
      <c r="I11" s="12"/>
    </row>
    <row r="12" spans="1:9" ht="24" customHeight="1" x14ac:dyDescent="0.25">
      <c r="A12" s="7" t="str">
        <f>IF(B12="","",TEXT(7,"V00"))</f>
        <v/>
      </c>
      <c r="B12" s="8"/>
      <c r="C12" s="8"/>
      <c r="D12" s="8"/>
      <c r="E12" s="8"/>
      <c r="F12" s="8"/>
      <c r="G12" s="8"/>
      <c r="H12" s="8"/>
      <c r="I12" s="8"/>
    </row>
    <row r="13" spans="1:9" ht="24" customHeight="1" x14ac:dyDescent="0.25">
      <c r="A13" s="11" t="str">
        <f>IF(B13="","",TEXT(8,"V00"))</f>
        <v/>
      </c>
      <c r="B13" s="12"/>
      <c r="C13" s="12"/>
      <c r="D13" s="12"/>
      <c r="E13" s="12"/>
      <c r="F13" s="12"/>
      <c r="G13" s="12"/>
      <c r="H13" s="12"/>
      <c r="I13" s="12"/>
    </row>
    <row r="14" spans="1:9" ht="24" customHeight="1" x14ac:dyDescent="0.25">
      <c r="A14" s="7" t="str">
        <f>IF(B14="","",TEXT(9,"V00"))</f>
        <v/>
      </c>
      <c r="B14" s="8"/>
      <c r="C14" s="8"/>
      <c r="D14" s="8"/>
      <c r="E14" s="8"/>
      <c r="F14" s="8"/>
      <c r="G14" s="8"/>
      <c r="H14" s="8"/>
      <c r="I14" s="8"/>
    </row>
    <row r="15" spans="1:9" ht="24" customHeight="1" x14ac:dyDescent="0.25">
      <c r="A15" s="11" t="str">
        <f>IF(B15="","",TEXT(10,"V00"))</f>
        <v/>
      </c>
      <c r="B15" s="12"/>
      <c r="C15" s="12"/>
      <c r="D15" s="12"/>
      <c r="E15" s="12"/>
      <c r="F15" s="12"/>
      <c r="G15" s="12"/>
      <c r="H15" s="12"/>
      <c r="I15" s="12"/>
    </row>
    <row r="16" spans="1:9" ht="24" customHeight="1" x14ac:dyDescent="0.25">
      <c r="A16" s="7" t="str">
        <f>IF(B16="","",TEXT(11,"V00"))</f>
        <v/>
      </c>
      <c r="B16" s="8"/>
      <c r="C16" s="8"/>
      <c r="D16" s="8"/>
      <c r="E16" s="8"/>
      <c r="F16" s="8"/>
      <c r="G16" s="8"/>
      <c r="H16" s="8"/>
      <c r="I16" s="8"/>
    </row>
    <row r="17" spans="1:9" ht="24" customHeight="1" x14ac:dyDescent="0.25">
      <c r="A17" s="11" t="str">
        <f>IF(B17="","",TEXT(12,"V00"))</f>
        <v/>
      </c>
      <c r="B17" s="12"/>
      <c r="C17" s="12"/>
      <c r="D17" s="12"/>
      <c r="E17" s="12"/>
      <c r="F17" s="12"/>
      <c r="G17" s="12"/>
      <c r="H17" s="12"/>
      <c r="I17" s="12"/>
    </row>
    <row r="18" spans="1:9" ht="24" customHeight="1" x14ac:dyDescent="0.25">
      <c r="A18" s="7" t="str">
        <f>IF(B18="","",TEXT(13,"V00"))</f>
        <v/>
      </c>
      <c r="B18" s="8"/>
      <c r="C18" s="8"/>
      <c r="D18" s="8"/>
      <c r="E18" s="8"/>
      <c r="F18" s="8"/>
      <c r="G18" s="8"/>
      <c r="H18" s="8"/>
      <c r="I18" s="8"/>
    </row>
    <row r="19" spans="1:9" ht="24" customHeight="1" x14ac:dyDescent="0.25">
      <c r="A19" s="11" t="str">
        <f>IF(B19="","",TEXT(14,"V00"))</f>
        <v/>
      </c>
      <c r="B19" s="12"/>
      <c r="C19" s="12"/>
      <c r="D19" s="12"/>
      <c r="E19" s="12"/>
      <c r="F19" s="12"/>
      <c r="G19" s="12"/>
      <c r="H19" s="12"/>
      <c r="I19" s="12"/>
    </row>
    <row r="20" spans="1:9" ht="24" customHeight="1" x14ac:dyDescent="0.25">
      <c r="A20" s="7" t="str">
        <f>IF(B20="","",TEXT(15,"V00"))</f>
        <v/>
      </c>
      <c r="B20" s="8"/>
      <c r="C20" s="8"/>
      <c r="D20" s="8"/>
      <c r="E20" s="8"/>
      <c r="F20" s="8"/>
      <c r="G20" s="8"/>
      <c r="H20" s="8"/>
      <c r="I20" s="8"/>
    </row>
    <row r="21" spans="1:9" ht="24" customHeight="1" x14ac:dyDescent="0.25">
      <c r="A21" s="11" t="str">
        <f>IF(B21="","",TEXT(16,"V00"))</f>
        <v/>
      </c>
      <c r="B21" s="12"/>
      <c r="C21" s="12"/>
      <c r="D21" s="12"/>
      <c r="E21" s="12"/>
      <c r="F21" s="12"/>
      <c r="G21" s="12"/>
      <c r="H21" s="12"/>
      <c r="I21" s="12"/>
    </row>
    <row r="22" spans="1:9" ht="24" customHeight="1" x14ac:dyDescent="0.25">
      <c r="A22" s="7" t="str">
        <f>IF(B22="","",TEXT(17,"V00"))</f>
        <v/>
      </c>
      <c r="B22" s="8"/>
      <c r="C22" s="8"/>
      <c r="D22" s="8"/>
      <c r="E22" s="8"/>
      <c r="F22" s="8"/>
      <c r="G22" s="8"/>
      <c r="H22" s="8"/>
      <c r="I22" s="8"/>
    </row>
    <row r="23" spans="1:9" ht="24" customHeight="1" x14ac:dyDescent="0.25">
      <c r="A23" s="11" t="str">
        <f>IF(B23="","",TEXT(18,"V00"))</f>
        <v/>
      </c>
      <c r="B23" s="12"/>
      <c r="C23" s="12"/>
      <c r="D23" s="12"/>
      <c r="E23" s="12"/>
      <c r="F23" s="12"/>
      <c r="G23" s="12"/>
      <c r="H23" s="12"/>
      <c r="I23" s="12"/>
    </row>
    <row r="24" spans="1:9" ht="24" customHeight="1" x14ac:dyDescent="0.25">
      <c r="A24" s="7" t="str">
        <f>IF(B24="","",TEXT(19,"V00"))</f>
        <v/>
      </c>
      <c r="B24" s="8"/>
      <c r="C24" s="8"/>
      <c r="D24" s="8"/>
      <c r="E24" s="8"/>
      <c r="F24" s="8"/>
      <c r="G24" s="8"/>
      <c r="H24" s="8"/>
      <c r="I24" s="8"/>
    </row>
    <row r="25" spans="1:9" ht="24" customHeight="1" x14ac:dyDescent="0.25">
      <c r="A25" s="11" t="str">
        <f>IF(B25="","",TEXT(20,"V00"))</f>
        <v/>
      </c>
      <c r="B25" s="12"/>
      <c r="C25" s="12"/>
      <c r="D25" s="12"/>
      <c r="E25" s="12"/>
      <c r="F25" s="12"/>
      <c r="G25" s="12"/>
      <c r="H25" s="12"/>
      <c r="I25" s="12"/>
    </row>
    <row r="26" spans="1:9" ht="24" customHeight="1" x14ac:dyDescent="0.25">
      <c r="A26" s="7" t="str">
        <f>IF(B26="","",TEXT(21,"V00"))</f>
        <v/>
      </c>
      <c r="B26" s="8"/>
      <c r="C26" s="8"/>
      <c r="D26" s="8"/>
      <c r="E26" s="8"/>
      <c r="F26" s="8"/>
      <c r="G26" s="8"/>
      <c r="H26" s="8"/>
      <c r="I26" s="8"/>
    </row>
    <row r="27" spans="1:9" ht="24" customHeight="1" x14ac:dyDescent="0.25">
      <c r="A27" s="11" t="str">
        <f>IF(B27="","",TEXT(22,"V00"))</f>
        <v/>
      </c>
      <c r="B27" s="12"/>
      <c r="C27" s="12"/>
      <c r="D27" s="12"/>
      <c r="E27" s="12"/>
      <c r="F27" s="12"/>
      <c r="G27" s="12"/>
      <c r="H27" s="12"/>
      <c r="I27" s="12"/>
    </row>
    <row r="28" spans="1:9" ht="24" customHeight="1" x14ac:dyDescent="0.25">
      <c r="A28" s="7" t="str">
        <f>IF(B28="","",TEXT(23,"V00"))</f>
        <v/>
      </c>
      <c r="B28" s="8"/>
      <c r="C28" s="8"/>
      <c r="D28" s="8"/>
      <c r="E28" s="8"/>
      <c r="F28" s="8"/>
      <c r="G28" s="8"/>
      <c r="H28" s="8"/>
      <c r="I28" s="8"/>
    </row>
    <row r="29" spans="1:9" ht="24" customHeight="1" x14ac:dyDescent="0.25">
      <c r="A29" s="11" t="str">
        <f>IF(B29="","",TEXT(24,"V00"))</f>
        <v/>
      </c>
      <c r="B29" s="12"/>
      <c r="C29" s="12"/>
      <c r="D29" s="12"/>
      <c r="E29" s="12"/>
      <c r="F29" s="12"/>
      <c r="G29" s="12"/>
      <c r="H29" s="12"/>
      <c r="I29" s="12"/>
    </row>
    <row r="30" spans="1:9" ht="24" customHeight="1" x14ac:dyDescent="0.25">
      <c r="A30" s="7" t="str">
        <f>IF(B30="","",TEXT(25,"V00"))</f>
        <v/>
      </c>
      <c r="B30" s="8"/>
      <c r="C30" s="8"/>
      <c r="D30" s="8"/>
      <c r="E30" s="8"/>
      <c r="F30" s="8"/>
      <c r="G30" s="8"/>
      <c r="H30" s="8"/>
      <c r="I30" s="8"/>
    </row>
    <row r="31" spans="1:9" ht="24" customHeight="1" x14ac:dyDescent="0.25">
      <c r="A31" s="11" t="str">
        <f>IF(B31="","",TEXT(26,"V00"))</f>
        <v/>
      </c>
      <c r="B31" s="12"/>
      <c r="C31" s="12"/>
      <c r="D31" s="12"/>
      <c r="E31" s="12"/>
      <c r="F31" s="12"/>
      <c r="G31" s="12"/>
      <c r="H31" s="12"/>
      <c r="I31" s="12"/>
    </row>
    <row r="32" spans="1:9" ht="24" customHeight="1" x14ac:dyDescent="0.25">
      <c r="A32" s="7" t="str">
        <f>IF(B32="","",TEXT(27,"V00"))</f>
        <v/>
      </c>
      <c r="B32" s="8"/>
      <c r="C32" s="8"/>
      <c r="D32" s="8"/>
      <c r="E32" s="8"/>
      <c r="F32" s="8"/>
      <c r="G32" s="8"/>
      <c r="H32" s="8"/>
      <c r="I32" s="8"/>
    </row>
    <row r="33" spans="1:9" ht="24" customHeight="1" x14ac:dyDescent="0.25">
      <c r="A33" s="11" t="str">
        <f>IF(B33="","",TEXT(28,"V00"))</f>
        <v/>
      </c>
      <c r="B33" s="12"/>
      <c r="C33" s="12"/>
      <c r="D33" s="12"/>
      <c r="E33" s="12"/>
      <c r="F33" s="12"/>
      <c r="G33" s="12"/>
      <c r="H33" s="12"/>
      <c r="I33" s="12"/>
    </row>
    <row r="34" spans="1:9" ht="24" customHeight="1" x14ac:dyDescent="0.25">
      <c r="A34" s="7" t="str">
        <f>IF(B34="","",TEXT(29,"V00"))</f>
        <v/>
      </c>
      <c r="B34" s="8"/>
      <c r="C34" s="8"/>
      <c r="D34" s="8"/>
      <c r="E34" s="8"/>
      <c r="F34" s="8"/>
      <c r="G34" s="8"/>
      <c r="H34" s="8"/>
      <c r="I34" s="8"/>
    </row>
    <row r="35" spans="1:9" ht="24" customHeight="1" x14ac:dyDescent="0.25">
      <c r="A35" s="11" t="str">
        <f>IF(B35="","",TEXT(30,"V00"))</f>
        <v/>
      </c>
      <c r="B35" s="12"/>
      <c r="C35" s="12"/>
      <c r="D35" s="12"/>
      <c r="E35" s="12"/>
      <c r="F35" s="12"/>
      <c r="G35" s="12"/>
      <c r="H35" s="12"/>
      <c r="I35" s="12"/>
    </row>
    <row r="36" spans="1:9" ht="24" customHeight="1" x14ac:dyDescent="0.25">
      <c r="A36" s="7" t="str">
        <f>IF(B36="","",TEXT(31,"V00"))</f>
        <v/>
      </c>
      <c r="B36" s="8"/>
      <c r="C36" s="8"/>
      <c r="D36" s="8"/>
      <c r="E36" s="8"/>
      <c r="F36" s="8"/>
      <c r="G36" s="8"/>
      <c r="H36" s="8"/>
      <c r="I36" s="8"/>
    </row>
    <row r="37" spans="1:9" ht="24" customHeight="1" x14ac:dyDescent="0.25">
      <c r="A37" s="11" t="str">
        <f>IF(B37="","",TEXT(32,"V00"))</f>
        <v/>
      </c>
      <c r="B37" s="12"/>
      <c r="C37" s="12"/>
      <c r="D37" s="12"/>
      <c r="E37" s="12"/>
      <c r="F37" s="12"/>
      <c r="G37" s="12"/>
      <c r="H37" s="12"/>
      <c r="I37" s="12"/>
    </row>
    <row r="38" spans="1:9" ht="24" customHeight="1" x14ac:dyDescent="0.25">
      <c r="A38" s="7" t="str">
        <f>IF(B38="","",TEXT(33,"V00"))</f>
        <v/>
      </c>
      <c r="B38" s="8"/>
      <c r="C38" s="8"/>
      <c r="D38" s="8"/>
      <c r="E38" s="8"/>
      <c r="F38" s="8"/>
      <c r="G38" s="8"/>
      <c r="H38" s="8"/>
      <c r="I38" s="8"/>
    </row>
    <row r="39" spans="1:9" ht="24" customHeight="1" x14ac:dyDescent="0.25">
      <c r="A39" s="11" t="str">
        <f>IF(B39="","",TEXT(34,"V00"))</f>
        <v/>
      </c>
      <c r="B39" s="12"/>
      <c r="C39" s="12"/>
      <c r="D39" s="12"/>
      <c r="E39" s="12"/>
      <c r="F39" s="12"/>
      <c r="G39" s="12"/>
      <c r="H39" s="12"/>
      <c r="I39" s="12"/>
    </row>
    <row r="40" spans="1:9" ht="24" customHeight="1" x14ac:dyDescent="0.25">
      <c r="A40" s="7" t="str">
        <f>IF(B40="","",TEXT(35,"V00"))</f>
        <v/>
      </c>
      <c r="B40" s="8"/>
      <c r="C40" s="8"/>
      <c r="D40" s="8"/>
      <c r="E40" s="8"/>
      <c r="F40" s="8"/>
      <c r="G40" s="8"/>
      <c r="H40" s="8"/>
      <c r="I40" s="8"/>
    </row>
    <row r="41" spans="1:9" ht="24" customHeight="1" x14ac:dyDescent="0.25">
      <c r="A41" s="11" t="str">
        <f>IF(B41="","",TEXT(36,"V00"))</f>
        <v/>
      </c>
      <c r="B41" s="12"/>
      <c r="C41" s="12"/>
      <c r="D41" s="12"/>
      <c r="E41" s="12"/>
      <c r="F41" s="12"/>
      <c r="G41" s="12"/>
      <c r="H41" s="12"/>
      <c r="I41" s="12"/>
    </row>
    <row r="42" spans="1:9" ht="24" customHeight="1" x14ac:dyDescent="0.25">
      <c r="A42" s="7" t="str">
        <f>IF(B42="","",TEXT(37,"V00"))</f>
        <v/>
      </c>
      <c r="B42" s="8"/>
      <c r="C42" s="8"/>
      <c r="D42" s="8"/>
      <c r="E42" s="8"/>
      <c r="F42" s="8"/>
      <c r="G42" s="8"/>
      <c r="H42" s="8"/>
      <c r="I42" s="8"/>
    </row>
    <row r="43" spans="1:9" ht="24" customHeight="1" x14ac:dyDescent="0.25">
      <c r="A43" s="11" t="str">
        <f>IF(B43="","",TEXT(38,"V00"))</f>
        <v/>
      </c>
      <c r="B43" s="12"/>
      <c r="C43" s="12"/>
      <c r="D43" s="12"/>
      <c r="E43" s="12"/>
      <c r="F43" s="12"/>
      <c r="G43" s="12"/>
      <c r="H43" s="12"/>
      <c r="I43" s="12"/>
    </row>
    <row r="44" spans="1:9" ht="24" customHeight="1" x14ac:dyDescent="0.25">
      <c r="A44" s="7" t="str">
        <f>IF(B44="","",TEXT(39,"V00"))</f>
        <v/>
      </c>
      <c r="B44" s="8"/>
      <c r="C44" s="8"/>
      <c r="D44" s="8"/>
      <c r="E44" s="8"/>
      <c r="F44" s="8"/>
      <c r="G44" s="8"/>
      <c r="H44" s="8"/>
      <c r="I44" s="8"/>
    </row>
    <row r="45" spans="1:9" ht="24" customHeight="1" x14ac:dyDescent="0.25">
      <c r="A45" s="11" t="str">
        <f>IF(B45="","",TEXT(40,"V00"))</f>
        <v/>
      </c>
      <c r="B45" s="12"/>
      <c r="C45" s="12"/>
      <c r="D45" s="12"/>
      <c r="E45" s="12"/>
      <c r="F45" s="12"/>
      <c r="G45" s="12"/>
      <c r="H45" s="12"/>
      <c r="I45" s="12"/>
    </row>
    <row r="46" spans="1:9" ht="24" customHeight="1" x14ac:dyDescent="0.25">
      <c r="A46" s="7" t="str">
        <f>IF(B46="","",TEXT(41,"V00"))</f>
        <v/>
      </c>
      <c r="B46" s="8"/>
      <c r="C46" s="8"/>
      <c r="D46" s="8"/>
      <c r="E46" s="8"/>
      <c r="F46" s="8"/>
      <c r="G46" s="8"/>
      <c r="H46" s="8"/>
      <c r="I46" s="8"/>
    </row>
    <row r="47" spans="1:9" ht="24" customHeight="1" x14ac:dyDescent="0.25">
      <c r="A47" s="11" t="str">
        <f>IF(B47="","",TEXT(42,"V00"))</f>
        <v/>
      </c>
      <c r="B47" s="12"/>
      <c r="C47" s="12"/>
      <c r="D47" s="12"/>
      <c r="E47" s="12"/>
      <c r="F47" s="12"/>
      <c r="G47" s="12"/>
      <c r="H47" s="12"/>
      <c r="I47" s="12"/>
    </row>
    <row r="48" spans="1:9" ht="24" customHeight="1" x14ac:dyDescent="0.25">
      <c r="A48" s="7" t="str">
        <f>IF(B48="","",TEXT(43,"V00"))</f>
        <v/>
      </c>
      <c r="B48" s="8"/>
      <c r="C48" s="8"/>
      <c r="D48" s="8"/>
      <c r="E48" s="8"/>
      <c r="F48" s="8"/>
      <c r="G48" s="8"/>
      <c r="H48" s="8"/>
      <c r="I48" s="8"/>
    </row>
    <row r="49" spans="1:9" ht="24" customHeight="1" x14ac:dyDescent="0.25">
      <c r="A49" s="11" t="str">
        <f>IF(B49="","",TEXT(44,"V00"))</f>
        <v/>
      </c>
      <c r="B49" s="12"/>
      <c r="C49" s="12"/>
      <c r="D49" s="12"/>
      <c r="E49" s="12"/>
      <c r="F49" s="12"/>
      <c r="G49" s="12"/>
      <c r="H49" s="12"/>
      <c r="I49" s="12"/>
    </row>
    <row r="50" spans="1:9" ht="24" customHeight="1" x14ac:dyDescent="0.25">
      <c r="A50" s="7" t="str">
        <f>IF(B50="","",TEXT(45,"V00"))</f>
        <v/>
      </c>
      <c r="B50" s="8"/>
      <c r="C50" s="8"/>
      <c r="D50" s="8"/>
      <c r="E50" s="8"/>
      <c r="F50" s="8"/>
      <c r="G50" s="8"/>
      <c r="H50" s="8"/>
      <c r="I50" s="8"/>
    </row>
    <row r="51" spans="1:9" ht="24" customHeight="1" x14ac:dyDescent="0.25">
      <c r="A51" s="11" t="str">
        <f>IF(B51="","",TEXT(46,"V00"))</f>
        <v/>
      </c>
      <c r="B51" s="12"/>
      <c r="C51" s="12"/>
      <c r="D51" s="12"/>
      <c r="E51" s="12"/>
      <c r="F51" s="12"/>
      <c r="G51" s="12"/>
      <c r="H51" s="12"/>
      <c r="I51" s="12"/>
    </row>
    <row r="52" spans="1:9" ht="24" customHeight="1" x14ac:dyDescent="0.25">
      <c r="A52" s="7" t="str">
        <f>IF(B52="","",TEXT(47,"V00"))</f>
        <v/>
      </c>
      <c r="B52" s="8"/>
      <c r="C52" s="8"/>
      <c r="D52" s="8"/>
      <c r="E52" s="8"/>
      <c r="F52" s="8"/>
      <c r="G52" s="8"/>
      <c r="H52" s="8"/>
      <c r="I52" s="8"/>
    </row>
    <row r="53" spans="1:9" ht="24" customHeight="1" x14ac:dyDescent="0.25">
      <c r="A53" s="11" t="str">
        <f>IF(B53="","",TEXT(48,"V00"))</f>
        <v/>
      </c>
      <c r="B53" s="12"/>
      <c r="C53" s="12"/>
      <c r="D53" s="12"/>
      <c r="E53" s="12"/>
      <c r="F53" s="12"/>
      <c r="G53" s="12"/>
      <c r="H53" s="12"/>
      <c r="I53" s="12"/>
    </row>
    <row r="54" spans="1:9" ht="24" customHeight="1" x14ac:dyDescent="0.25">
      <c r="A54" s="7" t="str">
        <f>IF(B54="","",TEXT(49,"V00"))</f>
        <v/>
      </c>
      <c r="B54" s="8"/>
      <c r="C54" s="8"/>
      <c r="D54" s="8"/>
      <c r="E54" s="8"/>
      <c r="F54" s="8"/>
      <c r="G54" s="8"/>
      <c r="H54" s="8"/>
      <c r="I54" s="8"/>
    </row>
    <row r="55" spans="1:9" ht="24" customHeight="1" x14ac:dyDescent="0.25">
      <c r="A55" s="11" t="str">
        <f>IF(B55="","",TEXT(50,"V00"))</f>
        <v/>
      </c>
      <c r="B55" s="12"/>
      <c r="C55" s="12"/>
      <c r="D55" s="12"/>
      <c r="E55" s="12"/>
      <c r="F55" s="12"/>
      <c r="G55" s="12"/>
      <c r="H55" s="12"/>
      <c r="I55" s="12"/>
    </row>
  </sheetData>
  <autoFilter ref="A5:I5" xr:uid="{00000000-0009-0000-0000-000006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600-000000000000}">
          <x14:formula1>
            <xm:f>INDIRECT("roles_"&amp;Config!$D$9)</xm:f>
          </x14:formula1>
          <xm:sqref>H6:H55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E34"/>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93" t="str">
        <f>IFERROR(INDEX(_Lang!$B$2:$D$300,MATCH("ie_title",_Lang!$A$2:$A$300,0),IF(Config!$D$9="NL",1,IF(Config!$D$9="FR",2,3))),"[ie_title]")</f>
        <v>Import &amp; Export</v>
      </c>
      <c r="B1" s="88"/>
      <c r="C1" s="88"/>
      <c r="D1" s="88"/>
      <c r="E1" s="88"/>
    </row>
    <row r="2" spans="1:5" ht="21.95" customHeight="1" x14ac:dyDescent="0.25">
      <c r="A2" s="94" t="str">
        <f>IFERROR(INDEX(_Lang!$B$2:$D$300,MATCH("app_tagline",_Lang!$A$2:$A$300,0),IF(Config!$D$9="NL",1,IF(Config!$D$9="FR",2,3))),"[app_tagline]")</f>
        <v>Governance · Risico · Compliance</v>
      </c>
      <c r="B2" s="88"/>
      <c r="C2" s="88"/>
      <c r="D2" s="88"/>
      <c r="E2" s="88"/>
    </row>
    <row r="3" spans="1:5" ht="21.95" customHeight="1" x14ac:dyDescent="0.25">
      <c r="A3" s="101" t="str">
        <f>IFERROR(INDEX(_Lang!$B$2:$D$300,MATCH("ie_subtitle",_Lang!$A$2:$A$300,0),IF(Config!$D$9="NL",1,IF(Config!$D$9="FR",2,3))),"[ie_subtitle]")</f>
        <v>Importeer gegevens vanuit externe bronnen of exporteer het GRC-register.</v>
      </c>
      <c r="B3" s="88"/>
      <c r="C3" s="88"/>
      <c r="D3" s="88"/>
      <c r="E3" s="88"/>
    </row>
    <row r="4" spans="1:5" ht="9.9499999999999993" customHeight="1" x14ac:dyDescent="0.25"/>
    <row r="5" spans="1:5" ht="20.100000000000001" customHeight="1" x14ac:dyDescent="0.25">
      <c r="B5" s="87" t="str">
        <f>IFERROR(INDEX(_Lang!$B$2:$D$300,MATCH("ie_section_import",_Lang!$A$2:$A$300,0),IF(Config!$D$9="NL",1,IF(Config!$D$9="FR",2,3))),"[ie_section_import]")</f>
        <v>IMPORTEREN</v>
      </c>
      <c r="C5" s="88"/>
      <c r="D5" s="88"/>
      <c r="E5" s="88"/>
    </row>
    <row r="6" spans="1:5" ht="33.950000000000003" customHeight="1" x14ac:dyDescent="0.25">
      <c r="B6" s="41" t="str">
        <f>IFERROR(INDEX(_Lang!$B$2:$D$300,MATCH("ie_import_all_btn",_Lang!$A$2:$A$300,0),IF(Config!$D$9="NL",1,IF(Config!$D$9="FR",2,3))),"[ie_import_all_btn]")</f>
        <v>Importeer Alles</v>
      </c>
    </row>
    <row r="7" spans="1:5" ht="44.1" customHeight="1" x14ac:dyDescent="0.25">
      <c r="B7" s="108" t="str">
        <f>IFERROR(INDEX(_Lang!$B$2:$D$300,MATCH("ie_import_all_desc",_Lang!$A$2:$A$300,0),IF(Config!$D$9="NL",1,IF(Config!$D$9="FR",2,3))),"[ie_import_all_desc]")</f>
        <v>Importeert informatieassets, afhankelijke assets, processen én kwetsbaarheden-matrix in één stap.</v>
      </c>
      <c r="C7" s="88"/>
      <c r="D7" s="88"/>
    </row>
    <row r="8" spans="1:5" ht="9.9499999999999993" customHeight="1" x14ac:dyDescent="0.25"/>
    <row r="9" spans="1:5" ht="33.950000000000003" customHeight="1" x14ac:dyDescent="0.25">
      <c r="B9" s="41" t="str">
        <f>IFERROR(INDEX(_Lang!$B$2:$D$300,MATCH("ie_import_ia_btn",_Lang!$A$2:$A$300,0),IF(Config!$D$9="NL",1,IF(Config!$D$9="FR",2,3))),"[ie_import_ia_btn]")</f>
        <v>Importeer Informatieassets</v>
      </c>
    </row>
    <row r="10" spans="1:5" ht="44.1" customHeight="1" x14ac:dyDescent="0.25">
      <c r="B10" s="108" t="str">
        <f>IFERROR(INDEX(_Lang!$B$2:$D$300,MATCH("ie_import_ia_desc",_Lang!$A$2:$A$300,0),IF(Config!$D$9="NL",1,IF(Config!$D$9="FR",2,3))),"[ie_import_ia_desc]")</f>
        <v>Leest de tabel 'T - Information Assets' uit de Access-database en vult de tab Informatieassets.</v>
      </c>
      <c r="C10" s="88"/>
      <c r="D10" s="88"/>
    </row>
    <row r="11" spans="1:5" ht="9.9499999999999993" customHeight="1" x14ac:dyDescent="0.25"/>
    <row r="12" spans="1:5" ht="33.950000000000003" customHeight="1" x14ac:dyDescent="0.25">
      <c r="B12" s="41" t="str">
        <f>IFERROR(INDEX(_Lang!$B$2:$D$300,MATCH("ie_import_da_btn",_Lang!$A$2:$A$300,0),IF(Config!$D$9="NL",1,IF(Config!$D$9="FR",2,3))),"[ie_import_da_btn]")</f>
        <v>Importeer Afhankelijke Assets</v>
      </c>
    </row>
    <row r="13" spans="1:5" ht="44.1" customHeight="1" x14ac:dyDescent="0.25">
      <c r="B13" s="108" t="str">
        <f>IFERROR(INDEX(_Lang!$B$2:$D$300,MATCH("ie_import_da_desc",_Lang!$A$2:$A$300,0),IF(Config!$D$9="NL",1,IF(Config!$D$9="FR",2,3))),"[ie_import_da_desc]")</f>
        <v>Leest de tabel 'T - Dependent assets' en vult de tab Afhankelijke Assets inclusief CIA-objectives.</v>
      </c>
      <c r="C13" s="88"/>
      <c r="D13" s="88"/>
    </row>
    <row r="14" spans="1:5" ht="9.9499999999999993" customHeight="1" x14ac:dyDescent="0.25"/>
    <row r="15" spans="1:5" ht="33.950000000000003" customHeight="1" x14ac:dyDescent="0.25">
      <c r="B15" s="41" t="str">
        <f>IFERROR(INDEX(_Lang!$B$2:$D$300,MATCH("ie_import_proc_btn",_Lang!$A$2:$A$300,0),IF(Config!$D$9="NL",1,IF(Config!$D$9="FR",2,3))),"[ie_import_proc_btn]")</f>
        <v>Importeer Processen</v>
      </c>
    </row>
    <row r="16" spans="1:5" ht="44.1" customHeight="1" x14ac:dyDescent="0.25">
      <c r="B16" s="108" t="str">
        <f>IFERROR(INDEX(_Lang!$B$2:$D$300,MATCH("ie_import_proc_desc",_Lang!$A$2:$A$300,0),IF(Config!$D$9="NL",1,IF(Config!$D$9="FR",2,3))),"[ie_import_proc_desc]")</f>
        <v>Leest 'T - Processes in scope' en vult de tab Processen inclusief koppelingen aan assets.</v>
      </c>
      <c r="C16" s="88"/>
      <c r="D16" s="88"/>
    </row>
    <row r="17" spans="2:5" ht="9.9499999999999993" customHeight="1" x14ac:dyDescent="0.25"/>
    <row r="18" spans="2:5" ht="33.950000000000003" customHeight="1" x14ac:dyDescent="0.25">
      <c r="B18" s="41" t="str">
        <f>IFERROR(INDEX(_Lang!$B$2:$D$300,MATCH("ie_import_kwets_btn",_Lang!$A$2:$A$300,0),IF(Config!$D$9="NL",1,IF(Config!$D$9="FR",2,3))),"[ie_import_kwets_btn]")</f>
        <v>Importeer Kwetsbaarheden</v>
      </c>
    </row>
    <row r="19" spans="2:5" ht="44.1" customHeight="1" x14ac:dyDescent="0.25">
      <c r="B19" s="108" t="str">
        <f>IFERROR(INDEX(_Lang!$B$2:$D$300,MATCH("ie_import_kwets_desc",_Lang!$A$2:$A$300,0),IF(Config!$D$9="NL",1,IF(Config!$D$9="FR",2,3))),"[ie_import_kwets_desc]")</f>
        <v>Laadt de kwetsbaarheden en hun koppeling aan CyFun-controls. Vereist dat de tab Kwetsbaarheden al aangemaakt is.</v>
      </c>
      <c r="C19" s="88"/>
      <c r="D19" s="88"/>
    </row>
    <row r="20" spans="2:5" ht="9.9499999999999993" customHeight="1" x14ac:dyDescent="0.25"/>
    <row r="21" spans="2:5" ht="33.950000000000003" customHeight="1" x14ac:dyDescent="0.25">
      <c r="B21" s="42" t="str">
        <f>IFERROR(INDEX(_Lang!$B$2:$D$300,MATCH("ie_import_links_btn",_Lang!$A$2:$A$300,0),IF(Config!$D$9="NL",1,IF(Config!$D$9="FR",2,3))),"[ie_import_links_btn]")</f>
        <v>Importeer Links DA / Kwetsbaarheden</v>
      </c>
    </row>
    <row r="22" spans="2:5" ht="44.1" customHeight="1" x14ac:dyDescent="0.25">
      <c r="B22" s="108" t="str">
        <f>IFERROR(INDEX(_Lang!$B$2:$D$300,MATCH("ie_import_links_desc",_Lang!$A$2:$A$300,0),IF(Config!$D$9="NL",1,IF(Config!$D$9="FR",2,3))),"[ie_import_links_desc]")</f>
        <v>Voer dit uit NA de import van kwetsbaarheden. Leest de koppelingen tussen afhankelijke assets en kwetsbaarheden uit de Access-database en vult de RARM-tab aan.</v>
      </c>
      <c r="C22" s="88"/>
      <c r="D22" s="88"/>
    </row>
    <row r="23" spans="2:5" ht="9.9499999999999993" customHeight="1" x14ac:dyDescent="0.25"/>
    <row r="24" spans="2:5" ht="20.100000000000001" customHeight="1" x14ac:dyDescent="0.25">
      <c r="B24" s="87" t="str">
        <f>IFERROR(INDEX(_Lang!$B$2:$D$300,MATCH("ie_section_export",_Lang!$A$2:$A$300,0),IF(Config!$D$9="NL",1,IF(Config!$D$9="FR",2,3))),"[ie_section_export]")</f>
        <v>EXPORTEREN</v>
      </c>
      <c r="C24" s="88"/>
      <c r="D24" s="88"/>
      <c r="E24" s="88"/>
    </row>
    <row r="25" spans="2:5" ht="20.100000000000001" customHeight="1" x14ac:dyDescent="0.25">
      <c r="B25" s="87" t="str">
        <f>IFERROR(INDEX(_Lang!$B$2:$D$300,MATCH("ie_section_info",_Lang!$A$2:$A$300,0),IF(Config!$D$9="NL",1,IF(Config!$D$9="FR",2,3))),"[ie_section_info]")</f>
        <v>TABELSTRUCTUUR BRONBESTAND</v>
      </c>
      <c r="C25" s="88"/>
      <c r="D25" s="88"/>
      <c r="E25" s="88"/>
    </row>
    <row r="26" spans="2:5" ht="21.95" customHeight="1" x14ac:dyDescent="0.25">
      <c r="B26" s="111" t="str">
        <f>IFERROR(INDEX(_Lang!$B$2:$D$300,MATCH("ie_table_proc",_Lang!$A$2:$A$300,0),IF(Config!$D$9="NL",1,IF(Config!$D$9="FR",2,3))),"[ie_table_proc]")</f>
        <v>T - Processes in scope</v>
      </c>
      <c r="C26" s="88"/>
      <c r="D26" s="88"/>
    </row>
    <row r="27" spans="2:5" ht="18" customHeight="1" x14ac:dyDescent="0.25">
      <c r="B27" s="112" t="str">
        <f>IFERROR(INDEX(_Lang!$B$2:$D$300,MATCH("ie_col_hint",_Lang!$A$2:$A$300,0),IF(Config!$D$9="NL",1,IF(Config!$D$9="FR",2,3))),"[ie_col_hint]")</f>
        <v>Ondersteunde kolomnamen (niet hoofdlettergevoelig):</v>
      </c>
      <c r="C27" s="88"/>
      <c r="D27" s="88"/>
    </row>
    <row r="28" spans="2:5" ht="51.95" customHeight="1" x14ac:dyDescent="0.25">
      <c r="B28" s="110" t="s">
        <v>453</v>
      </c>
      <c r="C28" s="88"/>
      <c r="D28" s="88"/>
    </row>
    <row r="30" spans="2:5" ht="21.95" customHeight="1" x14ac:dyDescent="0.25">
      <c r="B30" s="111" t="str">
        <f>IFERROR(INDEX(_Lang!$B$2:$D$300,MATCH("ie_table_asset",_Lang!$A$2:$A$300,0),IF(Config!$D$9="NL",1,IF(Config!$D$9="FR",2,3))),"[ie_table_asset]")</f>
        <v>T - Information Assets</v>
      </c>
      <c r="C30" s="88"/>
      <c r="D30" s="88"/>
    </row>
    <row r="31" spans="2:5" ht="18" customHeight="1" x14ac:dyDescent="0.25">
      <c r="B31" s="112" t="str">
        <f>IFERROR(INDEX(_Lang!$B$2:$D$300,MATCH("ie_col_hint",_Lang!$A$2:$A$300,0),IF(Config!$D$9="NL",1,IF(Config!$D$9="FR",2,3))),"[ie_col_hint]")</f>
        <v>Ondersteunde kolomnamen (niet hoofdlettergevoelig):</v>
      </c>
      <c r="C31" s="88"/>
      <c r="D31" s="88"/>
    </row>
    <row r="32" spans="2:5" ht="51.95" customHeight="1" x14ac:dyDescent="0.25">
      <c r="B32" s="110" t="s">
        <v>454</v>
      </c>
      <c r="C32" s="88"/>
      <c r="D32" s="88"/>
    </row>
    <row r="34" spans="2:4" ht="21.95" customHeight="1" x14ac:dyDescent="0.25">
      <c r="B34" s="109" t="str">
        <f>IFERROR(INDEX(_Lang!$B$2:$D$300,MATCH("ie_macro_hint",_Lang!$A$2:$A$300,0),IF(Config!$D$9="NL",1,IF(Config!$D$9="FR",2,3))),"[ie_macro_hint]")</f>
        <v>De macro's zijn ingebouwd in dit bestand (Module: GRC_Macros). Klik op de knoppen hierboven om te starten.</v>
      </c>
      <c r="C34" s="88"/>
      <c r="D34" s="88"/>
    </row>
  </sheetData>
  <mergeCells count="19">
    <mergeCell ref="B31:D31"/>
    <mergeCell ref="B22:D22"/>
    <mergeCell ref="B27:D27"/>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93" t="str">
        <f>IFERROR(INDEX(_Lang!$B$2:$D$300,MATCH("ref_title",_Lang!$A$2:$A$300,0),IF(Config!$D$9="NL",1,IF(Config!$D$9="FR",2,3))),"[ref_title]")</f>
        <v>Referentiewaarden en Classificatieschalen</v>
      </c>
      <c r="B1" s="88"/>
      <c r="C1" s="88"/>
      <c r="D1" s="88"/>
      <c r="E1" s="88"/>
      <c r="F1" s="88"/>
    </row>
    <row r="2" spans="1:6" ht="21.95" customHeight="1" x14ac:dyDescent="0.25">
      <c r="A2" s="94" t="str">
        <f>IFERROR(INDEX(_Lang!$B$2:$D$300,MATCH("app_tagline",_Lang!$A$2:$A$300,0),IF(Config!$D$9="NL",1,IF(Config!$D$9="FR",2,3))),"[app_tagline]")</f>
        <v>Governance · Risico · Compliance</v>
      </c>
      <c r="B2" s="88"/>
      <c r="C2" s="88"/>
      <c r="D2" s="88"/>
      <c r="E2" s="88"/>
      <c r="F2" s="88"/>
    </row>
    <row r="3" spans="1:6" ht="30" customHeight="1" x14ac:dyDescent="0.25">
      <c r="A3" s="114" t="str">
        <f>IFERROR(INDEX(_Lang!$B$2:$D$300,MATCH("ref_subtitle",_Lang!$A$2:$A$300,0),IF(Config!$D$9="NL",1,IF(Config!$D$9="FR",2,3))),"[ref_subtitle]")</f>
        <v>Gebruik deze schalen bij het invullen van de classificatievelden (1 = Laag … 5 = Kritiek).</v>
      </c>
      <c r="B3" s="88"/>
      <c r="C3" s="88"/>
      <c r="D3" s="88"/>
      <c r="E3" s="88"/>
      <c r="F3" s="88"/>
    </row>
    <row r="4" spans="1:6" ht="9.9499999999999993" customHeight="1" x14ac:dyDescent="0.25"/>
    <row r="5" spans="1:6" ht="20.100000000000001" customHeight="1" x14ac:dyDescent="0.25">
      <c r="A5" s="87" t="str">
        <f>IFERROR(INDEX(_Lang!$B$2:$D$300,MATCH("ref_section_int",_Lang!$A$2:$A$300,0),IF(Config!$D$9="NL",1,IF(Config!$D$9="FR",2,3))),"[ref_section_int]")</f>
        <v>INTEGRITEIT</v>
      </c>
      <c r="B5" s="88"/>
      <c r="C5" s="88"/>
      <c r="D5" s="88"/>
      <c r="E5" s="88"/>
      <c r="F5" s="88"/>
    </row>
    <row r="6" spans="1:6" ht="21.95" customHeight="1" x14ac:dyDescent="0.25">
      <c r="A6" s="119" t="str">
        <f>IFERROR(INDEX(_Lang!$B$2:$D$300,MATCH("ref_int_subtitle",_Lang!$A$2:$A$300,0),IF(Config!$D$9="NL",1,IF(Config!$D$9="FR",2,3))),"[ref_int_subtitle]")</f>
        <v>Mate van correctheid, volledigheid en betrouwbaarheid van gegevens.</v>
      </c>
      <c r="B6" s="88"/>
      <c r="C6" s="88"/>
      <c r="D6" s="88"/>
      <c r="E6" s="88"/>
      <c r="F6" s="88"/>
    </row>
    <row r="7" spans="1:6" ht="26.1" customHeight="1" x14ac:dyDescent="0.25">
      <c r="A7" s="43" t="str">
        <f>IFERROR(INDEX(_Lang!$B$2:$D$300,MATCH("ref_level",_Lang!$A$2:$A$300,0),IF(Config!$D$9="NL",1,IF(Config!$D$9="FR",2,3))),"[ref_level]")</f>
        <v>Niveau</v>
      </c>
      <c r="B7" s="43" t="str">
        <f>IFERROR(INDEX(_Lang!$B$2:$D$300,MATCH("ref_label",_Lang!$A$2:$A$300,0),IF(Config!$D$9="NL",1,IF(Config!$D$9="FR",2,3))),"[ref_label]")</f>
        <v>Benaming</v>
      </c>
      <c r="C7" s="43" t="str">
        <f>IFERROR(INDEX(_Lang!$B$2:$D$300,MATCH("ref_description",_Lang!$A$2:$A$300,0),IF(Config!$D$9="NL",1,IF(Config!$D$9="FR",2,3))),"[ref_description]")</f>
        <v>Omschrijving</v>
      </c>
    </row>
    <row r="8" spans="1:6" ht="51.95" customHeight="1" x14ac:dyDescent="0.25">
      <c r="A8" s="44">
        <v>1</v>
      </c>
      <c r="B8" s="45" t="str">
        <f>IFERROR(INDEX(_Lang!$B$2:$D$300,MATCH("ref_lvl1_label",_Lang!$A$2:$A$300,0),IF(Config!$D$9="NL",1,IF(Config!$D$9="FR",2,3))),"[ref_lvl1_label]")</f>
        <v>Laag</v>
      </c>
      <c r="C8" s="113" t="str">
        <f>IFERROR(INDEX(_Lang!$B$2:$D$300,MATCH("ref_int_1",_Lang!$A$2:$A$300,0),IF(Config!$D$9="NL",1,IF(Config!$D$9="FR",2,3))),"[ref_int_1]")</f>
        <v>Fouten hebben geen impact op beslissingen of dienstverlening.</v>
      </c>
      <c r="D8" s="88"/>
      <c r="E8" s="88"/>
      <c r="F8" s="88"/>
    </row>
    <row r="9" spans="1:6" ht="51.95" customHeight="1" x14ac:dyDescent="0.25">
      <c r="A9" s="46">
        <v>2</v>
      </c>
      <c r="B9" s="47" t="str">
        <f>IFERROR(INDEX(_Lang!$B$2:$D$300,MATCH("ref_lvl2_label",_Lang!$A$2:$A$300,0),IF(Config!$D$9="NL",1,IF(Config!$D$9="FR",2,3))),"[ref_lvl2_label]")</f>
        <v>Gemiddeld</v>
      </c>
      <c r="C9" s="116" t="str">
        <f>IFERROR(INDEX(_Lang!$B$2:$D$300,MATCH("ref_int_2",_Lang!$A$2:$A$300,0),IF(Config!$D$9="NL",1,IF(Config!$D$9="FR",2,3))),"[ref_int_2]")</f>
        <v>Fouten kunnen leiden tot beperkte fouten in beslissingen.</v>
      </c>
      <c r="D9" s="88"/>
      <c r="E9" s="88"/>
      <c r="F9" s="88"/>
    </row>
    <row r="10" spans="1:6" ht="51.95" customHeight="1" x14ac:dyDescent="0.25">
      <c r="A10" s="48">
        <v>3</v>
      </c>
      <c r="B10" s="49" t="str">
        <f>IFERROR(INDEX(_Lang!$B$2:$D$300,MATCH("ref_lvl3_label",_Lang!$A$2:$A$300,0),IF(Config!$D$9="NL",1,IF(Config!$D$9="FR",2,3))),"[ref_lvl3_label]")</f>
        <v>Hoog</v>
      </c>
      <c r="C10" s="115" t="str">
        <f>IFERROR(INDEX(_Lang!$B$2:$D$300,MATCH("ref_int_3",_Lang!$A$2:$A$300,0),IF(Config!$D$9="NL",1,IF(Config!$D$9="FR",2,3))),"[ref_int_3]")</f>
        <v>Fouten leiden tot verkeerde beslissingen met significante gevolgen.</v>
      </c>
      <c r="D10" s="88"/>
      <c r="E10" s="88"/>
      <c r="F10" s="88"/>
    </row>
    <row r="11" spans="1:6" ht="51.95" customHeight="1" x14ac:dyDescent="0.25">
      <c r="A11" s="50">
        <v>4</v>
      </c>
      <c r="B11" s="51" t="str">
        <f>IFERROR(INDEX(_Lang!$B$2:$D$300,MATCH("ref_lvl4_label",_Lang!$A$2:$A$300,0),IF(Config!$D$9="NL",1,IF(Config!$D$9="FR",2,3))),"[ref_lvl4_label]")</f>
        <v>Zeer Hoog</v>
      </c>
      <c r="C11" s="118" t="str">
        <f>IFERROR(INDEX(_Lang!$B$2:$D$300,MATCH("ref_int_4",_Lang!$A$2:$A$300,0),IF(Config!$D$9="NL",1,IF(Config!$D$9="FR",2,3))),"[ref_int_4]")</f>
        <v>Fouten leiden tot grove schade: gevaar, juridische gevolgen, schending van rechten.</v>
      </c>
      <c r="D11" s="88"/>
      <c r="E11" s="88"/>
      <c r="F11" s="88"/>
    </row>
    <row r="12" spans="1:6" ht="51.95" customHeight="1" x14ac:dyDescent="0.25">
      <c r="A12" s="52">
        <v>5</v>
      </c>
      <c r="B12" s="53" t="str">
        <f>IFERROR(INDEX(_Lang!$B$2:$D$300,MATCH("ref_lvl5_label",_Lang!$A$2:$A$300,0),IF(Config!$D$9="NL",1,IF(Config!$D$9="FR",2,3))),"[ref_lvl5_label]")</f>
        <v>Classified</v>
      </c>
      <c r="C12" s="117" t="str">
        <f>IFERROR(INDEX(_Lang!$B$2:$D$300,MATCH("ref_int_5",_Lang!$A$2:$A$300,0),IF(Config!$D$9="NL",1,IF(Config!$D$9="FR",2,3))),"[ref_int_5]")</f>
        <v>Fouten kunnen leiden tot onherstelbare schade, gevaar voor nationale veiligheid of fundamentele schending van grondrechten.</v>
      </c>
      <c r="D12" s="88"/>
      <c r="E12" s="88"/>
      <c r="F12" s="88"/>
    </row>
    <row r="14" spans="1:6" ht="20.100000000000001" customHeight="1" x14ac:dyDescent="0.25">
      <c r="A14" s="87" t="str">
        <f>IFERROR(INDEX(_Lang!$B$2:$D$300,MATCH("ref_section_avail",_Lang!$A$2:$A$300,0),IF(Config!$D$9="NL",1,IF(Config!$D$9="FR",2,3))),"[ref_section_avail]")</f>
        <v>BESCHIKBAARHEID</v>
      </c>
      <c r="B14" s="88"/>
      <c r="C14" s="88"/>
      <c r="D14" s="88"/>
      <c r="E14" s="88"/>
      <c r="F14" s="88"/>
    </row>
    <row r="15" spans="1:6" ht="21.95" customHeight="1" x14ac:dyDescent="0.25">
      <c r="A15" s="119" t="str">
        <f>IFERROR(INDEX(_Lang!$B$2:$D$300,MATCH("ref_avail_subtitle",_Lang!$A$2:$A$300,0),IF(Config!$D$9="NL",1,IF(Config!$D$9="FR",2,3))),"[ref_avail_subtitle]")</f>
        <v>Mate van toegankelijkheid wanneer dat nodig is.</v>
      </c>
      <c r="B15" s="88"/>
      <c r="C15" s="88"/>
      <c r="D15" s="88"/>
      <c r="E15" s="88"/>
      <c r="F15" s="88"/>
    </row>
    <row r="16" spans="1:6" ht="26.1" customHeight="1" x14ac:dyDescent="0.25">
      <c r="A16" s="43" t="str">
        <f>IFERROR(INDEX(_Lang!$B$2:$D$300,MATCH("ref_level",_Lang!$A$2:$A$300,0),IF(Config!$D$9="NL",1,IF(Config!$D$9="FR",2,3))),"[ref_level]")</f>
        <v>Niveau</v>
      </c>
      <c r="B16" s="43" t="str">
        <f>IFERROR(INDEX(_Lang!$B$2:$D$300,MATCH("ref_label",_Lang!$A$2:$A$300,0),IF(Config!$D$9="NL",1,IF(Config!$D$9="FR",2,3))),"[ref_label]")</f>
        <v>Benaming</v>
      </c>
      <c r="C16" s="43" t="str">
        <f>IFERROR(INDEX(_Lang!$B$2:$D$300,MATCH("ref_description",_Lang!$A$2:$A$300,0),IF(Config!$D$9="NL",1,IF(Config!$D$9="FR",2,3))),"[ref_description]")</f>
        <v>Omschrijving</v>
      </c>
    </row>
    <row r="17" spans="1:6" ht="51.95" customHeight="1" x14ac:dyDescent="0.25">
      <c r="A17" s="44">
        <v>1</v>
      </c>
      <c r="B17" s="45" t="str">
        <f>IFERROR(INDEX(_Lang!$B$2:$D$300,MATCH("ref_lvl1_label",_Lang!$A$2:$A$300,0),IF(Config!$D$9="NL",1,IF(Config!$D$9="FR",2,3))),"[ref_lvl1_label]")</f>
        <v>Laag</v>
      </c>
      <c r="C17" s="113" t="str">
        <f>IFERROR(INDEX(_Lang!$B$2:$D$300,MATCH("ref_avail_1",_Lang!$A$2:$A$300,0),IF(Config!$D$9="NL",1,IF(Config!$D$9="FR",2,3))),"[ref_avail_1]")</f>
        <v>Uitval heeft geen merkbare impact. Processen lopen handmatig verder.</v>
      </c>
      <c r="D17" s="88"/>
      <c r="E17" s="88"/>
      <c r="F17" s="88"/>
    </row>
    <row r="18" spans="1:6" ht="51.95" customHeight="1" x14ac:dyDescent="0.25">
      <c r="A18" s="46">
        <v>2</v>
      </c>
      <c r="B18" s="47" t="str">
        <f>IFERROR(INDEX(_Lang!$B$2:$D$300,MATCH("ref_lvl2_label",_Lang!$A$2:$A$300,0),IF(Config!$D$9="NL",1,IF(Config!$D$9="FR",2,3))),"[ref_lvl2_label]")</f>
        <v>Gemiddeld</v>
      </c>
      <c r="C18" s="116" t="str">
        <f>IFERROR(INDEX(_Lang!$B$2:$D$300,MATCH("ref_avail_2",_Lang!$A$2:$A$300,0),IF(Config!$D$9="NL",1,IF(Config!$D$9="FR",2,3))),"[ref_avail_2]")</f>
        <v>Uitval veroorzaakt hinder maar geen kritieke verstoring.</v>
      </c>
      <c r="D18" s="88"/>
      <c r="E18" s="88"/>
      <c r="F18" s="88"/>
    </row>
    <row r="19" spans="1:6" ht="51.95" customHeight="1" x14ac:dyDescent="0.25">
      <c r="A19" s="48">
        <v>3</v>
      </c>
      <c r="B19" s="49" t="str">
        <f>IFERROR(INDEX(_Lang!$B$2:$D$300,MATCH("ref_lvl3_label",_Lang!$A$2:$A$300,0),IF(Config!$D$9="NL",1,IF(Config!$D$9="FR",2,3))),"[ref_lvl3_label]")</f>
        <v>Hoog</v>
      </c>
      <c r="C19" s="115" t="str">
        <f>IFERROR(INDEX(_Lang!$B$2:$D$300,MATCH("ref_avail_3",_Lang!$A$2:$A$300,0),IF(Config!$D$9="NL",1,IF(Config!$D$9="FR",2,3))),"[ref_avail_3]")</f>
        <v>Uitval leidt tot significante verstoring van de dienstverlening.</v>
      </c>
      <c r="D19" s="88"/>
      <c r="E19" s="88"/>
      <c r="F19" s="88"/>
    </row>
    <row r="20" spans="1:6" ht="51.95" customHeight="1" x14ac:dyDescent="0.25">
      <c r="A20" s="50">
        <v>4</v>
      </c>
      <c r="B20" s="51" t="str">
        <f>IFERROR(INDEX(_Lang!$B$2:$D$300,MATCH("ref_lvl4_label",_Lang!$A$2:$A$300,0),IF(Config!$D$9="NL",1,IF(Config!$D$9="FR",2,3))),"[ref_lvl4_label]")</f>
        <v>Zeer Hoog</v>
      </c>
      <c r="C20" s="118" t="str">
        <f>IFERROR(INDEX(_Lang!$B$2:$D$300,MATCH("ref_avail_4",_Lang!$A$2:$A$300,0),IF(Config!$D$9="NL",1,IF(Config!$D$9="FR",2,3))),"[ref_avail_4]")</f>
        <v>Uitval veroorzaakt grote schade of stillegging van belangrijke diensten.</v>
      </c>
      <c r="D20" s="88"/>
      <c r="E20" s="88"/>
      <c r="F20" s="88"/>
    </row>
    <row r="21" spans="1:6" ht="51.95" customHeight="1" x14ac:dyDescent="0.25">
      <c r="A21" s="52">
        <v>5</v>
      </c>
      <c r="B21" s="53" t="str">
        <f>IFERROR(INDEX(_Lang!$B$2:$D$300,MATCH("ref_lvl5_label",_Lang!$A$2:$A$300,0),IF(Config!$D$9="NL",1,IF(Config!$D$9="FR",2,3))),"[ref_lvl5_label]")</f>
        <v>Classified</v>
      </c>
      <c r="C21" s="117" t="str">
        <f>IFERROR(INDEX(_Lang!$B$2:$D$300,MATCH("ref_avail_5",_Lang!$A$2:$A$300,0),IF(Config!$D$9="NL",1,IF(Config!$D$9="FR",2,3))),"[ref_avail_5]")</f>
        <v>Uitval leidt tot volledige stopzetting van vitale overheidsfuncties of noodsituaties met gevaar voor leven.</v>
      </c>
      <c r="D21" s="88"/>
      <c r="E21" s="88"/>
      <c r="F21" s="88"/>
    </row>
    <row r="23" spans="1:6" ht="20.100000000000001" customHeight="1" x14ac:dyDescent="0.25">
      <c r="A23" s="87" t="str">
        <f>IFERROR(INDEX(_Lang!$B$2:$D$300,MATCH("ref_section_conf",_Lang!$A$2:$A$300,0),IF(Config!$D$9="NL",1,IF(Config!$D$9="FR",2,3))),"[ref_section_conf]")</f>
        <v>CONFIDENTIALITEIT</v>
      </c>
      <c r="B23" s="88"/>
      <c r="C23" s="88"/>
      <c r="D23" s="88"/>
      <c r="E23" s="88"/>
      <c r="F23" s="88"/>
    </row>
    <row r="24" spans="1:6" ht="21.95" customHeight="1" x14ac:dyDescent="0.25">
      <c r="A24" s="119" t="str">
        <f>IFERROR(INDEX(_Lang!$B$2:$D$300,MATCH("ref_conf_subtitle",_Lang!$A$2:$A$300,0),IF(Config!$D$9="NL",1,IF(Config!$D$9="FR",2,3))),"[ref_conf_subtitle]")</f>
        <v>Toegankelijkheid enkel voor bevoegde personen of systemen.</v>
      </c>
      <c r="B24" s="88"/>
      <c r="C24" s="88"/>
      <c r="D24" s="88"/>
      <c r="E24" s="88"/>
      <c r="F24" s="88"/>
    </row>
    <row r="25" spans="1:6" ht="26.1" customHeight="1" x14ac:dyDescent="0.25">
      <c r="A25" s="43" t="str">
        <f>IFERROR(INDEX(_Lang!$B$2:$D$300,MATCH("ref_level",_Lang!$A$2:$A$300,0),IF(Config!$D$9="NL",1,IF(Config!$D$9="FR",2,3))),"[ref_level]")</f>
        <v>Niveau</v>
      </c>
      <c r="B25" s="43" t="str">
        <f>IFERROR(INDEX(_Lang!$B$2:$D$300,MATCH("ref_label",_Lang!$A$2:$A$300,0),IF(Config!$D$9="NL",1,IF(Config!$D$9="FR",2,3))),"[ref_label]")</f>
        <v>Benaming</v>
      </c>
      <c r="C25" s="43" t="str">
        <f>IFERROR(INDEX(_Lang!$B$2:$D$300,MATCH("ref_description",_Lang!$A$2:$A$300,0),IF(Config!$D$9="NL",1,IF(Config!$D$9="FR",2,3))),"[ref_description]")</f>
        <v>Omschrijving</v>
      </c>
    </row>
    <row r="26" spans="1:6" ht="51.95" customHeight="1" x14ac:dyDescent="0.25">
      <c r="A26" s="44">
        <v>1</v>
      </c>
      <c r="B26" s="45" t="str">
        <f>IFERROR(INDEX(_Lang!$B$2:$D$300,MATCH("ref_lvl1_label",_Lang!$A$2:$A$300,0),IF(Config!$D$9="NL",1,IF(Config!$D$9="FR",2,3))),"[ref_lvl1_label]")</f>
        <v>Laag</v>
      </c>
      <c r="C26" s="113" t="str">
        <f>IFERROR(INDEX(_Lang!$B$2:$D$300,MATCH("ref_conf_1",_Lang!$A$2:$A$300,0),IF(Config!$D$9="NL",1,IF(Config!$D$9="FR",2,3))),"[ref_conf_1]")</f>
        <v>Openbare gegevens. Verspreiding heeft geen nadelige gevolgen.</v>
      </c>
      <c r="D26" s="88"/>
      <c r="E26" s="88"/>
      <c r="F26" s="88"/>
    </row>
    <row r="27" spans="1:6" ht="51.95" customHeight="1" x14ac:dyDescent="0.25">
      <c r="A27" s="46">
        <v>2</v>
      </c>
      <c r="B27" s="47" t="str">
        <f>IFERROR(INDEX(_Lang!$B$2:$D$300,MATCH("ref_lvl2_label",_Lang!$A$2:$A$300,0),IF(Config!$D$9="NL",1,IF(Config!$D$9="FR",2,3))),"[ref_lvl2_label]")</f>
        <v>Gemiddeld</v>
      </c>
      <c r="C27" s="116" t="str">
        <f>IFERROR(INDEX(_Lang!$B$2:$D$300,MATCH("ref_conf_2",_Lang!$A$2:$A$300,0),IF(Config!$D$9="NL",1,IF(Config!$D$9="FR",2,3))),"[ref_conf_2]")</f>
        <v>Interne gegevens. Verspreiding kan leiden tot beperkte reputatieschade.</v>
      </c>
      <c r="D27" s="88"/>
      <c r="E27" s="88"/>
      <c r="F27" s="88"/>
    </row>
    <row r="28" spans="1:6" ht="51.95" customHeight="1" x14ac:dyDescent="0.25">
      <c r="A28" s="48">
        <v>3</v>
      </c>
      <c r="B28" s="49" t="str">
        <f>IFERROR(INDEX(_Lang!$B$2:$D$300,MATCH("ref_lvl3_label",_Lang!$A$2:$A$300,0),IF(Config!$D$9="NL",1,IF(Config!$D$9="FR",2,3))),"[ref_lvl3_label]")</f>
        <v>Hoog</v>
      </c>
      <c r="C28" s="115" t="str">
        <f>IFERROR(INDEX(_Lang!$B$2:$D$300,MATCH("ref_conf_3",_Lang!$A$2:$A$300,0),IF(Config!$D$9="NL",1,IF(Config!$D$9="FR",2,3))),"[ref_conf_3]")</f>
        <v>Vertrouwelijke gegevens. Ongeoorloofde verspreiding heeft ernstige gevolgen.</v>
      </c>
      <c r="D28" s="88"/>
      <c r="E28" s="88"/>
      <c r="F28" s="88"/>
    </row>
    <row r="29" spans="1:6" ht="51.95" customHeight="1" x14ac:dyDescent="0.25">
      <c r="A29" s="50">
        <v>4</v>
      </c>
      <c r="B29" s="51" t="str">
        <f>IFERROR(INDEX(_Lang!$B$2:$D$300,MATCH("ref_lvl4_label",_Lang!$A$2:$A$300,0),IF(Config!$D$9="NL",1,IF(Config!$D$9="FR",2,3))),"[ref_lvl4_label]")</f>
        <v>Zeer Hoog</v>
      </c>
      <c r="C29" s="118" t="str">
        <f>IFERROR(INDEX(_Lang!$B$2:$D$300,MATCH("ref_conf_4",_Lang!$A$2:$A$300,0),IF(Config!$D$9="NL",1,IF(Config!$D$9="FR",2,3))),"[ref_conf_4]")</f>
        <v>Strikt vertrouwelijke gegevens. Verspreiding bedreigt personen, organisaties of vitale processen.</v>
      </c>
      <c r="D29" s="88"/>
      <c r="E29" s="88"/>
      <c r="F29" s="88"/>
    </row>
    <row r="30" spans="1:6" ht="51.95" customHeight="1" x14ac:dyDescent="0.25">
      <c r="A30" s="52">
        <v>5</v>
      </c>
      <c r="B30" s="53" t="str">
        <f>IFERROR(INDEX(_Lang!$B$2:$D$300,MATCH("ref_lvl5_label",_Lang!$A$2:$A$300,0),IF(Config!$D$9="NL",1,IF(Config!$D$9="FR",2,3))),"[ref_lvl5_label]")</f>
        <v>Classified</v>
      </c>
      <c r="C30" s="117" t="str">
        <f>IFERROR(INDEX(_Lang!$B$2:$D$300,MATCH("ref_conf_5",_Lang!$A$2:$A$300,0),IF(Config!$D$9="NL",1,IF(Config!$D$9="FR",2,3))),"[ref_conf_5]")</f>
        <v>Geheime gegevens. Verspreiding kan nationale veiligheid, grondrechten of vitale staatsfuncties schaden.</v>
      </c>
      <c r="D30" s="88"/>
      <c r="E30" s="88"/>
      <c r="F30" s="88"/>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06" t="s">
        <v>455</v>
      </c>
      <c r="B1" s="88"/>
      <c r="C1" s="88"/>
      <c r="D1" s="88"/>
      <c r="E1" s="88"/>
      <c r="F1" s="88"/>
      <c r="G1" s="88"/>
      <c r="H1" s="88"/>
      <c r="I1" s="88"/>
      <c r="J1" s="88"/>
      <c r="K1" s="88"/>
      <c r="L1" s="88"/>
      <c r="M1" s="88"/>
    </row>
    <row r="2" spans="1:13" ht="21.95" customHeight="1" x14ac:dyDescent="0.25">
      <c r="A2" s="120" t="s">
        <v>456</v>
      </c>
      <c r="B2" s="88"/>
      <c r="C2" s="88"/>
      <c r="D2" s="88"/>
      <c r="E2" s="88"/>
      <c r="F2" s="88"/>
      <c r="G2" s="54" t="s">
        <v>457</v>
      </c>
      <c r="H2" s="121" t="s">
        <v>458</v>
      </c>
      <c r="I2" s="88"/>
      <c r="J2" s="88"/>
      <c r="K2" s="88"/>
      <c r="L2" s="88"/>
      <c r="M2" s="88"/>
    </row>
    <row r="3" spans="1:13" ht="36" customHeight="1" x14ac:dyDescent="0.25">
      <c r="A3" s="6" t="s">
        <v>459</v>
      </c>
      <c r="B3" s="6" t="s">
        <v>460</v>
      </c>
      <c r="C3" s="6" t="s">
        <v>461</v>
      </c>
      <c r="D3" s="6" t="s">
        <v>462</v>
      </c>
      <c r="E3" s="6" t="s">
        <v>463</v>
      </c>
      <c r="F3" s="6" t="s">
        <v>464</v>
      </c>
      <c r="G3" s="55" t="s">
        <v>457</v>
      </c>
      <c r="H3" s="43" t="s">
        <v>465</v>
      </c>
      <c r="I3" s="43" t="s">
        <v>466</v>
      </c>
      <c r="J3" s="43" t="s">
        <v>467</v>
      </c>
      <c r="K3" s="43" t="s">
        <v>468</v>
      </c>
      <c r="L3" s="43" t="s">
        <v>469</v>
      </c>
      <c r="M3" s="43" t="s">
        <v>470</v>
      </c>
    </row>
    <row r="4" spans="1:13" ht="108" x14ac:dyDescent="0.25">
      <c r="A4" s="33" t="s">
        <v>471</v>
      </c>
      <c r="B4" s="56"/>
      <c r="C4" s="56"/>
      <c r="D4" s="33" t="s">
        <v>472</v>
      </c>
      <c r="E4" s="57" t="s">
        <v>15</v>
      </c>
      <c r="F4" s="33" t="s">
        <v>473</v>
      </c>
      <c r="G4" s="58" t="s">
        <v>474</v>
      </c>
      <c r="H4" s="33" t="s">
        <v>475</v>
      </c>
      <c r="I4" s="56"/>
      <c r="J4" s="56"/>
      <c r="K4" s="33" t="s">
        <v>476</v>
      </c>
      <c r="L4" s="57" t="s">
        <v>15</v>
      </c>
      <c r="M4" s="33" t="s">
        <v>477</v>
      </c>
    </row>
    <row r="5" spans="1:13" ht="108" x14ac:dyDescent="0.25">
      <c r="A5" s="37" t="s">
        <v>471</v>
      </c>
      <c r="B5" s="59"/>
      <c r="C5" s="59"/>
      <c r="D5" s="37" t="s">
        <v>478</v>
      </c>
      <c r="E5" s="60" t="s">
        <v>18</v>
      </c>
      <c r="F5" s="37" t="s">
        <v>479</v>
      </c>
      <c r="G5" s="61" t="s">
        <v>480</v>
      </c>
      <c r="H5" s="59"/>
      <c r="I5" s="59"/>
      <c r="J5" s="59"/>
      <c r="K5" s="59"/>
      <c r="L5" s="59"/>
      <c r="M5" s="59"/>
    </row>
    <row r="6" spans="1:13" ht="108" x14ac:dyDescent="0.25">
      <c r="A6" s="33" t="s">
        <v>471</v>
      </c>
      <c r="B6" s="56"/>
      <c r="C6" s="56"/>
      <c r="D6" s="33" t="s">
        <v>481</v>
      </c>
      <c r="E6" s="58" t="s">
        <v>21</v>
      </c>
      <c r="F6" s="33" t="s">
        <v>482</v>
      </c>
      <c r="G6" s="58" t="s">
        <v>474</v>
      </c>
      <c r="H6" s="33" t="s">
        <v>483</v>
      </c>
      <c r="I6" s="56"/>
      <c r="J6" s="56"/>
      <c r="K6" s="33" t="s">
        <v>484</v>
      </c>
      <c r="L6" s="58" t="s">
        <v>21</v>
      </c>
      <c r="M6" s="33" t="s">
        <v>485</v>
      </c>
    </row>
    <row r="7" spans="1:13" ht="108" x14ac:dyDescent="0.25">
      <c r="A7" s="37" t="s">
        <v>471</v>
      </c>
      <c r="B7" s="59"/>
      <c r="C7" s="59"/>
      <c r="D7" s="37" t="s">
        <v>481</v>
      </c>
      <c r="E7" s="57" t="s">
        <v>15</v>
      </c>
      <c r="F7" s="37" t="s">
        <v>486</v>
      </c>
      <c r="G7" s="58" t="s">
        <v>474</v>
      </c>
      <c r="H7" s="37" t="s">
        <v>483</v>
      </c>
      <c r="I7" s="59"/>
      <c r="J7" s="59"/>
      <c r="K7" s="37" t="s">
        <v>484</v>
      </c>
      <c r="L7" s="57" t="s">
        <v>15</v>
      </c>
      <c r="M7" s="37" t="s">
        <v>487</v>
      </c>
    </row>
    <row r="8" spans="1:13" ht="108" x14ac:dyDescent="0.25">
      <c r="A8" s="33" t="s">
        <v>471</v>
      </c>
      <c r="B8" s="56"/>
      <c r="C8" s="56"/>
      <c r="D8" s="33" t="s">
        <v>488</v>
      </c>
      <c r="E8" s="57" t="s">
        <v>15</v>
      </c>
      <c r="F8" s="33" t="s">
        <v>489</v>
      </c>
      <c r="G8" s="58" t="s">
        <v>474</v>
      </c>
      <c r="H8" s="33" t="s">
        <v>475</v>
      </c>
      <c r="I8" s="56"/>
      <c r="J8" s="56"/>
      <c r="K8" s="33" t="s">
        <v>490</v>
      </c>
      <c r="L8" s="57" t="s">
        <v>15</v>
      </c>
      <c r="M8" s="33" t="s">
        <v>491</v>
      </c>
    </row>
    <row r="9" spans="1:13" ht="108" x14ac:dyDescent="0.25">
      <c r="A9" s="37" t="s">
        <v>471</v>
      </c>
      <c r="B9" s="59"/>
      <c r="C9" s="59"/>
      <c r="D9" s="37" t="s">
        <v>488</v>
      </c>
      <c r="E9" s="57" t="s">
        <v>15</v>
      </c>
      <c r="F9" s="37" t="s">
        <v>492</v>
      </c>
      <c r="G9" s="58" t="s">
        <v>474</v>
      </c>
      <c r="H9" s="37" t="s">
        <v>475</v>
      </c>
      <c r="I9" s="59"/>
      <c r="J9" s="59"/>
      <c r="K9" s="37" t="s">
        <v>493</v>
      </c>
      <c r="L9" s="57" t="s">
        <v>15</v>
      </c>
      <c r="M9" s="37" t="s">
        <v>494</v>
      </c>
    </row>
    <row r="10" spans="1:13" ht="108" x14ac:dyDescent="0.25">
      <c r="A10" s="33" t="s">
        <v>471</v>
      </c>
      <c r="B10" s="56"/>
      <c r="C10" s="56"/>
      <c r="D10" s="33" t="s">
        <v>488</v>
      </c>
      <c r="E10" s="60" t="s">
        <v>18</v>
      </c>
      <c r="F10" s="33" t="s">
        <v>495</v>
      </c>
      <c r="G10" s="58" t="s">
        <v>474</v>
      </c>
      <c r="H10" s="33" t="s">
        <v>475</v>
      </c>
      <c r="I10" s="56"/>
      <c r="J10" s="56"/>
      <c r="K10" s="33" t="s">
        <v>493</v>
      </c>
      <c r="L10" s="60" t="s">
        <v>18</v>
      </c>
      <c r="M10" s="33" t="s">
        <v>496</v>
      </c>
    </row>
    <row r="11" spans="1:13" ht="108" x14ac:dyDescent="0.25">
      <c r="A11" s="37" t="s">
        <v>471</v>
      </c>
      <c r="B11" s="59"/>
      <c r="C11" s="59"/>
      <c r="D11" s="37" t="s">
        <v>488</v>
      </c>
      <c r="E11" s="60" t="s">
        <v>18</v>
      </c>
      <c r="F11" s="37" t="s">
        <v>497</v>
      </c>
      <c r="G11" s="58" t="s">
        <v>474</v>
      </c>
      <c r="H11" s="37" t="s">
        <v>475</v>
      </c>
      <c r="I11" s="59"/>
      <c r="J11" s="59"/>
      <c r="K11" s="37" t="s">
        <v>493</v>
      </c>
      <c r="L11" s="60" t="s">
        <v>18</v>
      </c>
      <c r="M11" s="37" t="s">
        <v>498</v>
      </c>
    </row>
    <row r="12" spans="1:13" ht="108" x14ac:dyDescent="0.25">
      <c r="A12" s="33" t="s">
        <v>471</v>
      </c>
      <c r="B12" s="56"/>
      <c r="C12" s="56"/>
      <c r="D12" s="33" t="s">
        <v>499</v>
      </c>
      <c r="E12" s="57" t="s">
        <v>15</v>
      </c>
      <c r="F12" s="33" t="s">
        <v>500</v>
      </c>
      <c r="G12" s="58" t="s">
        <v>474</v>
      </c>
      <c r="H12" s="33" t="s">
        <v>475</v>
      </c>
      <c r="I12" s="56"/>
      <c r="J12" s="56"/>
      <c r="K12" s="33" t="s">
        <v>501</v>
      </c>
      <c r="L12" s="57" t="s">
        <v>15</v>
      </c>
      <c r="M12" s="33" t="s">
        <v>502</v>
      </c>
    </row>
    <row r="13" spans="1:13" ht="84" x14ac:dyDescent="0.25">
      <c r="A13" s="37" t="s">
        <v>503</v>
      </c>
      <c r="B13" s="37" t="s">
        <v>504</v>
      </c>
      <c r="C13" s="59"/>
      <c r="D13" s="37" t="s">
        <v>505</v>
      </c>
      <c r="E13" s="57" t="s">
        <v>15</v>
      </c>
      <c r="F13" s="37" t="s">
        <v>506</v>
      </c>
      <c r="G13" s="58" t="s">
        <v>474</v>
      </c>
      <c r="H13" s="37" t="s">
        <v>507</v>
      </c>
      <c r="I13" s="59"/>
      <c r="J13" s="59"/>
      <c r="K13" s="37" t="s">
        <v>508</v>
      </c>
      <c r="L13" s="57" t="s">
        <v>15</v>
      </c>
      <c r="M13" s="37" t="s">
        <v>509</v>
      </c>
    </row>
    <row r="14" spans="1:13" ht="84" x14ac:dyDescent="0.25">
      <c r="A14" s="33" t="s">
        <v>503</v>
      </c>
      <c r="B14" s="33" t="s">
        <v>504</v>
      </c>
      <c r="C14" s="56"/>
      <c r="D14" s="33" t="s">
        <v>510</v>
      </c>
      <c r="E14" s="57" t="s">
        <v>15</v>
      </c>
      <c r="F14" s="33" t="s">
        <v>511</v>
      </c>
      <c r="G14" s="58" t="s">
        <v>474</v>
      </c>
      <c r="H14" s="33" t="s">
        <v>507</v>
      </c>
      <c r="I14" s="56"/>
      <c r="J14" s="56"/>
      <c r="K14" s="33" t="s">
        <v>512</v>
      </c>
      <c r="L14" s="57" t="s">
        <v>15</v>
      </c>
      <c r="M14" s="33" t="s">
        <v>513</v>
      </c>
    </row>
    <row r="15" spans="1:13" ht="96" x14ac:dyDescent="0.25">
      <c r="A15" s="37" t="s">
        <v>503</v>
      </c>
      <c r="B15" s="59"/>
      <c r="C15" s="59"/>
      <c r="D15" s="37" t="s">
        <v>514</v>
      </c>
      <c r="E15" s="58" t="s">
        <v>21</v>
      </c>
      <c r="F15" s="37" t="s">
        <v>515</v>
      </c>
      <c r="G15" s="58" t="s">
        <v>474</v>
      </c>
      <c r="H15" s="37" t="s">
        <v>483</v>
      </c>
      <c r="I15" s="59"/>
      <c r="J15" s="59"/>
      <c r="K15" s="37" t="s">
        <v>516</v>
      </c>
      <c r="L15" s="58" t="s">
        <v>21</v>
      </c>
      <c r="M15" s="37" t="s">
        <v>517</v>
      </c>
    </row>
    <row r="16" spans="1:13" ht="96" x14ac:dyDescent="0.25">
      <c r="A16" s="33" t="s">
        <v>503</v>
      </c>
      <c r="B16" s="33" t="s">
        <v>504</v>
      </c>
      <c r="C16" s="56"/>
      <c r="D16" s="33" t="s">
        <v>514</v>
      </c>
      <c r="E16" s="57" t="s">
        <v>15</v>
      </c>
      <c r="F16" s="33" t="s">
        <v>518</v>
      </c>
      <c r="G16" s="58" t="s">
        <v>474</v>
      </c>
      <c r="H16" s="33" t="s">
        <v>483</v>
      </c>
      <c r="I16" s="56"/>
      <c r="J16" s="56"/>
      <c r="K16" s="33" t="s">
        <v>516</v>
      </c>
      <c r="L16" s="57" t="s">
        <v>15</v>
      </c>
      <c r="M16" s="33" t="s">
        <v>519</v>
      </c>
    </row>
    <row r="17" spans="1:13" ht="84" x14ac:dyDescent="0.25">
      <c r="A17" s="37" t="s">
        <v>503</v>
      </c>
      <c r="B17" s="59"/>
      <c r="C17" s="59"/>
      <c r="D17" s="37" t="s">
        <v>520</v>
      </c>
      <c r="E17" s="57" t="s">
        <v>15</v>
      </c>
      <c r="F17" s="37" t="s">
        <v>521</v>
      </c>
      <c r="G17" s="61" t="s">
        <v>480</v>
      </c>
      <c r="H17" s="59"/>
      <c r="I17" s="59"/>
      <c r="J17" s="59"/>
      <c r="K17" s="59"/>
      <c r="L17" s="59"/>
      <c r="M17" s="59"/>
    </row>
    <row r="18" spans="1:13" ht="84" x14ac:dyDescent="0.25">
      <c r="A18" s="33" t="s">
        <v>503</v>
      </c>
      <c r="B18" s="56"/>
      <c r="C18" s="56"/>
      <c r="D18" s="33" t="s">
        <v>522</v>
      </c>
      <c r="E18" s="57" t="s">
        <v>15</v>
      </c>
      <c r="F18" s="33" t="s">
        <v>523</v>
      </c>
      <c r="G18" s="61" t="s">
        <v>480</v>
      </c>
      <c r="H18" s="56"/>
      <c r="I18" s="56"/>
      <c r="J18" s="56"/>
      <c r="K18" s="56"/>
      <c r="L18" s="56"/>
      <c r="M18" s="56"/>
    </row>
    <row r="19" spans="1:13" ht="84" x14ac:dyDescent="0.25">
      <c r="A19" s="37" t="s">
        <v>524</v>
      </c>
      <c r="B19" s="59"/>
      <c r="C19" s="59"/>
      <c r="D19" s="37" t="s">
        <v>525</v>
      </c>
      <c r="E19" s="60" t="s">
        <v>18</v>
      </c>
      <c r="F19" s="37" t="s">
        <v>526</v>
      </c>
      <c r="G19" s="61" t="s">
        <v>480</v>
      </c>
      <c r="H19" s="59"/>
      <c r="I19" s="59"/>
      <c r="J19" s="59"/>
      <c r="K19" s="59"/>
      <c r="L19" s="59"/>
      <c r="M19" s="59"/>
    </row>
    <row r="20" spans="1:13" ht="108" x14ac:dyDescent="0.25">
      <c r="A20" s="33" t="s">
        <v>524</v>
      </c>
      <c r="B20" s="33" t="s">
        <v>504</v>
      </c>
      <c r="C20" s="62" t="s">
        <v>461</v>
      </c>
      <c r="D20" s="33" t="s">
        <v>527</v>
      </c>
      <c r="E20" s="57" t="s">
        <v>15</v>
      </c>
      <c r="F20" s="33" t="s">
        <v>528</v>
      </c>
      <c r="G20" s="58" t="s">
        <v>474</v>
      </c>
      <c r="H20" s="33" t="s">
        <v>529</v>
      </c>
      <c r="I20" s="56"/>
      <c r="J20" s="62" t="s">
        <v>461</v>
      </c>
      <c r="K20" s="33" t="s">
        <v>530</v>
      </c>
      <c r="L20" s="57" t="s">
        <v>15</v>
      </c>
      <c r="M20" s="33" t="s">
        <v>531</v>
      </c>
    </row>
    <row r="21" spans="1:13" ht="108" x14ac:dyDescent="0.25">
      <c r="A21" s="37" t="s">
        <v>524</v>
      </c>
      <c r="B21" s="37" t="s">
        <v>504</v>
      </c>
      <c r="C21" s="59"/>
      <c r="D21" s="37" t="s">
        <v>527</v>
      </c>
      <c r="E21" s="60" t="s">
        <v>18</v>
      </c>
      <c r="F21" s="37" t="s">
        <v>532</v>
      </c>
      <c r="G21" s="58" t="s">
        <v>474</v>
      </c>
      <c r="H21" s="37" t="s">
        <v>529</v>
      </c>
      <c r="I21" s="59"/>
      <c r="J21" s="59"/>
      <c r="K21" s="37" t="s">
        <v>530</v>
      </c>
      <c r="L21" s="60" t="s">
        <v>18</v>
      </c>
      <c r="M21" s="37" t="s">
        <v>533</v>
      </c>
    </row>
    <row r="22" spans="1:13" ht="84" x14ac:dyDescent="0.25">
      <c r="A22" s="33" t="s">
        <v>524</v>
      </c>
      <c r="B22" s="56"/>
      <c r="C22" s="56"/>
      <c r="D22" s="33" t="s">
        <v>534</v>
      </c>
      <c r="E22" s="57" t="s">
        <v>15</v>
      </c>
      <c r="F22" s="33" t="s">
        <v>535</v>
      </c>
      <c r="G22" s="61" t="s">
        <v>480</v>
      </c>
      <c r="H22" s="56"/>
      <c r="I22" s="56"/>
      <c r="J22" s="56"/>
      <c r="K22" s="56"/>
      <c r="L22" s="56"/>
      <c r="M22" s="56"/>
    </row>
    <row r="23" spans="1:13" ht="84" x14ac:dyDescent="0.25">
      <c r="A23" s="37" t="s">
        <v>524</v>
      </c>
      <c r="B23" s="59"/>
      <c r="C23" s="59"/>
      <c r="D23" s="37" t="s">
        <v>534</v>
      </c>
      <c r="E23" s="57" t="s">
        <v>15</v>
      </c>
      <c r="F23" s="37" t="s">
        <v>536</v>
      </c>
      <c r="G23" s="58" t="s">
        <v>474</v>
      </c>
      <c r="H23" s="37" t="s">
        <v>537</v>
      </c>
      <c r="I23" s="59"/>
      <c r="J23" s="59"/>
      <c r="K23" s="37" t="s">
        <v>538</v>
      </c>
      <c r="L23" s="57" t="s">
        <v>15</v>
      </c>
      <c r="M23" s="37" t="s">
        <v>539</v>
      </c>
    </row>
    <row r="24" spans="1:13" ht="120" x14ac:dyDescent="0.25">
      <c r="A24" s="33" t="s">
        <v>524</v>
      </c>
      <c r="B24" s="56"/>
      <c r="C24" s="56"/>
      <c r="D24" s="33" t="s">
        <v>540</v>
      </c>
      <c r="E24" s="58" t="s">
        <v>21</v>
      </c>
      <c r="F24" s="33" t="s">
        <v>541</v>
      </c>
      <c r="G24" s="58" t="s">
        <v>474</v>
      </c>
      <c r="H24" s="33" t="s">
        <v>542</v>
      </c>
      <c r="I24" s="56"/>
      <c r="J24" s="56"/>
      <c r="K24" s="33" t="s">
        <v>543</v>
      </c>
      <c r="L24" s="58" t="s">
        <v>21</v>
      </c>
      <c r="M24" s="33" t="s">
        <v>544</v>
      </c>
    </row>
    <row r="25" spans="1:13" ht="120" x14ac:dyDescent="0.25">
      <c r="A25" s="37" t="s">
        <v>524</v>
      </c>
      <c r="B25" s="59"/>
      <c r="C25" s="59"/>
      <c r="D25" s="37" t="s">
        <v>540</v>
      </c>
      <c r="E25" s="57" t="s">
        <v>15</v>
      </c>
      <c r="F25" s="37" t="s">
        <v>545</v>
      </c>
      <c r="G25" s="58" t="s">
        <v>474</v>
      </c>
      <c r="H25" s="37" t="s">
        <v>542</v>
      </c>
      <c r="I25" s="59"/>
      <c r="J25" s="59"/>
      <c r="K25" s="37" t="s">
        <v>543</v>
      </c>
      <c r="L25" s="57" t="s">
        <v>15</v>
      </c>
      <c r="M25" s="37" t="s">
        <v>546</v>
      </c>
    </row>
    <row r="26" spans="1:13" ht="96" x14ac:dyDescent="0.25">
      <c r="A26" s="33" t="s">
        <v>547</v>
      </c>
      <c r="B26" s="56"/>
      <c r="C26" s="56"/>
      <c r="D26" s="33" t="s">
        <v>548</v>
      </c>
      <c r="E26" s="58" t="s">
        <v>21</v>
      </c>
      <c r="F26" s="33" t="s">
        <v>549</v>
      </c>
      <c r="G26" s="58" t="s">
        <v>474</v>
      </c>
      <c r="H26" s="33" t="s">
        <v>483</v>
      </c>
      <c r="I26" s="56"/>
      <c r="J26" s="56"/>
      <c r="K26" s="33" t="s">
        <v>550</v>
      </c>
      <c r="L26" s="58" t="s">
        <v>21</v>
      </c>
      <c r="M26" s="33" t="s">
        <v>551</v>
      </c>
    </row>
    <row r="27" spans="1:13" ht="96" x14ac:dyDescent="0.25">
      <c r="A27" s="37" t="s">
        <v>547</v>
      </c>
      <c r="B27" s="59"/>
      <c r="C27" s="59"/>
      <c r="D27" s="37" t="s">
        <v>548</v>
      </c>
      <c r="E27" s="57" t="s">
        <v>15</v>
      </c>
      <c r="F27" s="37" t="s">
        <v>552</v>
      </c>
      <c r="G27" s="58" t="s">
        <v>474</v>
      </c>
      <c r="H27" s="37" t="s">
        <v>483</v>
      </c>
      <c r="I27" s="59"/>
      <c r="J27" s="59"/>
      <c r="K27" s="37" t="s">
        <v>550</v>
      </c>
      <c r="L27" s="57" t="s">
        <v>15</v>
      </c>
      <c r="M27" s="37" t="s">
        <v>553</v>
      </c>
    </row>
    <row r="28" spans="1:13" ht="72" x14ac:dyDescent="0.25">
      <c r="A28" s="33" t="s">
        <v>554</v>
      </c>
      <c r="B28" s="56"/>
      <c r="C28" s="56"/>
      <c r="D28" s="33" t="s">
        <v>555</v>
      </c>
      <c r="E28" s="60" t="s">
        <v>18</v>
      </c>
      <c r="F28" s="33" t="s">
        <v>556</v>
      </c>
      <c r="G28" s="61" t="s">
        <v>480</v>
      </c>
      <c r="H28" s="56"/>
      <c r="I28" s="56"/>
      <c r="J28" s="56"/>
      <c r="K28" s="56"/>
      <c r="L28" s="56"/>
      <c r="M28" s="56"/>
    </row>
    <row r="29" spans="1:13" ht="72" x14ac:dyDescent="0.25">
      <c r="A29" s="37" t="s">
        <v>554</v>
      </c>
      <c r="B29" s="59"/>
      <c r="C29" s="59"/>
      <c r="D29" s="37" t="s">
        <v>557</v>
      </c>
      <c r="E29" s="60" t="s">
        <v>18</v>
      </c>
      <c r="F29" s="37" t="s">
        <v>558</v>
      </c>
      <c r="G29" s="61" t="s">
        <v>480</v>
      </c>
      <c r="H29" s="59"/>
      <c r="I29" s="59"/>
      <c r="J29" s="59"/>
      <c r="K29" s="59"/>
      <c r="L29" s="59"/>
      <c r="M29" s="59"/>
    </row>
    <row r="30" spans="1:13" ht="84" x14ac:dyDescent="0.25">
      <c r="A30" s="33" t="s">
        <v>559</v>
      </c>
      <c r="B30" s="33" t="s">
        <v>504</v>
      </c>
      <c r="C30" s="56"/>
      <c r="D30" s="33" t="s">
        <v>560</v>
      </c>
      <c r="E30" s="60" t="s">
        <v>18</v>
      </c>
      <c r="F30" s="33" t="s">
        <v>561</v>
      </c>
      <c r="G30" s="58" t="s">
        <v>474</v>
      </c>
      <c r="H30" s="33" t="s">
        <v>475</v>
      </c>
      <c r="I30" s="56"/>
      <c r="J30" s="56"/>
      <c r="K30" s="33" t="s">
        <v>501</v>
      </c>
      <c r="L30" s="60" t="s">
        <v>18</v>
      </c>
      <c r="M30" s="33" t="s">
        <v>562</v>
      </c>
    </row>
    <row r="31" spans="1:13" ht="108" x14ac:dyDescent="0.25">
      <c r="A31" s="37" t="s">
        <v>559</v>
      </c>
      <c r="B31" s="59"/>
      <c r="C31" s="59"/>
      <c r="D31" s="37" t="s">
        <v>563</v>
      </c>
      <c r="E31" s="57" t="s">
        <v>15</v>
      </c>
      <c r="F31" s="37" t="s">
        <v>564</v>
      </c>
      <c r="G31" s="58" t="s">
        <v>474</v>
      </c>
      <c r="H31" s="37" t="s">
        <v>565</v>
      </c>
      <c r="I31" s="59"/>
      <c r="J31" s="59"/>
      <c r="K31" s="37" t="s">
        <v>566</v>
      </c>
      <c r="L31" s="57" t="s">
        <v>15</v>
      </c>
      <c r="M31" s="37" t="s">
        <v>567</v>
      </c>
    </row>
    <row r="32" spans="1:13" ht="72" x14ac:dyDescent="0.25">
      <c r="A32" s="33" t="s">
        <v>559</v>
      </c>
      <c r="B32" s="56"/>
      <c r="C32" s="56"/>
      <c r="D32" s="33" t="s">
        <v>568</v>
      </c>
      <c r="E32" s="60" t="s">
        <v>18</v>
      </c>
      <c r="F32" s="33" t="s">
        <v>569</v>
      </c>
      <c r="G32" s="61" t="s">
        <v>480</v>
      </c>
      <c r="H32" s="56"/>
      <c r="I32" s="56"/>
      <c r="J32" s="56"/>
      <c r="K32" s="56"/>
      <c r="L32" s="56"/>
      <c r="M32" s="56"/>
    </row>
    <row r="33" spans="1:13" ht="132" x14ac:dyDescent="0.25">
      <c r="A33" s="37" t="s">
        <v>559</v>
      </c>
      <c r="B33" s="59"/>
      <c r="C33" s="59"/>
      <c r="D33" s="37" t="s">
        <v>570</v>
      </c>
      <c r="E33" s="57" t="s">
        <v>15</v>
      </c>
      <c r="F33" s="37" t="s">
        <v>571</v>
      </c>
      <c r="G33" s="58" t="s">
        <v>474</v>
      </c>
      <c r="H33" s="37" t="s">
        <v>572</v>
      </c>
      <c r="I33" s="59"/>
      <c r="J33" s="59"/>
      <c r="K33" s="37" t="s">
        <v>573</v>
      </c>
      <c r="L33" s="57" t="s">
        <v>15</v>
      </c>
      <c r="M33" s="37" t="s">
        <v>574</v>
      </c>
    </row>
    <row r="34" spans="1:13" ht="132" x14ac:dyDescent="0.25">
      <c r="A34" s="33" t="s">
        <v>559</v>
      </c>
      <c r="B34" s="56"/>
      <c r="C34" s="62" t="s">
        <v>461</v>
      </c>
      <c r="D34" s="33" t="s">
        <v>570</v>
      </c>
      <c r="E34" s="60" t="s">
        <v>18</v>
      </c>
      <c r="F34" s="33" t="s">
        <v>575</v>
      </c>
      <c r="G34" s="58" t="s">
        <v>474</v>
      </c>
      <c r="H34" s="33" t="s">
        <v>572</v>
      </c>
      <c r="I34" s="56"/>
      <c r="J34" s="62" t="s">
        <v>461</v>
      </c>
      <c r="K34" s="33" t="s">
        <v>573</v>
      </c>
      <c r="L34" s="60" t="s">
        <v>18</v>
      </c>
      <c r="M34" s="33" t="s">
        <v>576</v>
      </c>
    </row>
    <row r="35" spans="1:13" ht="132" x14ac:dyDescent="0.25">
      <c r="A35" s="37" t="s">
        <v>559</v>
      </c>
      <c r="B35" s="59"/>
      <c r="C35" s="62" t="s">
        <v>461</v>
      </c>
      <c r="D35" s="37" t="s">
        <v>570</v>
      </c>
      <c r="E35" s="60" t="s">
        <v>18</v>
      </c>
      <c r="F35" s="37" t="s">
        <v>577</v>
      </c>
      <c r="G35" s="58" t="s">
        <v>474</v>
      </c>
      <c r="H35" s="37" t="s">
        <v>572</v>
      </c>
      <c r="I35" s="59"/>
      <c r="J35" s="62" t="s">
        <v>461</v>
      </c>
      <c r="K35" s="37" t="s">
        <v>573</v>
      </c>
      <c r="L35" s="60" t="s">
        <v>18</v>
      </c>
      <c r="M35" s="37" t="s">
        <v>578</v>
      </c>
    </row>
    <row r="36" spans="1:13" ht="72" x14ac:dyDescent="0.25">
      <c r="A36" s="33" t="s">
        <v>559</v>
      </c>
      <c r="B36" s="56"/>
      <c r="C36" s="56"/>
      <c r="D36" s="33" t="s">
        <v>579</v>
      </c>
      <c r="E36" s="60" t="s">
        <v>18</v>
      </c>
      <c r="F36" s="33" t="s">
        <v>580</v>
      </c>
      <c r="G36" s="61" t="s">
        <v>480</v>
      </c>
      <c r="H36" s="56"/>
      <c r="I36" s="56"/>
      <c r="J36" s="56"/>
      <c r="K36" s="56"/>
      <c r="L36" s="56"/>
      <c r="M36" s="56"/>
    </row>
    <row r="37" spans="1:13" ht="132" x14ac:dyDescent="0.25">
      <c r="A37" s="37" t="s">
        <v>559</v>
      </c>
      <c r="B37" s="59"/>
      <c r="C37" s="59"/>
      <c r="D37" s="37" t="s">
        <v>581</v>
      </c>
      <c r="E37" s="57" t="s">
        <v>15</v>
      </c>
      <c r="F37" s="37" t="s">
        <v>582</v>
      </c>
      <c r="G37" s="58" t="s">
        <v>474</v>
      </c>
      <c r="H37" s="37" t="s">
        <v>572</v>
      </c>
      <c r="I37" s="59"/>
      <c r="J37" s="59"/>
      <c r="K37" s="37" t="s">
        <v>583</v>
      </c>
      <c r="L37" s="57" t="s">
        <v>15</v>
      </c>
      <c r="M37" s="37" t="s">
        <v>584</v>
      </c>
    </row>
    <row r="38" spans="1:13" ht="132" x14ac:dyDescent="0.25">
      <c r="A38" s="33" t="s">
        <v>559</v>
      </c>
      <c r="B38" s="56"/>
      <c r="C38" s="56"/>
      <c r="D38" s="33" t="s">
        <v>581</v>
      </c>
      <c r="E38" s="60" t="s">
        <v>18</v>
      </c>
      <c r="F38" s="33" t="s">
        <v>585</v>
      </c>
      <c r="G38" s="58" t="s">
        <v>474</v>
      </c>
      <c r="H38" s="33" t="s">
        <v>572</v>
      </c>
      <c r="I38" s="56"/>
      <c r="J38" s="56"/>
      <c r="K38" s="33" t="s">
        <v>583</v>
      </c>
      <c r="L38" s="60" t="s">
        <v>18</v>
      </c>
      <c r="M38" s="33" t="s">
        <v>586</v>
      </c>
    </row>
    <row r="39" spans="1:13" ht="108" x14ac:dyDescent="0.25">
      <c r="A39" s="37" t="s">
        <v>559</v>
      </c>
      <c r="B39" s="59"/>
      <c r="C39" s="59"/>
      <c r="D39" s="37" t="s">
        <v>581</v>
      </c>
      <c r="E39" s="60" t="s">
        <v>18</v>
      </c>
      <c r="F39" s="37" t="s">
        <v>587</v>
      </c>
      <c r="G39" s="58" t="s">
        <v>474</v>
      </c>
      <c r="H39" s="37" t="s">
        <v>565</v>
      </c>
      <c r="I39" s="59"/>
      <c r="J39" s="59"/>
      <c r="K39" s="37" t="s">
        <v>566</v>
      </c>
      <c r="L39" s="60" t="s">
        <v>18</v>
      </c>
      <c r="M39" s="37" t="s">
        <v>588</v>
      </c>
    </row>
    <row r="40" spans="1:13" ht="132" x14ac:dyDescent="0.25">
      <c r="A40" s="33" t="s">
        <v>559</v>
      </c>
      <c r="B40" s="56"/>
      <c r="C40" s="56"/>
      <c r="D40" s="33" t="s">
        <v>581</v>
      </c>
      <c r="E40" s="60" t="s">
        <v>18</v>
      </c>
      <c r="F40" s="33" t="s">
        <v>589</v>
      </c>
      <c r="G40" s="58" t="s">
        <v>474</v>
      </c>
      <c r="H40" s="33" t="s">
        <v>572</v>
      </c>
      <c r="I40" s="56"/>
      <c r="J40" s="56"/>
      <c r="K40" s="33" t="s">
        <v>590</v>
      </c>
      <c r="L40" s="60" t="s">
        <v>18</v>
      </c>
      <c r="M40" s="33" t="s">
        <v>591</v>
      </c>
    </row>
    <row r="41" spans="1:13" ht="132" x14ac:dyDescent="0.25">
      <c r="A41" s="37" t="s">
        <v>559</v>
      </c>
      <c r="B41" s="59"/>
      <c r="C41" s="59"/>
      <c r="D41" s="37" t="s">
        <v>592</v>
      </c>
      <c r="E41" s="57" t="s">
        <v>15</v>
      </c>
      <c r="F41" s="37" t="s">
        <v>593</v>
      </c>
      <c r="G41" s="58" t="s">
        <v>474</v>
      </c>
      <c r="H41" s="37" t="s">
        <v>572</v>
      </c>
      <c r="I41" s="59"/>
      <c r="J41" s="59"/>
      <c r="K41" s="37" t="s">
        <v>594</v>
      </c>
      <c r="L41" s="57" t="s">
        <v>15</v>
      </c>
      <c r="M41" s="37" t="s">
        <v>595</v>
      </c>
    </row>
    <row r="42" spans="1:13" ht="72" x14ac:dyDescent="0.25">
      <c r="A42" s="33" t="s">
        <v>559</v>
      </c>
      <c r="B42" s="56"/>
      <c r="C42" s="56"/>
      <c r="D42" s="33" t="s">
        <v>596</v>
      </c>
      <c r="E42" s="60" t="s">
        <v>18</v>
      </c>
      <c r="F42" s="33" t="s">
        <v>597</v>
      </c>
      <c r="G42" s="61" t="s">
        <v>480</v>
      </c>
      <c r="H42" s="56"/>
      <c r="I42" s="56"/>
      <c r="J42" s="56"/>
      <c r="K42" s="56"/>
      <c r="L42" s="56"/>
      <c r="M42" s="56"/>
    </row>
    <row r="43" spans="1:13" ht="72" x14ac:dyDescent="0.25">
      <c r="A43" s="37" t="s">
        <v>559</v>
      </c>
      <c r="B43" s="59"/>
      <c r="C43" s="59"/>
      <c r="D43" s="37" t="s">
        <v>598</v>
      </c>
      <c r="E43" s="60" t="s">
        <v>18</v>
      </c>
      <c r="F43" s="37" t="s">
        <v>599</v>
      </c>
      <c r="G43" s="61" t="s">
        <v>480</v>
      </c>
      <c r="H43" s="59"/>
      <c r="I43" s="59"/>
      <c r="J43" s="59"/>
      <c r="K43" s="59"/>
      <c r="L43" s="59"/>
      <c r="M43" s="59"/>
    </row>
    <row r="44" spans="1:13" ht="108" x14ac:dyDescent="0.25">
      <c r="A44" s="33" t="s">
        <v>600</v>
      </c>
      <c r="B44" s="56"/>
      <c r="C44" s="56"/>
      <c r="D44" s="33" t="s">
        <v>601</v>
      </c>
      <c r="E44" s="58" t="s">
        <v>21</v>
      </c>
      <c r="F44" s="33" t="s">
        <v>602</v>
      </c>
      <c r="G44" s="58" t="s">
        <v>474</v>
      </c>
      <c r="H44" s="33" t="s">
        <v>529</v>
      </c>
      <c r="I44" s="56"/>
      <c r="J44" s="56"/>
      <c r="K44" s="33" t="s">
        <v>603</v>
      </c>
      <c r="L44" s="58" t="s">
        <v>21</v>
      </c>
      <c r="M44" s="33" t="s">
        <v>604</v>
      </c>
    </row>
    <row r="45" spans="1:13" ht="108" x14ac:dyDescent="0.25">
      <c r="A45" s="37" t="s">
        <v>600</v>
      </c>
      <c r="B45" s="59"/>
      <c r="C45" s="59"/>
      <c r="D45" s="37" t="s">
        <v>601</v>
      </c>
      <c r="E45" s="57" t="s">
        <v>15</v>
      </c>
      <c r="F45" s="37" t="s">
        <v>605</v>
      </c>
      <c r="G45" s="58" t="s">
        <v>474</v>
      </c>
      <c r="H45" s="37" t="s">
        <v>529</v>
      </c>
      <c r="I45" s="59"/>
      <c r="J45" s="59"/>
      <c r="K45" s="37" t="s">
        <v>603</v>
      </c>
      <c r="L45" s="57" t="s">
        <v>15</v>
      </c>
      <c r="M45" s="37" t="s">
        <v>606</v>
      </c>
    </row>
    <row r="46" spans="1:13" ht="108" x14ac:dyDescent="0.25">
      <c r="A46" s="33" t="s">
        <v>600</v>
      </c>
      <c r="B46" s="56"/>
      <c r="C46" s="56"/>
      <c r="D46" s="33" t="s">
        <v>601</v>
      </c>
      <c r="E46" s="57" t="s">
        <v>15</v>
      </c>
      <c r="F46" s="33" t="s">
        <v>607</v>
      </c>
      <c r="G46" s="58" t="s">
        <v>474</v>
      </c>
      <c r="H46" s="33" t="s">
        <v>529</v>
      </c>
      <c r="I46" s="56"/>
      <c r="J46" s="56"/>
      <c r="K46" s="33" t="s">
        <v>603</v>
      </c>
      <c r="L46" s="57" t="s">
        <v>15</v>
      </c>
      <c r="M46" s="33" t="s">
        <v>608</v>
      </c>
    </row>
    <row r="47" spans="1:13" ht="108" x14ac:dyDescent="0.25">
      <c r="A47" s="37" t="s">
        <v>600</v>
      </c>
      <c r="B47" s="59"/>
      <c r="C47" s="59"/>
      <c r="D47" s="37" t="s">
        <v>601</v>
      </c>
      <c r="E47" s="60" t="s">
        <v>18</v>
      </c>
      <c r="F47" s="37" t="s">
        <v>609</v>
      </c>
      <c r="G47" s="58" t="s">
        <v>474</v>
      </c>
      <c r="H47" s="37" t="s">
        <v>529</v>
      </c>
      <c r="I47" s="59"/>
      <c r="J47" s="59"/>
      <c r="K47" s="37" t="s">
        <v>603</v>
      </c>
      <c r="L47" s="60" t="s">
        <v>18</v>
      </c>
      <c r="M47" s="37" t="s">
        <v>610</v>
      </c>
    </row>
    <row r="48" spans="1:13" ht="108" x14ac:dyDescent="0.25">
      <c r="A48" s="33" t="s">
        <v>600</v>
      </c>
      <c r="B48" s="56"/>
      <c r="C48" s="56"/>
      <c r="D48" s="33" t="s">
        <v>611</v>
      </c>
      <c r="E48" s="58" t="s">
        <v>21</v>
      </c>
      <c r="F48" s="33" t="s">
        <v>612</v>
      </c>
      <c r="G48" s="58" t="s">
        <v>474</v>
      </c>
      <c r="H48" s="33" t="s">
        <v>529</v>
      </c>
      <c r="I48" s="56"/>
      <c r="J48" s="56"/>
      <c r="K48" s="33" t="s">
        <v>613</v>
      </c>
      <c r="L48" s="58" t="s">
        <v>21</v>
      </c>
      <c r="M48" s="33" t="s">
        <v>614</v>
      </c>
    </row>
    <row r="49" spans="1:13" ht="108" x14ac:dyDescent="0.25">
      <c r="A49" s="37" t="s">
        <v>600</v>
      </c>
      <c r="B49" s="59"/>
      <c r="C49" s="59"/>
      <c r="D49" s="37" t="s">
        <v>611</v>
      </c>
      <c r="E49" s="57" t="s">
        <v>15</v>
      </c>
      <c r="F49" s="37" t="s">
        <v>615</v>
      </c>
      <c r="G49" s="58" t="s">
        <v>474</v>
      </c>
      <c r="H49" s="37" t="s">
        <v>529</v>
      </c>
      <c r="I49" s="59"/>
      <c r="J49" s="59"/>
      <c r="K49" s="37" t="s">
        <v>613</v>
      </c>
      <c r="L49" s="57" t="s">
        <v>15</v>
      </c>
      <c r="M49" s="37" t="s">
        <v>616</v>
      </c>
    </row>
    <row r="50" spans="1:13" ht="108" x14ac:dyDescent="0.25">
      <c r="A50" s="33" t="s">
        <v>600</v>
      </c>
      <c r="B50" s="56"/>
      <c r="C50" s="56"/>
      <c r="D50" s="33" t="s">
        <v>611</v>
      </c>
      <c r="E50" s="57" t="s">
        <v>15</v>
      </c>
      <c r="F50" s="33" t="s">
        <v>617</v>
      </c>
      <c r="G50" s="58" t="s">
        <v>474</v>
      </c>
      <c r="H50" s="33" t="s">
        <v>529</v>
      </c>
      <c r="I50" s="56"/>
      <c r="J50" s="56"/>
      <c r="K50" s="33" t="s">
        <v>613</v>
      </c>
      <c r="L50" s="57" t="s">
        <v>15</v>
      </c>
      <c r="M50" s="33" t="s">
        <v>618</v>
      </c>
    </row>
    <row r="51" spans="1:13" ht="108" x14ac:dyDescent="0.25">
      <c r="A51" s="37" t="s">
        <v>600</v>
      </c>
      <c r="B51" s="59"/>
      <c r="C51" s="59"/>
      <c r="D51" s="37" t="s">
        <v>611</v>
      </c>
      <c r="E51" s="57" t="s">
        <v>15</v>
      </c>
      <c r="F51" s="37" t="s">
        <v>619</v>
      </c>
      <c r="G51" s="58" t="s">
        <v>474</v>
      </c>
      <c r="H51" s="37" t="s">
        <v>529</v>
      </c>
      <c r="I51" s="59"/>
      <c r="J51" s="59"/>
      <c r="K51" s="37" t="s">
        <v>613</v>
      </c>
      <c r="L51" s="57" t="s">
        <v>15</v>
      </c>
      <c r="M51" s="37" t="s">
        <v>620</v>
      </c>
    </row>
    <row r="52" spans="1:13" ht="108" x14ac:dyDescent="0.25">
      <c r="A52" s="33" t="s">
        <v>600</v>
      </c>
      <c r="B52" s="56"/>
      <c r="C52" s="56"/>
      <c r="D52" s="33" t="s">
        <v>611</v>
      </c>
      <c r="E52" s="60" t="s">
        <v>18</v>
      </c>
      <c r="F52" s="33" t="s">
        <v>621</v>
      </c>
      <c r="G52" s="58" t="s">
        <v>474</v>
      </c>
      <c r="H52" s="33" t="s">
        <v>529</v>
      </c>
      <c r="I52" s="56"/>
      <c r="J52" s="56"/>
      <c r="K52" s="33" t="s">
        <v>613</v>
      </c>
      <c r="L52" s="60" t="s">
        <v>18</v>
      </c>
      <c r="M52" s="33" t="s">
        <v>622</v>
      </c>
    </row>
    <row r="53" spans="1:13" ht="108" x14ac:dyDescent="0.25">
      <c r="A53" s="37" t="s">
        <v>600</v>
      </c>
      <c r="B53" s="59"/>
      <c r="C53" s="59"/>
      <c r="D53" s="37" t="s">
        <v>623</v>
      </c>
      <c r="E53" s="57" t="s">
        <v>15</v>
      </c>
      <c r="F53" s="37" t="s">
        <v>624</v>
      </c>
      <c r="G53" s="58" t="s">
        <v>474</v>
      </c>
      <c r="H53" s="37" t="s">
        <v>529</v>
      </c>
      <c r="I53" s="59"/>
      <c r="J53" s="59"/>
      <c r="K53" s="37" t="s">
        <v>625</v>
      </c>
      <c r="L53" s="57" t="s">
        <v>15</v>
      </c>
      <c r="M53" s="37" t="s">
        <v>626</v>
      </c>
    </row>
    <row r="54" spans="1:13" ht="108" x14ac:dyDescent="0.25">
      <c r="A54" s="33" t="s">
        <v>600</v>
      </c>
      <c r="B54" s="56"/>
      <c r="C54" s="62" t="s">
        <v>461</v>
      </c>
      <c r="D54" s="33" t="s">
        <v>623</v>
      </c>
      <c r="E54" s="60" t="s">
        <v>18</v>
      </c>
      <c r="F54" s="33" t="s">
        <v>627</v>
      </c>
      <c r="G54" s="58" t="s">
        <v>474</v>
      </c>
      <c r="H54" s="33" t="s">
        <v>529</v>
      </c>
      <c r="I54" s="56"/>
      <c r="J54" s="56"/>
      <c r="K54" s="33" t="s">
        <v>625</v>
      </c>
      <c r="L54" s="60" t="s">
        <v>18</v>
      </c>
      <c r="M54" s="33" t="s">
        <v>628</v>
      </c>
    </row>
    <row r="55" spans="1:13" ht="108" x14ac:dyDescent="0.25">
      <c r="A55" s="37" t="s">
        <v>600</v>
      </c>
      <c r="B55" s="59"/>
      <c r="C55" s="59"/>
      <c r="D55" s="37" t="s">
        <v>629</v>
      </c>
      <c r="E55" s="57" t="s">
        <v>15</v>
      </c>
      <c r="F55" s="37" t="s">
        <v>630</v>
      </c>
      <c r="G55" s="58" t="s">
        <v>474</v>
      </c>
      <c r="H55" s="37" t="s">
        <v>529</v>
      </c>
      <c r="I55" s="59"/>
      <c r="J55" s="59"/>
      <c r="K55" s="37" t="s">
        <v>631</v>
      </c>
      <c r="L55" s="57" t="s">
        <v>15</v>
      </c>
      <c r="M55" s="37" t="s">
        <v>632</v>
      </c>
    </row>
    <row r="56" spans="1:13" ht="108" x14ac:dyDescent="0.25">
      <c r="A56" s="33" t="s">
        <v>600</v>
      </c>
      <c r="B56" s="56"/>
      <c r="C56" s="56"/>
      <c r="D56" s="33" t="s">
        <v>629</v>
      </c>
      <c r="E56" s="60" t="s">
        <v>18</v>
      </c>
      <c r="F56" s="33" t="s">
        <v>633</v>
      </c>
      <c r="G56" s="58" t="s">
        <v>474</v>
      </c>
      <c r="H56" s="33" t="s">
        <v>529</v>
      </c>
      <c r="I56" s="56"/>
      <c r="J56" s="56"/>
      <c r="K56" s="33" t="s">
        <v>631</v>
      </c>
      <c r="L56" s="60" t="s">
        <v>18</v>
      </c>
      <c r="M56" s="33" t="s">
        <v>634</v>
      </c>
    </row>
    <row r="57" spans="1:13" ht="108" x14ac:dyDescent="0.25">
      <c r="A57" s="37" t="s">
        <v>600</v>
      </c>
      <c r="B57" s="59"/>
      <c r="C57" s="59"/>
      <c r="D57" s="37" t="s">
        <v>635</v>
      </c>
      <c r="E57" s="58" t="s">
        <v>21</v>
      </c>
      <c r="F57" s="37" t="s">
        <v>636</v>
      </c>
      <c r="G57" s="58" t="s">
        <v>474</v>
      </c>
      <c r="H57" s="37" t="s">
        <v>529</v>
      </c>
      <c r="I57" s="59"/>
      <c r="J57" s="59"/>
      <c r="K57" s="37" t="s">
        <v>637</v>
      </c>
      <c r="L57" s="58" t="s">
        <v>21</v>
      </c>
      <c r="M57" s="37" t="s">
        <v>638</v>
      </c>
    </row>
    <row r="58" spans="1:13" ht="108" x14ac:dyDescent="0.25">
      <c r="A58" s="33" t="s">
        <v>600</v>
      </c>
      <c r="B58" s="56"/>
      <c r="C58" s="56"/>
      <c r="D58" s="33" t="s">
        <v>639</v>
      </c>
      <c r="E58" s="58" t="s">
        <v>21</v>
      </c>
      <c r="F58" s="33" t="s">
        <v>640</v>
      </c>
      <c r="G58" s="58" t="s">
        <v>474</v>
      </c>
      <c r="H58" s="33" t="s">
        <v>529</v>
      </c>
      <c r="I58" s="56"/>
      <c r="J58" s="56"/>
      <c r="K58" s="33" t="s">
        <v>625</v>
      </c>
      <c r="L58" s="58" t="s">
        <v>21</v>
      </c>
      <c r="M58" s="33" t="s">
        <v>641</v>
      </c>
    </row>
    <row r="59" spans="1:13" ht="108" x14ac:dyDescent="0.25">
      <c r="A59" s="37" t="s">
        <v>600</v>
      </c>
      <c r="B59" s="59"/>
      <c r="C59" s="59"/>
      <c r="D59" s="37" t="s">
        <v>639</v>
      </c>
      <c r="E59" s="57" t="s">
        <v>15</v>
      </c>
      <c r="F59" s="37" t="s">
        <v>642</v>
      </c>
      <c r="G59" s="61" t="s">
        <v>480</v>
      </c>
      <c r="H59" s="59"/>
      <c r="I59" s="59"/>
      <c r="J59" s="59"/>
      <c r="K59" s="59"/>
      <c r="L59" s="59"/>
      <c r="M59" s="59"/>
    </row>
    <row r="60" spans="1:13" ht="108" x14ac:dyDescent="0.25">
      <c r="A60" s="33" t="s">
        <v>600</v>
      </c>
      <c r="B60" s="56"/>
      <c r="C60" s="62" t="s">
        <v>461</v>
      </c>
      <c r="D60" s="33" t="s">
        <v>643</v>
      </c>
      <c r="E60" s="58" t="s">
        <v>21</v>
      </c>
      <c r="F60" s="33" t="s">
        <v>644</v>
      </c>
      <c r="G60" s="58" t="s">
        <v>474</v>
      </c>
      <c r="H60" s="33" t="s">
        <v>645</v>
      </c>
      <c r="I60" s="56"/>
      <c r="J60" s="62" t="s">
        <v>461</v>
      </c>
      <c r="K60" s="33" t="s">
        <v>646</v>
      </c>
      <c r="L60" s="58" t="s">
        <v>21</v>
      </c>
      <c r="M60" s="33" t="s">
        <v>647</v>
      </c>
    </row>
    <row r="61" spans="1:13" ht="108" x14ac:dyDescent="0.25">
      <c r="A61" s="37" t="s">
        <v>600</v>
      </c>
      <c r="B61" s="59"/>
      <c r="C61" s="59"/>
      <c r="D61" s="37" t="s">
        <v>643</v>
      </c>
      <c r="E61" s="57" t="s">
        <v>15</v>
      </c>
      <c r="F61" s="37" t="s">
        <v>648</v>
      </c>
      <c r="G61" s="58" t="s">
        <v>474</v>
      </c>
      <c r="H61" s="37" t="s">
        <v>649</v>
      </c>
      <c r="I61" s="59"/>
      <c r="J61" s="59"/>
      <c r="K61" s="37" t="s">
        <v>650</v>
      </c>
      <c r="L61" s="57" t="s">
        <v>15</v>
      </c>
      <c r="M61" s="37" t="s">
        <v>651</v>
      </c>
    </row>
    <row r="62" spans="1:13" ht="108" x14ac:dyDescent="0.25">
      <c r="A62" s="33" t="s">
        <v>600</v>
      </c>
      <c r="B62" s="56"/>
      <c r="C62" s="56"/>
      <c r="D62" s="33" t="s">
        <v>643</v>
      </c>
      <c r="E62" s="57" t="s">
        <v>15</v>
      </c>
      <c r="F62" s="33" t="s">
        <v>652</v>
      </c>
      <c r="G62" s="58" t="s">
        <v>474</v>
      </c>
      <c r="H62" s="33" t="s">
        <v>649</v>
      </c>
      <c r="I62" s="56"/>
      <c r="J62" s="56"/>
      <c r="K62" s="33" t="s">
        <v>650</v>
      </c>
      <c r="L62" s="57" t="s">
        <v>15</v>
      </c>
      <c r="M62" s="33" t="s">
        <v>653</v>
      </c>
    </row>
    <row r="63" spans="1:13" ht="108" x14ac:dyDescent="0.25">
      <c r="A63" s="37" t="s">
        <v>600</v>
      </c>
      <c r="B63" s="59"/>
      <c r="C63" s="59"/>
      <c r="D63" s="37" t="s">
        <v>643</v>
      </c>
      <c r="E63" s="60" t="s">
        <v>18</v>
      </c>
      <c r="F63" s="37" t="s">
        <v>654</v>
      </c>
      <c r="G63" s="58" t="s">
        <v>474</v>
      </c>
      <c r="H63" s="37" t="s">
        <v>649</v>
      </c>
      <c r="I63" s="59"/>
      <c r="J63" s="59"/>
      <c r="K63" s="37" t="s">
        <v>650</v>
      </c>
      <c r="L63" s="60" t="s">
        <v>18</v>
      </c>
      <c r="M63" s="37" t="s">
        <v>655</v>
      </c>
    </row>
    <row r="64" spans="1:13" ht="108" x14ac:dyDescent="0.25">
      <c r="A64" s="33" t="s">
        <v>600</v>
      </c>
      <c r="B64" s="56"/>
      <c r="C64" s="56"/>
      <c r="D64" s="33" t="s">
        <v>643</v>
      </c>
      <c r="E64" s="57" t="s">
        <v>15</v>
      </c>
      <c r="F64" s="33" t="s">
        <v>656</v>
      </c>
      <c r="G64" s="58" t="s">
        <v>474</v>
      </c>
      <c r="H64" s="33" t="s">
        <v>645</v>
      </c>
      <c r="I64" s="56"/>
      <c r="J64" s="56"/>
      <c r="K64" s="33" t="s">
        <v>646</v>
      </c>
      <c r="L64" s="57" t="s">
        <v>15</v>
      </c>
      <c r="M64" s="33" t="s">
        <v>657</v>
      </c>
    </row>
    <row r="65" spans="1:13" ht="108" x14ac:dyDescent="0.25">
      <c r="A65" s="37" t="s">
        <v>600</v>
      </c>
      <c r="B65" s="59"/>
      <c r="C65" s="62" t="s">
        <v>461</v>
      </c>
      <c r="D65" s="37" t="s">
        <v>643</v>
      </c>
      <c r="E65" s="60" t="s">
        <v>18</v>
      </c>
      <c r="F65" s="37" t="s">
        <v>658</v>
      </c>
      <c r="G65" s="58" t="s">
        <v>474</v>
      </c>
      <c r="H65" s="37" t="s">
        <v>645</v>
      </c>
      <c r="I65" s="59"/>
      <c r="J65" s="62" t="s">
        <v>461</v>
      </c>
      <c r="K65" s="37" t="s">
        <v>646</v>
      </c>
      <c r="L65" s="60" t="s">
        <v>18</v>
      </c>
      <c r="M65" s="37" t="s">
        <v>659</v>
      </c>
    </row>
    <row r="66" spans="1:13" ht="108" x14ac:dyDescent="0.25">
      <c r="A66" s="33" t="s">
        <v>600</v>
      </c>
      <c r="B66" s="56"/>
      <c r="C66" s="56"/>
      <c r="D66" s="33" t="s">
        <v>643</v>
      </c>
      <c r="E66" s="57" t="s">
        <v>15</v>
      </c>
      <c r="F66" s="33" t="s">
        <v>660</v>
      </c>
      <c r="G66" s="58" t="s">
        <v>474</v>
      </c>
      <c r="H66" s="33" t="s">
        <v>645</v>
      </c>
      <c r="I66" s="56"/>
      <c r="J66" s="56"/>
      <c r="K66" s="33" t="s">
        <v>646</v>
      </c>
      <c r="L66" s="57" t="s">
        <v>15</v>
      </c>
      <c r="M66" s="33" t="s">
        <v>661</v>
      </c>
    </row>
    <row r="67" spans="1:13" ht="108" x14ac:dyDescent="0.25">
      <c r="A67" s="37" t="s">
        <v>600</v>
      </c>
      <c r="B67" s="59"/>
      <c r="C67" s="62" t="s">
        <v>461</v>
      </c>
      <c r="D67" s="37" t="s">
        <v>643</v>
      </c>
      <c r="E67" s="60" t="s">
        <v>18</v>
      </c>
      <c r="F67" s="37" t="s">
        <v>662</v>
      </c>
      <c r="G67" s="58" t="s">
        <v>474</v>
      </c>
      <c r="H67" s="37" t="s">
        <v>645</v>
      </c>
      <c r="I67" s="59"/>
      <c r="J67" s="62" t="s">
        <v>461</v>
      </c>
      <c r="K67" s="37" t="s">
        <v>646</v>
      </c>
      <c r="L67" s="60" t="s">
        <v>18</v>
      </c>
      <c r="M67" s="37" t="s">
        <v>663</v>
      </c>
    </row>
    <row r="68" spans="1:13" ht="108" x14ac:dyDescent="0.25">
      <c r="A68" s="33" t="s">
        <v>600</v>
      </c>
      <c r="B68" s="56"/>
      <c r="C68" s="62" t="s">
        <v>461</v>
      </c>
      <c r="D68" s="33" t="s">
        <v>643</v>
      </c>
      <c r="E68" s="60" t="s">
        <v>18</v>
      </c>
      <c r="F68" s="33" t="s">
        <v>664</v>
      </c>
      <c r="G68" s="58" t="s">
        <v>474</v>
      </c>
      <c r="H68" s="33" t="s">
        <v>645</v>
      </c>
      <c r="I68" s="56"/>
      <c r="J68" s="62" t="s">
        <v>461</v>
      </c>
      <c r="K68" s="33" t="s">
        <v>646</v>
      </c>
      <c r="L68" s="60" t="s">
        <v>18</v>
      </c>
      <c r="M68" s="33" t="s">
        <v>665</v>
      </c>
    </row>
    <row r="69" spans="1:13" ht="108" x14ac:dyDescent="0.25">
      <c r="A69" s="37" t="s">
        <v>600</v>
      </c>
      <c r="B69" s="59"/>
      <c r="C69" s="59"/>
      <c r="D69" s="37" t="s">
        <v>643</v>
      </c>
      <c r="E69" s="57" t="s">
        <v>15</v>
      </c>
      <c r="F69" s="37" t="s">
        <v>666</v>
      </c>
      <c r="G69" s="58" t="s">
        <v>474</v>
      </c>
      <c r="H69" s="37" t="s">
        <v>645</v>
      </c>
      <c r="I69" s="59"/>
      <c r="J69" s="59"/>
      <c r="K69" s="37" t="s">
        <v>667</v>
      </c>
      <c r="L69" s="57" t="s">
        <v>15</v>
      </c>
      <c r="M69" s="37" t="s">
        <v>668</v>
      </c>
    </row>
    <row r="70" spans="1:13" ht="108" x14ac:dyDescent="0.25">
      <c r="A70" s="33" t="s">
        <v>600</v>
      </c>
      <c r="B70" s="56"/>
      <c r="C70" s="56"/>
      <c r="D70" s="33" t="s">
        <v>643</v>
      </c>
      <c r="E70" s="57" t="s">
        <v>15</v>
      </c>
      <c r="F70" s="33" t="s">
        <v>669</v>
      </c>
      <c r="G70" s="58" t="s">
        <v>474</v>
      </c>
      <c r="H70" s="33" t="s">
        <v>645</v>
      </c>
      <c r="I70" s="56"/>
      <c r="J70" s="56"/>
      <c r="K70" s="33" t="s">
        <v>667</v>
      </c>
      <c r="L70" s="57" t="s">
        <v>15</v>
      </c>
      <c r="M70" s="33" t="s">
        <v>670</v>
      </c>
    </row>
    <row r="71" spans="1:13" ht="108" x14ac:dyDescent="0.25">
      <c r="A71" s="37" t="s">
        <v>600</v>
      </c>
      <c r="B71" s="59"/>
      <c r="C71" s="59"/>
      <c r="D71" s="37" t="s">
        <v>643</v>
      </c>
      <c r="E71" s="60" t="s">
        <v>18</v>
      </c>
      <c r="F71" s="37" t="s">
        <v>671</v>
      </c>
      <c r="G71" s="58" t="s">
        <v>474</v>
      </c>
      <c r="H71" s="37" t="s">
        <v>645</v>
      </c>
      <c r="I71" s="59"/>
      <c r="J71" s="59"/>
      <c r="K71" s="37" t="s">
        <v>667</v>
      </c>
      <c r="L71" s="60" t="s">
        <v>18</v>
      </c>
      <c r="M71" s="37" t="s">
        <v>672</v>
      </c>
    </row>
    <row r="72" spans="1:13" ht="84" x14ac:dyDescent="0.25">
      <c r="A72" s="33" t="s">
        <v>673</v>
      </c>
      <c r="B72" s="56"/>
      <c r="C72" s="56"/>
      <c r="D72" s="33" t="s">
        <v>674</v>
      </c>
      <c r="E72" s="58" t="s">
        <v>21</v>
      </c>
      <c r="F72" s="33" t="s">
        <v>675</v>
      </c>
      <c r="G72" s="58" t="s">
        <v>474</v>
      </c>
      <c r="H72" s="33" t="s">
        <v>676</v>
      </c>
      <c r="I72" s="56"/>
      <c r="J72" s="56"/>
      <c r="K72" s="33" t="s">
        <v>677</v>
      </c>
      <c r="L72" s="58" t="s">
        <v>21</v>
      </c>
      <c r="M72" s="33" t="s">
        <v>678</v>
      </c>
    </row>
    <row r="73" spans="1:13" ht="84" x14ac:dyDescent="0.25">
      <c r="A73" s="37" t="s">
        <v>673</v>
      </c>
      <c r="B73" s="59"/>
      <c r="C73" s="59"/>
      <c r="D73" s="37" t="s">
        <v>674</v>
      </c>
      <c r="E73" s="57" t="s">
        <v>15</v>
      </c>
      <c r="F73" s="37" t="s">
        <v>679</v>
      </c>
      <c r="G73" s="58" t="s">
        <v>474</v>
      </c>
      <c r="H73" s="37" t="s">
        <v>676</v>
      </c>
      <c r="I73" s="59"/>
      <c r="J73" s="59"/>
      <c r="K73" s="37" t="s">
        <v>677</v>
      </c>
      <c r="L73" s="57" t="s">
        <v>15</v>
      </c>
      <c r="M73" s="37" t="s">
        <v>680</v>
      </c>
    </row>
    <row r="74" spans="1:13" ht="120" x14ac:dyDescent="0.25">
      <c r="A74" s="33" t="s">
        <v>673</v>
      </c>
      <c r="B74" s="56"/>
      <c r="C74" s="56"/>
      <c r="D74" s="33" t="s">
        <v>674</v>
      </c>
      <c r="E74" s="57" t="s">
        <v>15</v>
      </c>
      <c r="F74" s="33" t="s">
        <v>681</v>
      </c>
      <c r="G74" s="58" t="s">
        <v>474</v>
      </c>
      <c r="H74" s="33" t="s">
        <v>542</v>
      </c>
      <c r="I74" s="56"/>
      <c r="J74" s="56"/>
      <c r="K74" s="33" t="s">
        <v>682</v>
      </c>
      <c r="L74" s="57" t="s">
        <v>15</v>
      </c>
      <c r="M74" s="33" t="s">
        <v>683</v>
      </c>
    </row>
    <row r="75" spans="1:13" ht="84" x14ac:dyDescent="0.25">
      <c r="A75" s="37" t="s">
        <v>673</v>
      </c>
      <c r="B75" s="59"/>
      <c r="C75" s="59"/>
      <c r="D75" s="37" t="s">
        <v>674</v>
      </c>
      <c r="E75" s="60" t="s">
        <v>18</v>
      </c>
      <c r="F75" s="37" t="s">
        <v>684</v>
      </c>
      <c r="G75" s="58" t="s">
        <v>474</v>
      </c>
      <c r="H75" s="37" t="s">
        <v>676</v>
      </c>
      <c r="I75" s="59"/>
      <c r="J75" s="59"/>
      <c r="K75" s="37" t="s">
        <v>677</v>
      </c>
      <c r="L75" s="60" t="s">
        <v>18</v>
      </c>
      <c r="M75" s="37" t="s">
        <v>685</v>
      </c>
    </row>
    <row r="76" spans="1:13" ht="72" x14ac:dyDescent="0.25">
      <c r="A76" s="33" t="s">
        <v>673</v>
      </c>
      <c r="B76" s="56"/>
      <c r="C76" s="56"/>
      <c r="D76" s="33" t="s">
        <v>674</v>
      </c>
      <c r="E76" s="57" t="s">
        <v>15</v>
      </c>
      <c r="F76" s="33" t="s">
        <v>686</v>
      </c>
      <c r="G76" s="58" t="s">
        <v>474</v>
      </c>
      <c r="H76" s="33" t="s">
        <v>687</v>
      </c>
      <c r="I76" s="56"/>
      <c r="J76" s="56"/>
      <c r="K76" s="33" t="s">
        <v>688</v>
      </c>
      <c r="L76" s="57" t="s">
        <v>15</v>
      </c>
      <c r="M76" s="33" t="s">
        <v>689</v>
      </c>
    </row>
    <row r="77" spans="1:13" ht="60" x14ac:dyDescent="0.25">
      <c r="A77" s="37" t="s">
        <v>673</v>
      </c>
      <c r="B77" s="59"/>
      <c r="C77" s="59"/>
      <c r="D77" s="37" t="s">
        <v>674</v>
      </c>
      <c r="E77" s="57" t="s">
        <v>15</v>
      </c>
      <c r="F77" s="37" t="s">
        <v>690</v>
      </c>
      <c r="G77" s="61" t="s">
        <v>480</v>
      </c>
      <c r="H77" s="59"/>
      <c r="I77" s="59"/>
      <c r="J77" s="59"/>
      <c r="K77" s="59"/>
      <c r="L77" s="59"/>
      <c r="M77" s="59"/>
    </row>
    <row r="78" spans="1:13" ht="84" x14ac:dyDescent="0.25">
      <c r="A78" s="33" t="s">
        <v>673</v>
      </c>
      <c r="B78" s="56"/>
      <c r="C78" s="56"/>
      <c r="D78" s="33" t="s">
        <v>691</v>
      </c>
      <c r="E78" s="57" t="s">
        <v>15</v>
      </c>
      <c r="F78" s="33" t="s">
        <v>692</v>
      </c>
      <c r="G78" s="58" t="s">
        <v>474</v>
      </c>
      <c r="H78" s="33" t="s">
        <v>676</v>
      </c>
      <c r="I78" s="56"/>
      <c r="J78" s="56"/>
      <c r="K78" s="33" t="s">
        <v>693</v>
      </c>
      <c r="L78" s="57" t="s">
        <v>15</v>
      </c>
      <c r="M78" s="33" t="s">
        <v>694</v>
      </c>
    </row>
    <row r="79" spans="1:13" ht="84" x14ac:dyDescent="0.25">
      <c r="A79" s="37" t="s">
        <v>673</v>
      </c>
      <c r="B79" s="59"/>
      <c r="C79" s="59"/>
      <c r="D79" s="37" t="s">
        <v>691</v>
      </c>
      <c r="E79" s="60" t="s">
        <v>18</v>
      </c>
      <c r="F79" s="37" t="s">
        <v>695</v>
      </c>
      <c r="G79" s="58" t="s">
        <v>474</v>
      </c>
      <c r="H79" s="37" t="s">
        <v>676</v>
      </c>
      <c r="I79" s="59"/>
      <c r="J79" s="59"/>
      <c r="K79" s="37" t="s">
        <v>693</v>
      </c>
      <c r="L79" s="60" t="s">
        <v>18</v>
      </c>
      <c r="M79" s="37" t="s">
        <v>696</v>
      </c>
    </row>
    <row r="80" spans="1:13" ht="60" x14ac:dyDescent="0.25">
      <c r="A80" s="33" t="s">
        <v>673</v>
      </c>
      <c r="B80" s="56"/>
      <c r="C80" s="56"/>
      <c r="D80" s="33" t="s">
        <v>697</v>
      </c>
      <c r="E80" s="57" t="s">
        <v>15</v>
      </c>
      <c r="F80" s="33" t="s">
        <v>698</v>
      </c>
      <c r="G80" s="61" t="s">
        <v>480</v>
      </c>
      <c r="H80" s="56"/>
      <c r="I80" s="56"/>
      <c r="J80" s="56"/>
      <c r="K80" s="56"/>
      <c r="L80" s="56"/>
      <c r="M80" s="56"/>
    </row>
    <row r="81" spans="1:13" ht="84" x14ac:dyDescent="0.25">
      <c r="A81" s="37" t="s">
        <v>673</v>
      </c>
      <c r="B81" s="59"/>
      <c r="C81" s="59"/>
      <c r="D81" s="37" t="s">
        <v>699</v>
      </c>
      <c r="E81" s="58" t="s">
        <v>21</v>
      </c>
      <c r="F81" s="37" t="s">
        <v>700</v>
      </c>
      <c r="G81" s="58" t="s">
        <v>474</v>
      </c>
      <c r="H81" s="37" t="s">
        <v>676</v>
      </c>
      <c r="I81" s="59"/>
      <c r="J81" s="59"/>
      <c r="K81" s="37" t="s">
        <v>701</v>
      </c>
      <c r="L81" s="58" t="s">
        <v>21</v>
      </c>
      <c r="M81" s="37" t="s">
        <v>702</v>
      </c>
    </row>
    <row r="82" spans="1:13" ht="84" x14ac:dyDescent="0.25">
      <c r="A82" s="33" t="s">
        <v>673</v>
      </c>
      <c r="B82" s="33" t="s">
        <v>504</v>
      </c>
      <c r="C82" s="56"/>
      <c r="D82" s="33" t="s">
        <v>699</v>
      </c>
      <c r="E82" s="57" t="s">
        <v>15</v>
      </c>
      <c r="F82" s="33" t="s">
        <v>703</v>
      </c>
      <c r="G82" s="58" t="s">
        <v>474</v>
      </c>
      <c r="H82" s="33" t="s">
        <v>676</v>
      </c>
      <c r="I82" s="56"/>
      <c r="J82" s="56"/>
      <c r="K82" s="33" t="s">
        <v>701</v>
      </c>
      <c r="L82" s="57" t="s">
        <v>15</v>
      </c>
      <c r="M82" s="33" t="s">
        <v>704</v>
      </c>
    </row>
    <row r="83" spans="1:13" ht="84" x14ac:dyDescent="0.25">
      <c r="A83" s="37" t="s">
        <v>673</v>
      </c>
      <c r="B83" s="37" t="s">
        <v>504</v>
      </c>
      <c r="C83" s="59"/>
      <c r="D83" s="37" t="s">
        <v>699</v>
      </c>
      <c r="E83" s="60" t="s">
        <v>18</v>
      </c>
      <c r="F83" s="37" t="s">
        <v>705</v>
      </c>
      <c r="G83" s="58" t="s">
        <v>474</v>
      </c>
      <c r="H83" s="37" t="s">
        <v>676</v>
      </c>
      <c r="I83" s="59"/>
      <c r="J83" s="59"/>
      <c r="K83" s="37" t="s">
        <v>701</v>
      </c>
      <c r="L83" s="60" t="s">
        <v>18</v>
      </c>
      <c r="M83" s="37" t="s">
        <v>706</v>
      </c>
    </row>
    <row r="84" spans="1:13" ht="84" x14ac:dyDescent="0.25">
      <c r="A84" s="33" t="s">
        <v>673</v>
      </c>
      <c r="B84" s="33" t="s">
        <v>504</v>
      </c>
      <c r="C84" s="56"/>
      <c r="D84" s="33" t="s">
        <v>707</v>
      </c>
      <c r="E84" s="57" t="s">
        <v>15</v>
      </c>
      <c r="F84" s="33" t="s">
        <v>708</v>
      </c>
      <c r="G84" s="58" t="s">
        <v>474</v>
      </c>
      <c r="H84" s="33" t="s">
        <v>676</v>
      </c>
      <c r="I84" s="56"/>
      <c r="J84" s="56"/>
      <c r="K84" s="33" t="s">
        <v>709</v>
      </c>
      <c r="L84" s="57" t="s">
        <v>15</v>
      </c>
      <c r="M84" s="33" t="s">
        <v>710</v>
      </c>
    </row>
    <row r="85" spans="1:13" ht="72" x14ac:dyDescent="0.25">
      <c r="A85" s="37" t="s">
        <v>673</v>
      </c>
      <c r="B85" s="59"/>
      <c r="C85" s="62" t="s">
        <v>461</v>
      </c>
      <c r="D85" s="37" t="s">
        <v>711</v>
      </c>
      <c r="E85" s="57" t="s">
        <v>15</v>
      </c>
      <c r="F85" s="37" t="s">
        <v>712</v>
      </c>
      <c r="G85" s="58" t="s">
        <v>474</v>
      </c>
      <c r="H85" s="37" t="s">
        <v>713</v>
      </c>
      <c r="I85" s="59"/>
      <c r="J85" s="62" t="s">
        <v>461</v>
      </c>
      <c r="K85" s="37" t="s">
        <v>714</v>
      </c>
      <c r="L85" s="57" t="s">
        <v>15</v>
      </c>
      <c r="M85" s="37" t="s">
        <v>715</v>
      </c>
    </row>
    <row r="86" spans="1:13" ht="72" x14ac:dyDescent="0.25">
      <c r="A86" s="33" t="s">
        <v>673</v>
      </c>
      <c r="B86" s="56"/>
      <c r="C86" s="56"/>
      <c r="D86" s="33" t="s">
        <v>711</v>
      </c>
      <c r="E86" s="60" t="s">
        <v>18</v>
      </c>
      <c r="F86" s="33" t="s">
        <v>716</v>
      </c>
      <c r="G86" s="58" t="s">
        <v>474</v>
      </c>
      <c r="H86" s="33" t="s">
        <v>713</v>
      </c>
      <c r="I86" s="56"/>
      <c r="J86" s="56"/>
      <c r="K86" s="33" t="s">
        <v>714</v>
      </c>
      <c r="L86" s="60" t="s">
        <v>18</v>
      </c>
      <c r="M86" s="33" t="s">
        <v>717</v>
      </c>
    </row>
    <row r="87" spans="1:13" ht="60" x14ac:dyDescent="0.25">
      <c r="A87" s="37" t="s">
        <v>718</v>
      </c>
      <c r="B87" s="59"/>
      <c r="C87" s="59"/>
      <c r="D87" s="37" t="s">
        <v>719</v>
      </c>
      <c r="E87" s="57" t="s">
        <v>15</v>
      </c>
      <c r="F87" s="37" t="s">
        <v>720</v>
      </c>
      <c r="G87" s="61" t="s">
        <v>480</v>
      </c>
      <c r="H87" s="59"/>
      <c r="I87" s="59"/>
      <c r="J87" s="59"/>
      <c r="K87" s="59"/>
      <c r="L87" s="59"/>
      <c r="M87" s="59"/>
    </row>
    <row r="88" spans="1:13" ht="72" x14ac:dyDescent="0.25">
      <c r="A88" s="33" t="s">
        <v>718</v>
      </c>
      <c r="B88" s="56"/>
      <c r="C88" s="56"/>
      <c r="D88" s="33" t="s">
        <v>721</v>
      </c>
      <c r="E88" s="58" t="s">
        <v>21</v>
      </c>
      <c r="F88" s="33" t="s">
        <v>722</v>
      </c>
      <c r="G88" s="58" t="s">
        <v>474</v>
      </c>
      <c r="H88" s="33" t="s">
        <v>537</v>
      </c>
      <c r="I88" s="56"/>
      <c r="J88" s="56"/>
      <c r="K88" s="33" t="s">
        <v>723</v>
      </c>
      <c r="L88" s="58" t="s">
        <v>21</v>
      </c>
      <c r="M88" s="33" t="s">
        <v>724</v>
      </c>
    </row>
    <row r="89" spans="1:13" ht="60" x14ac:dyDescent="0.25">
      <c r="A89" s="37" t="s">
        <v>718</v>
      </c>
      <c r="B89" s="59"/>
      <c r="C89" s="59"/>
      <c r="D89" s="37" t="s">
        <v>721</v>
      </c>
      <c r="E89" s="57" t="s">
        <v>15</v>
      </c>
      <c r="F89" s="37" t="s">
        <v>725</v>
      </c>
      <c r="G89" s="58" t="s">
        <v>474</v>
      </c>
      <c r="H89" s="37" t="s">
        <v>726</v>
      </c>
      <c r="I89" s="59"/>
      <c r="J89" s="59"/>
      <c r="K89" s="37" t="s">
        <v>727</v>
      </c>
      <c r="L89" s="57" t="s">
        <v>15</v>
      </c>
      <c r="M89" s="37" t="s">
        <v>728</v>
      </c>
    </row>
    <row r="90" spans="1:13" ht="120" x14ac:dyDescent="0.25">
      <c r="A90" s="33" t="s">
        <v>718</v>
      </c>
      <c r="B90" s="56"/>
      <c r="C90" s="56"/>
      <c r="D90" s="33" t="s">
        <v>721</v>
      </c>
      <c r="E90" s="57" t="s">
        <v>15</v>
      </c>
      <c r="F90" s="33" t="s">
        <v>729</v>
      </c>
      <c r="G90" s="58" t="s">
        <v>474</v>
      </c>
      <c r="H90" s="33" t="s">
        <v>542</v>
      </c>
      <c r="I90" s="56"/>
      <c r="J90" s="56"/>
      <c r="K90" s="33" t="s">
        <v>730</v>
      </c>
      <c r="L90" s="57" t="s">
        <v>15</v>
      </c>
      <c r="M90" s="33" t="s">
        <v>731</v>
      </c>
    </row>
    <row r="91" spans="1:13" ht="120" x14ac:dyDescent="0.25">
      <c r="A91" s="37" t="s">
        <v>718</v>
      </c>
      <c r="B91" s="59"/>
      <c r="C91" s="59"/>
      <c r="D91" s="37" t="s">
        <v>721</v>
      </c>
      <c r="E91" s="57" t="s">
        <v>15</v>
      </c>
      <c r="F91" s="37" t="s">
        <v>732</v>
      </c>
      <c r="G91" s="58" t="s">
        <v>474</v>
      </c>
      <c r="H91" s="37" t="s">
        <v>542</v>
      </c>
      <c r="I91" s="59"/>
      <c r="J91" s="59"/>
      <c r="K91" s="37" t="s">
        <v>733</v>
      </c>
      <c r="L91" s="57" t="s">
        <v>15</v>
      </c>
      <c r="M91" s="37" t="s">
        <v>734</v>
      </c>
    </row>
    <row r="92" spans="1:13" ht="120" x14ac:dyDescent="0.25">
      <c r="A92" s="33" t="s">
        <v>718</v>
      </c>
      <c r="B92" s="56"/>
      <c r="C92" s="56"/>
      <c r="D92" s="33" t="s">
        <v>721</v>
      </c>
      <c r="E92" s="57" t="s">
        <v>15</v>
      </c>
      <c r="F92" s="33" t="s">
        <v>735</v>
      </c>
      <c r="G92" s="58" t="s">
        <v>474</v>
      </c>
      <c r="H92" s="33" t="s">
        <v>542</v>
      </c>
      <c r="I92" s="56"/>
      <c r="J92" s="56"/>
      <c r="K92" s="33" t="s">
        <v>733</v>
      </c>
      <c r="L92" s="57" t="s">
        <v>15</v>
      </c>
      <c r="M92" s="33" t="s">
        <v>736</v>
      </c>
    </row>
    <row r="93" spans="1:13" ht="120" x14ac:dyDescent="0.25">
      <c r="A93" s="37" t="s">
        <v>718</v>
      </c>
      <c r="B93" s="59"/>
      <c r="C93" s="59"/>
      <c r="D93" s="37" t="s">
        <v>721</v>
      </c>
      <c r="E93" s="57" t="s">
        <v>15</v>
      </c>
      <c r="F93" s="37" t="s">
        <v>737</v>
      </c>
      <c r="G93" s="58" t="s">
        <v>474</v>
      </c>
      <c r="H93" s="37" t="s">
        <v>542</v>
      </c>
      <c r="I93" s="59"/>
      <c r="J93" s="59"/>
      <c r="K93" s="37" t="s">
        <v>733</v>
      </c>
      <c r="L93" s="57" t="s">
        <v>15</v>
      </c>
      <c r="M93" s="37" t="s">
        <v>738</v>
      </c>
    </row>
    <row r="94" spans="1:13" ht="120" x14ac:dyDescent="0.25">
      <c r="A94" s="33" t="s">
        <v>718</v>
      </c>
      <c r="B94" s="56"/>
      <c r="C94" s="56"/>
      <c r="D94" s="33" t="s">
        <v>721</v>
      </c>
      <c r="E94" s="60" t="s">
        <v>18</v>
      </c>
      <c r="F94" s="33" t="s">
        <v>739</v>
      </c>
      <c r="G94" s="58" t="s">
        <v>474</v>
      </c>
      <c r="H94" s="33" t="s">
        <v>542</v>
      </c>
      <c r="I94" s="56"/>
      <c r="J94" s="56"/>
      <c r="K94" s="33" t="s">
        <v>730</v>
      </c>
      <c r="L94" s="60" t="s">
        <v>18</v>
      </c>
      <c r="M94" s="33" t="s">
        <v>740</v>
      </c>
    </row>
    <row r="95" spans="1:13" ht="120" x14ac:dyDescent="0.25">
      <c r="A95" s="37" t="s">
        <v>718</v>
      </c>
      <c r="B95" s="59"/>
      <c r="C95" s="59"/>
      <c r="D95" s="37" t="s">
        <v>721</v>
      </c>
      <c r="E95" s="60" t="s">
        <v>18</v>
      </c>
      <c r="F95" s="37" t="s">
        <v>741</v>
      </c>
      <c r="G95" s="58" t="s">
        <v>474</v>
      </c>
      <c r="H95" s="37" t="s">
        <v>542</v>
      </c>
      <c r="I95" s="59"/>
      <c r="J95" s="59"/>
      <c r="K95" s="37" t="s">
        <v>730</v>
      </c>
      <c r="L95" s="60" t="s">
        <v>18</v>
      </c>
      <c r="M95" s="37" t="s">
        <v>742</v>
      </c>
    </row>
    <row r="96" spans="1:13" ht="60" x14ac:dyDescent="0.25">
      <c r="A96" s="33" t="s">
        <v>718</v>
      </c>
      <c r="B96" s="33" t="s">
        <v>504</v>
      </c>
      <c r="C96" s="56"/>
      <c r="D96" s="33" t="s">
        <v>721</v>
      </c>
      <c r="E96" s="60" t="s">
        <v>18</v>
      </c>
      <c r="F96" s="33" t="s">
        <v>743</v>
      </c>
      <c r="G96" s="58" t="s">
        <v>474</v>
      </c>
      <c r="H96" s="33" t="s">
        <v>744</v>
      </c>
      <c r="I96" s="56"/>
      <c r="J96" s="56"/>
      <c r="K96" s="33" t="s">
        <v>745</v>
      </c>
      <c r="L96" s="60" t="s">
        <v>18</v>
      </c>
      <c r="M96" s="33" t="s">
        <v>746</v>
      </c>
    </row>
    <row r="97" spans="1:13" ht="120" x14ac:dyDescent="0.25">
      <c r="A97" s="37" t="s">
        <v>718</v>
      </c>
      <c r="B97" s="37" t="s">
        <v>504</v>
      </c>
      <c r="C97" s="59"/>
      <c r="D97" s="37" t="s">
        <v>747</v>
      </c>
      <c r="E97" s="57" t="s">
        <v>15</v>
      </c>
      <c r="F97" s="37" t="s">
        <v>748</v>
      </c>
      <c r="G97" s="58" t="s">
        <v>474</v>
      </c>
      <c r="H97" s="37" t="s">
        <v>542</v>
      </c>
      <c r="I97" s="59"/>
      <c r="J97" s="59"/>
      <c r="K97" s="37" t="s">
        <v>749</v>
      </c>
      <c r="L97" s="57" t="s">
        <v>15</v>
      </c>
      <c r="M97" s="37" t="s">
        <v>750</v>
      </c>
    </row>
    <row r="98" spans="1:13" ht="120" x14ac:dyDescent="0.25">
      <c r="A98" s="33" t="s">
        <v>718</v>
      </c>
      <c r="B98" s="33" t="s">
        <v>504</v>
      </c>
      <c r="C98" s="56"/>
      <c r="D98" s="33" t="s">
        <v>747</v>
      </c>
      <c r="E98" s="60" t="s">
        <v>18</v>
      </c>
      <c r="F98" s="33" t="s">
        <v>751</v>
      </c>
      <c r="G98" s="58" t="s">
        <v>474</v>
      </c>
      <c r="H98" s="33" t="s">
        <v>542</v>
      </c>
      <c r="I98" s="56"/>
      <c r="J98" s="56"/>
      <c r="K98" s="33" t="s">
        <v>749</v>
      </c>
      <c r="L98" s="60" t="s">
        <v>18</v>
      </c>
      <c r="M98" s="33" t="s">
        <v>752</v>
      </c>
    </row>
    <row r="99" spans="1:13" ht="120" x14ac:dyDescent="0.25">
      <c r="A99" s="37" t="s">
        <v>753</v>
      </c>
      <c r="B99" s="59"/>
      <c r="C99" s="62" t="s">
        <v>461</v>
      </c>
      <c r="D99" s="37" t="s">
        <v>754</v>
      </c>
      <c r="E99" s="58" t="s">
        <v>21</v>
      </c>
      <c r="F99" s="37" t="s">
        <v>755</v>
      </c>
      <c r="G99" s="58" t="s">
        <v>474</v>
      </c>
      <c r="H99" s="37" t="s">
        <v>756</v>
      </c>
      <c r="I99" s="59"/>
      <c r="J99" s="62" t="s">
        <v>461</v>
      </c>
      <c r="K99" s="37" t="s">
        <v>757</v>
      </c>
      <c r="L99" s="58" t="s">
        <v>21</v>
      </c>
      <c r="M99" s="37" t="s">
        <v>758</v>
      </c>
    </row>
    <row r="100" spans="1:13" ht="120" x14ac:dyDescent="0.25">
      <c r="A100" s="33" t="s">
        <v>753</v>
      </c>
      <c r="B100" s="56"/>
      <c r="C100" s="56"/>
      <c r="D100" s="33" t="s">
        <v>754</v>
      </c>
      <c r="E100" s="57" t="s">
        <v>15</v>
      </c>
      <c r="F100" s="33" t="s">
        <v>759</v>
      </c>
      <c r="G100" s="58" t="s">
        <v>474</v>
      </c>
      <c r="H100" s="33" t="s">
        <v>756</v>
      </c>
      <c r="I100" s="56"/>
      <c r="J100" s="56"/>
      <c r="K100" s="33" t="s">
        <v>757</v>
      </c>
      <c r="L100" s="57" t="s">
        <v>15</v>
      </c>
      <c r="M100" s="33" t="s">
        <v>760</v>
      </c>
    </row>
    <row r="101" spans="1:13" ht="120" x14ac:dyDescent="0.25">
      <c r="A101" s="37" t="s">
        <v>753</v>
      </c>
      <c r="B101" s="59"/>
      <c r="C101" s="59"/>
      <c r="D101" s="37" t="s">
        <v>754</v>
      </c>
      <c r="E101" s="60" t="s">
        <v>18</v>
      </c>
      <c r="F101" s="37" t="s">
        <v>761</v>
      </c>
      <c r="G101" s="58" t="s">
        <v>474</v>
      </c>
      <c r="H101" s="37" t="s">
        <v>756</v>
      </c>
      <c r="I101" s="59"/>
      <c r="J101" s="59"/>
      <c r="K101" s="37" t="s">
        <v>757</v>
      </c>
      <c r="L101" s="60" t="s">
        <v>18</v>
      </c>
      <c r="M101" s="37" t="s">
        <v>762</v>
      </c>
    </row>
    <row r="102" spans="1:13" ht="120" x14ac:dyDescent="0.25">
      <c r="A102" s="33" t="s">
        <v>753</v>
      </c>
      <c r="B102" s="56"/>
      <c r="C102" s="56"/>
      <c r="D102" s="33" t="s">
        <v>754</v>
      </c>
      <c r="E102" s="60" t="s">
        <v>18</v>
      </c>
      <c r="F102" s="33" t="s">
        <v>763</v>
      </c>
      <c r="G102" s="58" t="s">
        <v>474</v>
      </c>
      <c r="H102" s="33" t="s">
        <v>756</v>
      </c>
      <c r="I102" s="56"/>
      <c r="J102" s="56"/>
      <c r="K102" s="33" t="s">
        <v>757</v>
      </c>
      <c r="L102" s="60" t="s">
        <v>18</v>
      </c>
      <c r="M102" s="33" t="s">
        <v>764</v>
      </c>
    </row>
    <row r="103" spans="1:13" ht="120" x14ac:dyDescent="0.25">
      <c r="A103" s="37" t="s">
        <v>753</v>
      </c>
      <c r="B103" s="59"/>
      <c r="C103" s="59"/>
      <c r="D103" s="37" t="s">
        <v>754</v>
      </c>
      <c r="E103" s="60" t="s">
        <v>18</v>
      </c>
      <c r="F103" s="37" t="s">
        <v>765</v>
      </c>
      <c r="G103" s="58" t="s">
        <v>474</v>
      </c>
      <c r="H103" s="37" t="s">
        <v>756</v>
      </c>
      <c r="I103" s="59"/>
      <c r="J103" s="59"/>
      <c r="K103" s="37" t="s">
        <v>757</v>
      </c>
      <c r="L103" s="60" t="s">
        <v>18</v>
      </c>
      <c r="M103" s="37" t="s">
        <v>766</v>
      </c>
    </row>
    <row r="104" spans="1:13" ht="120" x14ac:dyDescent="0.25">
      <c r="A104" s="33" t="s">
        <v>753</v>
      </c>
      <c r="B104" s="56"/>
      <c r="C104" s="56"/>
      <c r="D104" s="33" t="s">
        <v>767</v>
      </c>
      <c r="E104" s="57" t="s">
        <v>15</v>
      </c>
      <c r="F104" s="33" t="s">
        <v>768</v>
      </c>
      <c r="G104" s="58" t="s">
        <v>474</v>
      </c>
      <c r="H104" s="33" t="s">
        <v>756</v>
      </c>
      <c r="I104" s="56"/>
      <c r="J104" s="56"/>
      <c r="K104" s="33" t="s">
        <v>769</v>
      </c>
      <c r="L104" s="57" t="s">
        <v>15</v>
      </c>
      <c r="M104" s="33" t="s">
        <v>770</v>
      </c>
    </row>
    <row r="105" spans="1:13" ht="120" x14ac:dyDescent="0.25">
      <c r="A105" s="37" t="s">
        <v>753</v>
      </c>
      <c r="B105" s="59"/>
      <c r="C105" s="59"/>
      <c r="D105" s="37" t="s">
        <v>767</v>
      </c>
      <c r="E105" s="60" t="s">
        <v>18</v>
      </c>
      <c r="F105" s="37" t="s">
        <v>771</v>
      </c>
      <c r="G105" s="58" t="s">
        <v>474</v>
      </c>
      <c r="H105" s="37" t="s">
        <v>756</v>
      </c>
      <c r="I105" s="59"/>
      <c r="J105" s="59"/>
      <c r="K105" s="37" t="s">
        <v>769</v>
      </c>
      <c r="L105" s="60" t="s">
        <v>18</v>
      </c>
      <c r="M105" s="37" t="s">
        <v>772</v>
      </c>
    </row>
    <row r="106" spans="1:13" ht="120" x14ac:dyDescent="0.25">
      <c r="A106" s="33" t="s">
        <v>753</v>
      </c>
      <c r="B106" s="56"/>
      <c r="C106" s="56"/>
      <c r="D106" s="33" t="s">
        <v>773</v>
      </c>
      <c r="E106" s="58" t="s">
        <v>21</v>
      </c>
      <c r="F106" s="33" t="s">
        <v>774</v>
      </c>
      <c r="G106" s="58" t="s">
        <v>474</v>
      </c>
      <c r="H106" s="33" t="s">
        <v>756</v>
      </c>
      <c r="I106" s="56"/>
      <c r="J106" s="56"/>
      <c r="K106" s="33" t="s">
        <v>775</v>
      </c>
      <c r="L106" s="58" t="s">
        <v>21</v>
      </c>
      <c r="M106" s="33" t="s">
        <v>776</v>
      </c>
    </row>
    <row r="107" spans="1:13" ht="120" x14ac:dyDescent="0.25">
      <c r="A107" s="37" t="s">
        <v>753</v>
      </c>
      <c r="B107" s="59"/>
      <c r="C107" s="62" t="s">
        <v>461</v>
      </c>
      <c r="D107" s="37" t="s">
        <v>773</v>
      </c>
      <c r="E107" s="58" t="s">
        <v>21</v>
      </c>
      <c r="F107" s="37" t="s">
        <v>777</v>
      </c>
      <c r="G107" s="58" t="s">
        <v>474</v>
      </c>
      <c r="H107" s="37" t="s">
        <v>756</v>
      </c>
      <c r="I107" s="59"/>
      <c r="J107" s="62" t="s">
        <v>461</v>
      </c>
      <c r="K107" s="37" t="s">
        <v>775</v>
      </c>
      <c r="L107" s="58" t="s">
        <v>21</v>
      </c>
      <c r="M107" s="37" t="s">
        <v>778</v>
      </c>
    </row>
    <row r="108" spans="1:13" ht="120" x14ac:dyDescent="0.25">
      <c r="A108" s="33" t="s">
        <v>753</v>
      </c>
      <c r="B108" s="56"/>
      <c r="C108" s="62" t="s">
        <v>461</v>
      </c>
      <c r="D108" s="33" t="s">
        <v>773</v>
      </c>
      <c r="E108" s="57" t="s">
        <v>15</v>
      </c>
      <c r="F108" s="33" t="s">
        <v>779</v>
      </c>
      <c r="G108" s="58" t="s">
        <v>474</v>
      </c>
      <c r="H108" s="33" t="s">
        <v>756</v>
      </c>
      <c r="I108" s="56"/>
      <c r="J108" s="62" t="s">
        <v>461</v>
      </c>
      <c r="K108" s="33" t="s">
        <v>775</v>
      </c>
      <c r="L108" s="57" t="s">
        <v>15</v>
      </c>
      <c r="M108" s="33" t="s">
        <v>780</v>
      </c>
    </row>
    <row r="109" spans="1:13" ht="120" x14ac:dyDescent="0.25">
      <c r="A109" s="37" t="s">
        <v>753</v>
      </c>
      <c r="B109" s="59"/>
      <c r="C109" s="59"/>
      <c r="D109" s="37" t="s">
        <v>773</v>
      </c>
      <c r="E109" s="60" t="s">
        <v>18</v>
      </c>
      <c r="F109" s="37" t="s">
        <v>781</v>
      </c>
      <c r="G109" s="58" t="s">
        <v>474</v>
      </c>
      <c r="H109" s="37" t="s">
        <v>756</v>
      </c>
      <c r="I109" s="59"/>
      <c r="J109" s="59"/>
      <c r="K109" s="37" t="s">
        <v>775</v>
      </c>
      <c r="L109" s="60" t="s">
        <v>18</v>
      </c>
      <c r="M109" s="37" t="s">
        <v>782</v>
      </c>
    </row>
    <row r="110" spans="1:13" ht="120" x14ac:dyDescent="0.25">
      <c r="A110" s="33" t="s">
        <v>753</v>
      </c>
      <c r="B110" s="56"/>
      <c r="C110" s="56"/>
      <c r="D110" s="33" t="s">
        <v>773</v>
      </c>
      <c r="E110" s="60" t="s">
        <v>18</v>
      </c>
      <c r="F110" s="33" t="s">
        <v>783</v>
      </c>
      <c r="G110" s="58" t="s">
        <v>474</v>
      </c>
      <c r="H110" s="33" t="s">
        <v>756</v>
      </c>
      <c r="I110" s="56"/>
      <c r="J110" s="56"/>
      <c r="K110" s="33" t="s">
        <v>775</v>
      </c>
      <c r="L110" s="60" t="s">
        <v>18</v>
      </c>
      <c r="M110" s="33" t="s">
        <v>784</v>
      </c>
    </row>
    <row r="111" spans="1:13" ht="96" x14ac:dyDescent="0.25">
      <c r="A111" s="37" t="s">
        <v>753</v>
      </c>
      <c r="B111" s="59"/>
      <c r="C111" s="59"/>
      <c r="D111" s="37" t="s">
        <v>785</v>
      </c>
      <c r="E111" s="60" t="s">
        <v>18</v>
      </c>
      <c r="F111" s="37" t="s">
        <v>786</v>
      </c>
      <c r="G111" s="61" t="s">
        <v>480</v>
      </c>
      <c r="H111" s="59"/>
      <c r="I111" s="59"/>
      <c r="J111" s="59"/>
      <c r="K111" s="59"/>
      <c r="L111" s="59"/>
      <c r="M111" s="59"/>
    </row>
    <row r="112" spans="1:13" ht="120" x14ac:dyDescent="0.25">
      <c r="A112" s="33" t="s">
        <v>753</v>
      </c>
      <c r="B112" s="56"/>
      <c r="C112" s="62" t="s">
        <v>461</v>
      </c>
      <c r="D112" s="33" t="s">
        <v>787</v>
      </c>
      <c r="E112" s="58" t="s">
        <v>21</v>
      </c>
      <c r="F112" s="33" t="s">
        <v>788</v>
      </c>
      <c r="G112" s="58" t="s">
        <v>474</v>
      </c>
      <c r="H112" s="33" t="s">
        <v>756</v>
      </c>
      <c r="I112" s="56"/>
      <c r="J112" s="62" t="s">
        <v>461</v>
      </c>
      <c r="K112" s="33" t="s">
        <v>789</v>
      </c>
      <c r="L112" s="58" t="s">
        <v>21</v>
      </c>
      <c r="M112" s="33" t="s">
        <v>790</v>
      </c>
    </row>
    <row r="113" spans="1:13" ht="120" x14ac:dyDescent="0.25">
      <c r="A113" s="37" t="s">
        <v>753</v>
      </c>
      <c r="B113" s="59"/>
      <c r="C113" s="62" t="s">
        <v>461</v>
      </c>
      <c r="D113" s="37" t="s">
        <v>787</v>
      </c>
      <c r="E113" s="58" t="s">
        <v>21</v>
      </c>
      <c r="F113" s="37" t="s">
        <v>791</v>
      </c>
      <c r="G113" s="58" t="s">
        <v>474</v>
      </c>
      <c r="H113" s="37" t="s">
        <v>756</v>
      </c>
      <c r="I113" s="59"/>
      <c r="J113" s="62" t="s">
        <v>461</v>
      </c>
      <c r="K113" s="37" t="s">
        <v>789</v>
      </c>
      <c r="L113" s="58" t="s">
        <v>21</v>
      </c>
      <c r="M113" s="37" t="s">
        <v>792</v>
      </c>
    </row>
    <row r="114" spans="1:13" ht="120" x14ac:dyDescent="0.25">
      <c r="A114" s="33" t="s">
        <v>753</v>
      </c>
      <c r="B114" s="56"/>
      <c r="C114" s="62" t="s">
        <v>461</v>
      </c>
      <c r="D114" s="33" t="s">
        <v>787</v>
      </c>
      <c r="E114" s="58" t="s">
        <v>21</v>
      </c>
      <c r="F114" s="33" t="s">
        <v>793</v>
      </c>
      <c r="G114" s="58" t="s">
        <v>474</v>
      </c>
      <c r="H114" s="33" t="s">
        <v>756</v>
      </c>
      <c r="I114" s="56"/>
      <c r="J114" s="62" t="s">
        <v>461</v>
      </c>
      <c r="K114" s="33" t="s">
        <v>789</v>
      </c>
      <c r="L114" s="58" t="s">
        <v>21</v>
      </c>
      <c r="M114" s="33" t="s">
        <v>794</v>
      </c>
    </row>
    <row r="115" spans="1:13" ht="120" x14ac:dyDescent="0.25">
      <c r="A115" s="37" t="s">
        <v>753</v>
      </c>
      <c r="B115" s="59"/>
      <c r="C115" s="62" t="s">
        <v>461</v>
      </c>
      <c r="D115" s="37" t="s">
        <v>787</v>
      </c>
      <c r="E115" s="58" t="s">
        <v>21</v>
      </c>
      <c r="F115" s="37" t="s">
        <v>795</v>
      </c>
      <c r="G115" s="58" t="s">
        <v>474</v>
      </c>
      <c r="H115" s="37" t="s">
        <v>756</v>
      </c>
      <c r="I115" s="59"/>
      <c r="J115" s="62" t="s">
        <v>461</v>
      </c>
      <c r="K115" s="37" t="s">
        <v>789</v>
      </c>
      <c r="L115" s="58" t="s">
        <v>21</v>
      </c>
      <c r="M115" s="37" t="s">
        <v>796</v>
      </c>
    </row>
    <row r="116" spans="1:13" ht="120" x14ac:dyDescent="0.25">
      <c r="A116" s="33" t="s">
        <v>753</v>
      </c>
      <c r="B116" s="56"/>
      <c r="C116" s="56"/>
      <c r="D116" s="33" t="s">
        <v>787</v>
      </c>
      <c r="E116" s="57" t="s">
        <v>15</v>
      </c>
      <c r="F116" s="33" t="s">
        <v>797</v>
      </c>
      <c r="G116" s="58" t="s">
        <v>474</v>
      </c>
      <c r="H116" s="33" t="s">
        <v>756</v>
      </c>
      <c r="I116" s="56"/>
      <c r="J116" s="56"/>
      <c r="K116" s="33" t="s">
        <v>789</v>
      </c>
      <c r="L116" s="57" t="s">
        <v>15</v>
      </c>
      <c r="M116" s="33" t="s">
        <v>798</v>
      </c>
    </row>
    <row r="117" spans="1:13" ht="120" x14ac:dyDescent="0.25">
      <c r="A117" s="37" t="s">
        <v>753</v>
      </c>
      <c r="B117" s="59"/>
      <c r="C117" s="59"/>
      <c r="D117" s="37" t="s">
        <v>787</v>
      </c>
      <c r="E117" s="57" t="s">
        <v>15</v>
      </c>
      <c r="F117" s="37" t="s">
        <v>799</v>
      </c>
      <c r="G117" s="58" t="s">
        <v>474</v>
      </c>
      <c r="H117" s="37" t="s">
        <v>756</v>
      </c>
      <c r="I117" s="59"/>
      <c r="J117" s="59"/>
      <c r="K117" s="37" t="s">
        <v>789</v>
      </c>
      <c r="L117" s="57" t="s">
        <v>15</v>
      </c>
      <c r="M117" s="37" t="s">
        <v>800</v>
      </c>
    </row>
    <row r="118" spans="1:13" ht="120" x14ac:dyDescent="0.25">
      <c r="A118" s="33" t="s">
        <v>753</v>
      </c>
      <c r="B118" s="56"/>
      <c r="C118" s="56"/>
      <c r="D118" s="33" t="s">
        <v>787</v>
      </c>
      <c r="E118" s="57" t="s">
        <v>15</v>
      </c>
      <c r="F118" s="33" t="s">
        <v>801</v>
      </c>
      <c r="G118" s="58" t="s">
        <v>474</v>
      </c>
      <c r="H118" s="33" t="s">
        <v>756</v>
      </c>
      <c r="I118" s="56"/>
      <c r="J118" s="56"/>
      <c r="K118" s="33" t="s">
        <v>789</v>
      </c>
      <c r="L118" s="57" t="s">
        <v>15</v>
      </c>
      <c r="M118" s="33" t="s">
        <v>802</v>
      </c>
    </row>
    <row r="119" spans="1:13" ht="120" x14ac:dyDescent="0.25">
      <c r="A119" s="37" t="s">
        <v>753</v>
      </c>
      <c r="B119" s="59"/>
      <c r="C119" s="59"/>
      <c r="D119" s="37" t="s">
        <v>787</v>
      </c>
      <c r="E119" s="60" t="s">
        <v>18</v>
      </c>
      <c r="F119" s="37" t="s">
        <v>803</v>
      </c>
      <c r="G119" s="58" t="s">
        <v>474</v>
      </c>
      <c r="H119" s="37" t="s">
        <v>756</v>
      </c>
      <c r="I119" s="59"/>
      <c r="J119" s="59"/>
      <c r="K119" s="37" t="s">
        <v>789</v>
      </c>
      <c r="L119" s="60" t="s">
        <v>18</v>
      </c>
      <c r="M119" s="37" t="s">
        <v>804</v>
      </c>
    </row>
    <row r="120" spans="1:13" ht="120" x14ac:dyDescent="0.25">
      <c r="A120" s="33" t="s">
        <v>753</v>
      </c>
      <c r="B120" s="56"/>
      <c r="C120" s="56"/>
      <c r="D120" s="33" t="s">
        <v>787</v>
      </c>
      <c r="E120" s="60" t="s">
        <v>18</v>
      </c>
      <c r="F120" s="33" t="s">
        <v>805</v>
      </c>
      <c r="G120" s="58" t="s">
        <v>474</v>
      </c>
      <c r="H120" s="33" t="s">
        <v>756</v>
      </c>
      <c r="I120" s="56"/>
      <c r="J120" s="56"/>
      <c r="K120" s="33" t="s">
        <v>789</v>
      </c>
      <c r="L120" s="60" t="s">
        <v>18</v>
      </c>
      <c r="M120" s="33" t="s">
        <v>806</v>
      </c>
    </row>
    <row r="121" spans="1:13" ht="120" x14ac:dyDescent="0.25">
      <c r="A121" s="37" t="s">
        <v>753</v>
      </c>
      <c r="B121" s="59"/>
      <c r="C121" s="59"/>
      <c r="D121" s="37" t="s">
        <v>807</v>
      </c>
      <c r="E121" s="58" t="s">
        <v>21</v>
      </c>
      <c r="F121" s="37" t="s">
        <v>808</v>
      </c>
      <c r="G121" s="58" t="s">
        <v>474</v>
      </c>
      <c r="H121" s="37" t="s">
        <v>756</v>
      </c>
      <c r="I121" s="59"/>
      <c r="J121" s="59"/>
      <c r="K121" s="37" t="s">
        <v>809</v>
      </c>
      <c r="L121" s="58" t="s">
        <v>21</v>
      </c>
      <c r="M121" s="37" t="s">
        <v>810</v>
      </c>
    </row>
    <row r="122" spans="1:13" ht="120" x14ac:dyDescent="0.25">
      <c r="A122" s="33" t="s">
        <v>753</v>
      </c>
      <c r="B122" s="56"/>
      <c r="C122" s="56"/>
      <c r="D122" s="33" t="s">
        <v>807</v>
      </c>
      <c r="E122" s="57" t="s">
        <v>15</v>
      </c>
      <c r="F122" s="33" t="s">
        <v>811</v>
      </c>
      <c r="G122" s="58" t="s">
        <v>474</v>
      </c>
      <c r="H122" s="33" t="s">
        <v>756</v>
      </c>
      <c r="I122" s="56"/>
      <c r="J122" s="56"/>
      <c r="K122" s="33" t="s">
        <v>809</v>
      </c>
      <c r="L122" s="57" t="s">
        <v>15</v>
      </c>
      <c r="M122" s="33" t="s">
        <v>812</v>
      </c>
    </row>
    <row r="123" spans="1:13" ht="120" x14ac:dyDescent="0.25">
      <c r="A123" s="37" t="s">
        <v>753</v>
      </c>
      <c r="B123" s="59"/>
      <c r="C123" s="59"/>
      <c r="D123" s="37" t="s">
        <v>807</v>
      </c>
      <c r="E123" s="60" t="s">
        <v>18</v>
      </c>
      <c r="F123" s="37" t="s">
        <v>813</v>
      </c>
      <c r="G123" s="58" t="s">
        <v>474</v>
      </c>
      <c r="H123" s="37" t="s">
        <v>756</v>
      </c>
      <c r="I123" s="59"/>
      <c r="J123" s="59"/>
      <c r="K123" s="37" t="s">
        <v>809</v>
      </c>
      <c r="L123" s="60" t="s">
        <v>18</v>
      </c>
      <c r="M123" s="37" t="s">
        <v>814</v>
      </c>
    </row>
    <row r="124" spans="1:13" ht="120" x14ac:dyDescent="0.25">
      <c r="A124" s="33" t="s">
        <v>753</v>
      </c>
      <c r="B124" s="56"/>
      <c r="C124" s="56"/>
      <c r="D124" s="33" t="s">
        <v>807</v>
      </c>
      <c r="E124" s="60" t="s">
        <v>18</v>
      </c>
      <c r="F124" s="33" t="s">
        <v>815</v>
      </c>
      <c r="G124" s="58" t="s">
        <v>474</v>
      </c>
      <c r="H124" s="33" t="s">
        <v>756</v>
      </c>
      <c r="I124" s="56"/>
      <c r="J124" s="56"/>
      <c r="K124" s="33" t="s">
        <v>809</v>
      </c>
      <c r="L124" s="60" t="s">
        <v>18</v>
      </c>
      <c r="M124" s="33" t="s">
        <v>816</v>
      </c>
    </row>
    <row r="125" spans="1:13" ht="108" x14ac:dyDescent="0.25">
      <c r="A125" s="37" t="s">
        <v>817</v>
      </c>
      <c r="B125" s="59"/>
      <c r="C125" s="59"/>
      <c r="D125" s="37" t="s">
        <v>818</v>
      </c>
      <c r="E125" s="58" t="s">
        <v>21</v>
      </c>
      <c r="F125" s="37" t="s">
        <v>819</v>
      </c>
      <c r="G125" s="58" t="s">
        <v>474</v>
      </c>
      <c r="H125" s="37" t="s">
        <v>565</v>
      </c>
      <c r="I125" s="59"/>
      <c r="J125" s="59"/>
      <c r="K125" s="37" t="s">
        <v>820</v>
      </c>
      <c r="L125" s="58" t="s">
        <v>21</v>
      </c>
      <c r="M125" s="37" t="s">
        <v>821</v>
      </c>
    </row>
    <row r="126" spans="1:13" ht="108" x14ac:dyDescent="0.25">
      <c r="A126" s="33" t="s">
        <v>817</v>
      </c>
      <c r="B126" s="56"/>
      <c r="C126" s="56"/>
      <c r="D126" s="33" t="s">
        <v>818</v>
      </c>
      <c r="E126" s="57" t="s">
        <v>15</v>
      </c>
      <c r="F126" s="33" t="s">
        <v>822</v>
      </c>
      <c r="G126" s="58" t="s">
        <v>474</v>
      </c>
      <c r="H126" s="33" t="s">
        <v>565</v>
      </c>
      <c r="I126" s="56"/>
      <c r="J126" s="56"/>
      <c r="K126" s="33" t="s">
        <v>820</v>
      </c>
      <c r="L126" s="57" t="s">
        <v>15</v>
      </c>
      <c r="M126" s="33" t="s">
        <v>823</v>
      </c>
    </row>
    <row r="127" spans="1:13" ht="72" x14ac:dyDescent="0.25">
      <c r="A127" s="37" t="s">
        <v>817</v>
      </c>
      <c r="B127" s="59"/>
      <c r="C127" s="59"/>
      <c r="D127" s="37" t="s">
        <v>818</v>
      </c>
      <c r="E127" s="57" t="s">
        <v>15</v>
      </c>
      <c r="F127" s="37" t="s">
        <v>824</v>
      </c>
      <c r="G127" s="58" t="s">
        <v>474</v>
      </c>
      <c r="H127" s="37" t="s">
        <v>825</v>
      </c>
      <c r="I127" s="59"/>
      <c r="J127" s="59"/>
      <c r="K127" s="37" t="s">
        <v>826</v>
      </c>
      <c r="L127" s="57" t="s">
        <v>15</v>
      </c>
      <c r="M127" s="37" t="s">
        <v>827</v>
      </c>
    </row>
    <row r="128" spans="1:13" ht="108" x14ac:dyDescent="0.25">
      <c r="A128" s="33" t="s">
        <v>817</v>
      </c>
      <c r="B128" s="56"/>
      <c r="C128" s="56"/>
      <c r="D128" s="33" t="s">
        <v>818</v>
      </c>
      <c r="E128" s="60" t="s">
        <v>18</v>
      </c>
      <c r="F128" s="33" t="s">
        <v>828</v>
      </c>
      <c r="G128" s="58" t="s">
        <v>474</v>
      </c>
      <c r="H128" s="33" t="s">
        <v>565</v>
      </c>
      <c r="I128" s="56"/>
      <c r="J128" s="56"/>
      <c r="K128" s="33" t="s">
        <v>820</v>
      </c>
      <c r="L128" s="60" t="s">
        <v>18</v>
      </c>
      <c r="M128" s="33" t="s">
        <v>829</v>
      </c>
    </row>
    <row r="129" spans="1:13" ht="108" x14ac:dyDescent="0.25">
      <c r="A129" s="37" t="s">
        <v>817</v>
      </c>
      <c r="B129" s="59"/>
      <c r="C129" s="59"/>
      <c r="D129" s="37" t="s">
        <v>830</v>
      </c>
      <c r="E129" s="57" t="s">
        <v>15</v>
      </c>
      <c r="F129" s="37" t="s">
        <v>831</v>
      </c>
      <c r="G129" s="58" t="s">
        <v>474</v>
      </c>
      <c r="H129" s="37" t="s">
        <v>565</v>
      </c>
      <c r="I129" s="59"/>
      <c r="J129" s="59"/>
      <c r="K129" s="37" t="s">
        <v>832</v>
      </c>
      <c r="L129" s="57" t="s">
        <v>15</v>
      </c>
      <c r="M129" s="37" t="s">
        <v>833</v>
      </c>
    </row>
    <row r="130" spans="1:13" ht="108" x14ac:dyDescent="0.25">
      <c r="A130" s="33" t="s">
        <v>817</v>
      </c>
      <c r="B130" s="56"/>
      <c r="C130" s="56"/>
      <c r="D130" s="33" t="s">
        <v>830</v>
      </c>
      <c r="E130" s="57" t="s">
        <v>15</v>
      </c>
      <c r="F130" s="33" t="s">
        <v>834</v>
      </c>
      <c r="G130" s="58" t="s">
        <v>474</v>
      </c>
      <c r="H130" s="33" t="s">
        <v>565</v>
      </c>
      <c r="I130" s="56"/>
      <c r="J130" s="56"/>
      <c r="K130" s="33" t="s">
        <v>835</v>
      </c>
      <c r="L130" s="57" t="s">
        <v>15</v>
      </c>
      <c r="M130" s="33" t="s">
        <v>836</v>
      </c>
    </row>
    <row r="131" spans="1:13" ht="108" x14ac:dyDescent="0.25">
      <c r="A131" s="37" t="s">
        <v>817</v>
      </c>
      <c r="B131" s="59"/>
      <c r="C131" s="59"/>
      <c r="D131" s="37" t="s">
        <v>830</v>
      </c>
      <c r="E131" s="57" t="s">
        <v>15</v>
      </c>
      <c r="F131" s="37" t="s">
        <v>837</v>
      </c>
      <c r="G131" s="58" t="s">
        <v>474</v>
      </c>
      <c r="H131" s="37" t="s">
        <v>565</v>
      </c>
      <c r="I131" s="59"/>
      <c r="J131" s="59"/>
      <c r="K131" s="37" t="s">
        <v>838</v>
      </c>
      <c r="L131" s="57" t="s">
        <v>15</v>
      </c>
      <c r="M131" s="37" t="s">
        <v>839</v>
      </c>
    </row>
    <row r="132" spans="1:13" ht="72" x14ac:dyDescent="0.25">
      <c r="A132" s="33" t="s">
        <v>840</v>
      </c>
      <c r="B132" s="56"/>
      <c r="C132" s="56"/>
      <c r="D132" s="33" t="s">
        <v>841</v>
      </c>
      <c r="E132" s="57" t="s">
        <v>15</v>
      </c>
      <c r="F132" s="33" t="s">
        <v>842</v>
      </c>
      <c r="G132" s="58" t="s">
        <v>474</v>
      </c>
      <c r="H132" s="33" t="s">
        <v>649</v>
      </c>
      <c r="I132" s="56"/>
      <c r="J132" s="56"/>
      <c r="K132" s="33" t="s">
        <v>843</v>
      </c>
      <c r="L132" s="57" t="s">
        <v>15</v>
      </c>
      <c r="M132" s="33" t="s">
        <v>844</v>
      </c>
    </row>
    <row r="133" spans="1:13" ht="72" x14ac:dyDescent="0.25">
      <c r="A133" s="37" t="s">
        <v>840</v>
      </c>
      <c r="B133" s="59"/>
      <c r="C133" s="59"/>
      <c r="D133" s="37" t="s">
        <v>841</v>
      </c>
      <c r="E133" s="60" t="s">
        <v>18</v>
      </c>
      <c r="F133" s="37" t="s">
        <v>845</v>
      </c>
      <c r="G133" s="58" t="s">
        <v>474</v>
      </c>
      <c r="H133" s="37" t="s">
        <v>649</v>
      </c>
      <c r="I133" s="59"/>
      <c r="J133" s="59"/>
      <c r="K133" s="37" t="s">
        <v>843</v>
      </c>
      <c r="L133" s="60" t="s">
        <v>18</v>
      </c>
      <c r="M133" s="37" t="s">
        <v>846</v>
      </c>
    </row>
    <row r="134" spans="1:13" ht="72" x14ac:dyDescent="0.25">
      <c r="A134" s="33" t="s">
        <v>840</v>
      </c>
      <c r="B134" s="56"/>
      <c r="C134" s="56"/>
      <c r="D134" s="33" t="s">
        <v>841</v>
      </c>
      <c r="E134" s="60" t="s">
        <v>18</v>
      </c>
      <c r="F134" s="33" t="s">
        <v>847</v>
      </c>
      <c r="G134" s="58" t="s">
        <v>474</v>
      </c>
      <c r="H134" s="33" t="s">
        <v>649</v>
      </c>
      <c r="I134" s="56"/>
      <c r="J134" s="56"/>
      <c r="K134" s="33" t="s">
        <v>843</v>
      </c>
      <c r="L134" s="60" t="s">
        <v>18</v>
      </c>
      <c r="M134" s="33" t="s">
        <v>848</v>
      </c>
    </row>
    <row r="135" spans="1:13" ht="72" x14ac:dyDescent="0.25">
      <c r="A135" s="37" t="s">
        <v>840</v>
      </c>
      <c r="B135" s="59"/>
      <c r="C135" s="59"/>
      <c r="D135" s="37" t="s">
        <v>841</v>
      </c>
      <c r="E135" s="57" t="s">
        <v>15</v>
      </c>
      <c r="F135" s="37" t="s">
        <v>849</v>
      </c>
      <c r="G135" s="58" t="s">
        <v>474</v>
      </c>
      <c r="H135" s="37" t="s">
        <v>850</v>
      </c>
      <c r="I135" s="59"/>
      <c r="J135" s="59"/>
      <c r="K135" s="37" t="s">
        <v>851</v>
      </c>
      <c r="L135" s="57" t="s">
        <v>15</v>
      </c>
      <c r="M135" s="37" t="s">
        <v>852</v>
      </c>
    </row>
    <row r="136" spans="1:13" ht="72" x14ac:dyDescent="0.25">
      <c r="A136" s="33" t="s">
        <v>840</v>
      </c>
      <c r="B136" s="56"/>
      <c r="C136" s="56"/>
      <c r="D136" s="33" t="s">
        <v>841</v>
      </c>
      <c r="E136" s="57" t="s">
        <v>15</v>
      </c>
      <c r="F136" s="33" t="s">
        <v>853</v>
      </c>
      <c r="G136" s="58" t="s">
        <v>474</v>
      </c>
      <c r="H136" s="33" t="s">
        <v>850</v>
      </c>
      <c r="I136" s="56"/>
      <c r="J136" s="56"/>
      <c r="K136" s="33" t="s">
        <v>851</v>
      </c>
      <c r="L136" s="57" t="s">
        <v>15</v>
      </c>
      <c r="M136" s="33" t="s">
        <v>854</v>
      </c>
    </row>
    <row r="137" spans="1:13" ht="72" x14ac:dyDescent="0.25">
      <c r="A137" s="37" t="s">
        <v>840</v>
      </c>
      <c r="B137" s="59"/>
      <c r="C137" s="59"/>
      <c r="D137" s="37" t="s">
        <v>841</v>
      </c>
      <c r="E137" s="60" t="s">
        <v>18</v>
      </c>
      <c r="F137" s="37" t="s">
        <v>855</v>
      </c>
      <c r="G137" s="58" t="s">
        <v>474</v>
      </c>
      <c r="H137" s="37" t="s">
        <v>649</v>
      </c>
      <c r="I137" s="59"/>
      <c r="J137" s="59"/>
      <c r="K137" s="37" t="s">
        <v>856</v>
      </c>
      <c r="L137" s="60" t="s">
        <v>18</v>
      </c>
      <c r="M137" s="37" t="s">
        <v>857</v>
      </c>
    </row>
    <row r="138" spans="1:13" ht="72" x14ac:dyDescent="0.25">
      <c r="A138" s="33" t="s">
        <v>840</v>
      </c>
      <c r="B138" s="56"/>
      <c r="C138" s="56"/>
      <c r="D138" s="33" t="s">
        <v>841</v>
      </c>
      <c r="E138" s="58" t="s">
        <v>21</v>
      </c>
      <c r="F138" s="33" t="s">
        <v>858</v>
      </c>
      <c r="G138" s="58" t="s">
        <v>474</v>
      </c>
      <c r="H138" s="33" t="s">
        <v>649</v>
      </c>
      <c r="I138" s="56"/>
      <c r="J138" s="56"/>
      <c r="K138" s="33" t="s">
        <v>650</v>
      </c>
      <c r="L138" s="58" t="s">
        <v>21</v>
      </c>
      <c r="M138" s="33" t="s">
        <v>859</v>
      </c>
    </row>
    <row r="139" spans="1:13" ht="72" x14ac:dyDescent="0.25">
      <c r="A139" s="37" t="s">
        <v>840</v>
      </c>
      <c r="B139" s="59"/>
      <c r="C139" s="62" t="s">
        <v>461</v>
      </c>
      <c r="D139" s="37" t="s">
        <v>860</v>
      </c>
      <c r="E139" s="60" t="s">
        <v>18</v>
      </c>
      <c r="F139" s="37" t="s">
        <v>861</v>
      </c>
      <c r="G139" s="58" t="s">
        <v>474</v>
      </c>
      <c r="H139" s="37" t="s">
        <v>850</v>
      </c>
      <c r="I139" s="59"/>
      <c r="J139" s="62" t="s">
        <v>461</v>
      </c>
      <c r="K139" s="37" t="s">
        <v>851</v>
      </c>
      <c r="L139" s="60" t="s">
        <v>18</v>
      </c>
      <c r="M139" s="37" t="s">
        <v>862</v>
      </c>
    </row>
    <row r="140" spans="1:13" ht="72" x14ac:dyDescent="0.25">
      <c r="A140" s="33" t="s">
        <v>840</v>
      </c>
      <c r="B140" s="56"/>
      <c r="C140" s="56"/>
      <c r="D140" s="33" t="s">
        <v>860</v>
      </c>
      <c r="E140" s="60" t="s">
        <v>18</v>
      </c>
      <c r="F140" s="33" t="s">
        <v>863</v>
      </c>
      <c r="G140" s="58" t="s">
        <v>474</v>
      </c>
      <c r="H140" s="33" t="s">
        <v>649</v>
      </c>
      <c r="I140" s="56"/>
      <c r="J140" s="56"/>
      <c r="K140" s="33" t="s">
        <v>864</v>
      </c>
      <c r="L140" s="60" t="s">
        <v>18</v>
      </c>
      <c r="M140" s="33" t="s">
        <v>865</v>
      </c>
    </row>
    <row r="141" spans="1:13" ht="72" x14ac:dyDescent="0.25">
      <c r="A141" s="37" t="s">
        <v>840</v>
      </c>
      <c r="B141" s="59"/>
      <c r="C141" s="59"/>
      <c r="D141" s="37" t="s">
        <v>866</v>
      </c>
      <c r="E141" s="60" t="s">
        <v>18</v>
      </c>
      <c r="F141" s="37" t="s">
        <v>867</v>
      </c>
      <c r="G141" s="58" t="s">
        <v>474</v>
      </c>
      <c r="H141" s="37" t="s">
        <v>649</v>
      </c>
      <c r="I141" s="59"/>
      <c r="J141" s="59"/>
      <c r="K141" s="37" t="s">
        <v>868</v>
      </c>
      <c r="L141" s="60" t="s">
        <v>18</v>
      </c>
      <c r="M141" s="37" t="s">
        <v>869</v>
      </c>
    </row>
    <row r="142" spans="1:13" ht="120" x14ac:dyDescent="0.25">
      <c r="A142" s="33" t="s">
        <v>840</v>
      </c>
      <c r="B142" s="56"/>
      <c r="C142" s="62" t="s">
        <v>461</v>
      </c>
      <c r="D142" s="33" t="s">
        <v>870</v>
      </c>
      <c r="E142" s="58" t="s">
        <v>21</v>
      </c>
      <c r="F142" s="33" t="s">
        <v>871</v>
      </c>
      <c r="G142" s="58" t="s">
        <v>474</v>
      </c>
      <c r="H142" s="33" t="s">
        <v>542</v>
      </c>
      <c r="I142" s="56"/>
      <c r="J142" s="62" t="s">
        <v>461</v>
      </c>
      <c r="K142" s="33" t="s">
        <v>872</v>
      </c>
      <c r="L142" s="58" t="s">
        <v>21</v>
      </c>
      <c r="M142" s="33" t="s">
        <v>873</v>
      </c>
    </row>
    <row r="143" spans="1:13" ht="120" x14ac:dyDescent="0.25">
      <c r="A143" s="37" t="s">
        <v>840</v>
      </c>
      <c r="B143" s="59"/>
      <c r="C143" s="59"/>
      <c r="D143" s="37" t="s">
        <v>870</v>
      </c>
      <c r="E143" s="57" t="s">
        <v>15</v>
      </c>
      <c r="F143" s="37" t="s">
        <v>874</v>
      </c>
      <c r="G143" s="58" t="s">
        <v>474</v>
      </c>
      <c r="H143" s="37" t="s">
        <v>542</v>
      </c>
      <c r="I143" s="59"/>
      <c r="J143" s="59"/>
      <c r="K143" s="37" t="s">
        <v>872</v>
      </c>
      <c r="L143" s="57" t="s">
        <v>15</v>
      </c>
      <c r="M143" s="37" t="s">
        <v>875</v>
      </c>
    </row>
    <row r="144" spans="1:13" ht="120" x14ac:dyDescent="0.25">
      <c r="A144" s="33" t="s">
        <v>840</v>
      </c>
      <c r="B144" s="56"/>
      <c r="C144" s="56"/>
      <c r="D144" s="33" t="s">
        <v>870</v>
      </c>
      <c r="E144" s="57" t="s">
        <v>15</v>
      </c>
      <c r="F144" s="33" t="s">
        <v>876</v>
      </c>
      <c r="G144" s="58" t="s">
        <v>474</v>
      </c>
      <c r="H144" s="33" t="s">
        <v>542</v>
      </c>
      <c r="I144" s="56"/>
      <c r="J144" s="56"/>
      <c r="K144" s="33" t="s">
        <v>872</v>
      </c>
      <c r="L144" s="57" t="s">
        <v>15</v>
      </c>
      <c r="M144" s="33" t="s">
        <v>877</v>
      </c>
    </row>
    <row r="145" spans="1:13" ht="120" x14ac:dyDescent="0.25">
      <c r="A145" s="37" t="s">
        <v>840</v>
      </c>
      <c r="B145" s="59"/>
      <c r="C145" s="59"/>
      <c r="D145" s="37" t="s">
        <v>870</v>
      </c>
      <c r="E145" s="60" t="s">
        <v>18</v>
      </c>
      <c r="F145" s="37" t="s">
        <v>878</v>
      </c>
      <c r="G145" s="58" t="s">
        <v>474</v>
      </c>
      <c r="H145" s="37" t="s">
        <v>542</v>
      </c>
      <c r="I145" s="59"/>
      <c r="J145" s="59"/>
      <c r="K145" s="37" t="s">
        <v>872</v>
      </c>
      <c r="L145" s="60" t="s">
        <v>18</v>
      </c>
      <c r="M145" s="37" t="s">
        <v>879</v>
      </c>
    </row>
    <row r="146" spans="1:13" ht="120" x14ac:dyDescent="0.25">
      <c r="A146" s="33" t="s">
        <v>840</v>
      </c>
      <c r="B146" s="56"/>
      <c r="C146" s="56"/>
      <c r="D146" s="33" t="s">
        <v>870</v>
      </c>
      <c r="E146" s="60" t="s">
        <v>18</v>
      </c>
      <c r="F146" s="33" t="s">
        <v>880</v>
      </c>
      <c r="G146" s="58" t="s">
        <v>474</v>
      </c>
      <c r="H146" s="33" t="s">
        <v>542</v>
      </c>
      <c r="I146" s="56"/>
      <c r="J146" s="56"/>
      <c r="K146" s="33" t="s">
        <v>872</v>
      </c>
      <c r="L146" s="60" t="s">
        <v>18</v>
      </c>
      <c r="M146" s="33" t="s">
        <v>881</v>
      </c>
    </row>
    <row r="147" spans="1:13" ht="120" x14ac:dyDescent="0.25">
      <c r="A147" s="37" t="s">
        <v>882</v>
      </c>
      <c r="B147" s="59"/>
      <c r="C147" s="62" t="s">
        <v>461</v>
      </c>
      <c r="D147" s="37" t="s">
        <v>883</v>
      </c>
      <c r="E147" s="57" t="s">
        <v>15</v>
      </c>
      <c r="F147" s="37" t="s">
        <v>884</v>
      </c>
      <c r="G147" s="58" t="s">
        <v>474</v>
      </c>
      <c r="H147" s="37" t="s">
        <v>542</v>
      </c>
      <c r="I147" s="59"/>
      <c r="J147" s="62" t="s">
        <v>461</v>
      </c>
      <c r="K147" s="37" t="s">
        <v>885</v>
      </c>
      <c r="L147" s="57" t="s">
        <v>15</v>
      </c>
      <c r="M147" s="37" t="s">
        <v>886</v>
      </c>
    </row>
    <row r="148" spans="1:13" ht="120" x14ac:dyDescent="0.25">
      <c r="A148" s="33" t="s">
        <v>882</v>
      </c>
      <c r="B148" s="56"/>
      <c r="C148" s="56"/>
      <c r="D148" s="33" t="s">
        <v>883</v>
      </c>
      <c r="E148" s="60" t="s">
        <v>18</v>
      </c>
      <c r="F148" s="33" t="s">
        <v>887</v>
      </c>
      <c r="G148" s="58" t="s">
        <v>474</v>
      </c>
      <c r="H148" s="33" t="s">
        <v>542</v>
      </c>
      <c r="I148" s="56"/>
      <c r="J148" s="56"/>
      <c r="K148" s="33" t="s">
        <v>885</v>
      </c>
      <c r="L148" s="60" t="s">
        <v>18</v>
      </c>
      <c r="M148" s="33" t="s">
        <v>888</v>
      </c>
    </row>
    <row r="149" spans="1:13" ht="96" x14ac:dyDescent="0.25">
      <c r="A149" s="37" t="s">
        <v>882</v>
      </c>
      <c r="B149" s="59"/>
      <c r="C149" s="59"/>
      <c r="D149" s="37" t="s">
        <v>883</v>
      </c>
      <c r="E149" s="60" t="s">
        <v>18</v>
      </c>
      <c r="F149" s="37" t="s">
        <v>889</v>
      </c>
      <c r="G149" s="58" t="s">
        <v>474</v>
      </c>
      <c r="H149" s="37" t="s">
        <v>850</v>
      </c>
      <c r="I149" s="59"/>
      <c r="J149" s="59"/>
      <c r="K149" s="37" t="s">
        <v>890</v>
      </c>
      <c r="L149" s="60" t="s">
        <v>18</v>
      </c>
      <c r="M149" s="37" t="s">
        <v>891</v>
      </c>
    </row>
    <row r="150" spans="1:13" ht="96" x14ac:dyDescent="0.25">
      <c r="A150" s="33" t="s">
        <v>882</v>
      </c>
      <c r="B150" s="56"/>
      <c r="C150" s="56"/>
      <c r="D150" s="33" t="s">
        <v>883</v>
      </c>
      <c r="E150" s="60" t="s">
        <v>18</v>
      </c>
      <c r="F150" s="33" t="s">
        <v>892</v>
      </c>
      <c r="G150" s="58" t="s">
        <v>474</v>
      </c>
      <c r="H150" s="33" t="s">
        <v>850</v>
      </c>
      <c r="I150" s="56"/>
      <c r="J150" s="56"/>
      <c r="K150" s="33" t="s">
        <v>890</v>
      </c>
      <c r="L150" s="60" t="s">
        <v>18</v>
      </c>
      <c r="M150" s="33" t="s">
        <v>893</v>
      </c>
    </row>
    <row r="151" spans="1:13" ht="96" x14ac:dyDescent="0.25">
      <c r="A151" s="37" t="s">
        <v>882</v>
      </c>
      <c r="B151" s="59"/>
      <c r="C151" s="59"/>
      <c r="D151" s="37" t="s">
        <v>883</v>
      </c>
      <c r="E151" s="60" t="s">
        <v>18</v>
      </c>
      <c r="F151" s="37" t="s">
        <v>894</v>
      </c>
      <c r="G151" s="58" t="s">
        <v>474</v>
      </c>
      <c r="H151" s="37" t="s">
        <v>687</v>
      </c>
      <c r="I151" s="59"/>
      <c r="J151" s="59"/>
      <c r="K151" s="37" t="s">
        <v>895</v>
      </c>
      <c r="L151" s="60" t="s">
        <v>18</v>
      </c>
      <c r="M151" s="37" t="s">
        <v>896</v>
      </c>
    </row>
    <row r="152" spans="1:13" ht="96" x14ac:dyDescent="0.25">
      <c r="A152" s="33" t="s">
        <v>882</v>
      </c>
      <c r="B152" s="56"/>
      <c r="C152" s="56"/>
      <c r="D152" s="33" t="s">
        <v>897</v>
      </c>
      <c r="E152" s="57" t="s">
        <v>15</v>
      </c>
      <c r="F152" s="33" t="s">
        <v>898</v>
      </c>
      <c r="G152" s="58" t="s">
        <v>474</v>
      </c>
      <c r="H152" s="33" t="s">
        <v>687</v>
      </c>
      <c r="I152" s="56"/>
      <c r="J152" s="56"/>
      <c r="K152" s="33" t="s">
        <v>899</v>
      </c>
      <c r="L152" s="57" t="s">
        <v>15</v>
      </c>
      <c r="M152" s="33" t="s">
        <v>900</v>
      </c>
    </row>
    <row r="153" spans="1:13" ht="96" x14ac:dyDescent="0.25">
      <c r="A153" s="37" t="s">
        <v>882</v>
      </c>
      <c r="B153" s="59"/>
      <c r="C153" s="59"/>
      <c r="D153" s="37" t="s">
        <v>901</v>
      </c>
      <c r="E153" s="57" t="s">
        <v>15</v>
      </c>
      <c r="F153" s="37" t="s">
        <v>902</v>
      </c>
      <c r="G153" s="58" t="s">
        <v>474</v>
      </c>
      <c r="H153" s="37" t="s">
        <v>645</v>
      </c>
      <c r="I153" s="59"/>
      <c r="J153" s="59"/>
      <c r="K153" s="37" t="s">
        <v>646</v>
      </c>
      <c r="L153" s="57" t="s">
        <v>15</v>
      </c>
      <c r="M153" s="37" t="s">
        <v>903</v>
      </c>
    </row>
    <row r="154" spans="1:13" ht="96" x14ac:dyDescent="0.25">
      <c r="A154" s="33" t="s">
        <v>882</v>
      </c>
      <c r="B154" s="33" t="s">
        <v>904</v>
      </c>
      <c r="C154" s="62" t="s">
        <v>461</v>
      </c>
      <c r="D154" s="33" t="s">
        <v>905</v>
      </c>
      <c r="E154" s="58" t="s">
        <v>21</v>
      </c>
      <c r="F154" s="33" t="s">
        <v>906</v>
      </c>
      <c r="G154" s="58" t="s">
        <v>474</v>
      </c>
      <c r="H154" s="33" t="s">
        <v>850</v>
      </c>
      <c r="I154" s="56"/>
      <c r="J154" s="62" t="s">
        <v>461</v>
      </c>
      <c r="K154" s="33" t="s">
        <v>907</v>
      </c>
      <c r="L154" s="58" t="s">
        <v>21</v>
      </c>
      <c r="M154" s="33" t="s">
        <v>908</v>
      </c>
    </row>
    <row r="155" spans="1:13" ht="96" x14ac:dyDescent="0.25">
      <c r="A155" s="37" t="s">
        <v>882</v>
      </c>
      <c r="B155" s="59"/>
      <c r="C155" s="59"/>
      <c r="D155" s="37" t="s">
        <v>905</v>
      </c>
      <c r="E155" s="57" t="s">
        <v>15</v>
      </c>
      <c r="F155" s="37" t="s">
        <v>909</v>
      </c>
      <c r="G155" s="58" t="s">
        <v>474</v>
      </c>
      <c r="H155" s="37" t="s">
        <v>850</v>
      </c>
      <c r="I155" s="59"/>
      <c r="J155" s="59"/>
      <c r="K155" s="37" t="s">
        <v>907</v>
      </c>
      <c r="L155" s="57" t="s">
        <v>15</v>
      </c>
      <c r="M155" s="37" t="s">
        <v>910</v>
      </c>
    </row>
    <row r="156" spans="1:13" ht="96" x14ac:dyDescent="0.25">
      <c r="A156" s="33" t="s">
        <v>882</v>
      </c>
      <c r="B156" s="56"/>
      <c r="C156" s="56"/>
      <c r="D156" s="33" t="s">
        <v>905</v>
      </c>
      <c r="E156" s="57" t="s">
        <v>15</v>
      </c>
      <c r="F156" s="33" t="s">
        <v>911</v>
      </c>
      <c r="G156" s="58" t="s">
        <v>474</v>
      </c>
      <c r="H156" s="33" t="s">
        <v>649</v>
      </c>
      <c r="I156" s="56"/>
      <c r="J156" s="56"/>
      <c r="K156" s="33" t="s">
        <v>868</v>
      </c>
      <c r="L156" s="57" t="s">
        <v>15</v>
      </c>
      <c r="M156" s="33" t="s">
        <v>912</v>
      </c>
    </row>
    <row r="157" spans="1:13" ht="96" x14ac:dyDescent="0.25">
      <c r="A157" s="37" t="s">
        <v>882</v>
      </c>
      <c r="B157" s="59"/>
      <c r="C157" s="59"/>
      <c r="D157" s="37" t="s">
        <v>905</v>
      </c>
      <c r="E157" s="60" t="s">
        <v>18</v>
      </c>
      <c r="F157" s="37" t="s">
        <v>913</v>
      </c>
      <c r="G157" s="58" t="s">
        <v>474</v>
      </c>
      <c r="H157" s="37" t="s">
        <v>850</v>
      </c>
      <c r="I157" s="59"/>
      <c r="J157" s="59"/>
      <c r="K157" s="37" t="s">
        <v>907</v>
      </c>
      <c r="L157" s="60" t="s">
        <v>18</v>
      </c>
      <c r="M157" s="37" t="s">
        <v>914</v>
      </c>
    </row>
    <row r="158" spans="1:13" ht="96" x14ac:dyDescent="0.25">
      <c r="A158" s="33" t="s">
        <v>882</v>
      </c>
      <c r="B158" s="56"/>
      <c r="C158" s="56"/>
      <c r="D158" s="33" t="s">
        <v>905</v>
      </c>
      <c r="E158" s="60" t="s">
        <v>18</v>
      </c>
      <c r="F158" s="33" t="s">
        <v>915</v>
      </c>
      <c r="G158" s="58" t="s">
        <v>474</v>
      </c>
      <c r="H158" s="33" t="s">
        <v>850</v>
      </c>
      <c r="I158" s="56"/>
      <c r="J158" s="56"/>
      <c r="K158" s="33" t="s">
        <v>907</v>
      </c>
      <c r="L158" s="60" t="s">
        <v>18</v>
      </c>
      <c r="M158" s="33" t="s">
        <v>916</v>
      </c>
    </row>
    <row r="159" spans="1:13" ht="96" x14ac:dyDescent="0.25">
      <c r="A159" s="37" t="s">
        <v>882</v>
      </c>
      <c r="B159" s="59"/>
      <c r="C159" s="59"/>
      <c r="D159" s="37" t="s">
        <v>917</v>
      </c>
      <c r="E159" s="58" t="s">
        <v>21</v>
      </c>
      <c r="F159" s="37" t="s">
        <v>918</v>
      </c>
      <c r="G159" s="58" t="s">
        <v>474</v>
      </c>
      <c r="H159" s="37" t="s">
        <v>850</v>
      </c>
      <c r="I159" s="59"/>
      <c r="J159" s="59"/>
      <c r="K159" s="37" t="s">
        <v>919</v>
      </c>
      <c r="L159" s="58" t="s">
        <v>21</v>
      </c>
      <c r="M159" s="37" t="s">
        <v>920</v>
      </c>
    </row>
    <row r="160" spans="1:13" ht="96" x14ac:dyDescent="0.25">
      <c r="A160" s="33" t="s">
        <v>882</v>
      </c>
      <c r="B160" s="56"/>
      <c r="C160" s="56"/>
      <c r="D160" s="33" t="s">
        <v>917</v>
      </c>
      <c r="E160" s="57" t="s">
        <v>15</v>
      </c>
      <c r="F160" s="33" t="s">
        <v>921</v>
      </c>
      <c r="G160" s="61" t="s">
        <v>480</v>
      </c>
      <c r="H160" s="56"/>
      <c r="I160" s="56"/>
      <c r="J160" s="56"/>
      <c r="K160" s="56"/>
      <c r="L160" s="56"/>
      <c r="M160" s="56"/>
    </row>
    <row r="161" spans="1:13" ht="120" x14ac:dyDescent="0.25">
      <c r="A161" s="37" t="s">
        <v>882</v>
      </c>
      <c r="B161" s="59"/>
      <c r="C161" s="59"/>
      <c r="D161" s="37" t="s">
        <v>922</v>
      </c>
      <c r="E161" s="57" t="s">
        <v>15</v>
      </c>
      <c r="F161" s="37" t="s">
        <v>923</v>
      </c>
      <c r="G161" s="58" t="s">
        <v>474</v>
      </c>
      <c r="H161" s="37" t="s">
        <v>542</v>
      </c>
      <c r="I161" s="59"/>
      <c r="J161" s="59"/>
      <c r="K161" s="37" t="s">
        <v>924</v>
      </c>
      <c r="L161" s="57" t="s">
        <v>15</v>
      </c>
      <c r="M161" s="37" t="s">
        <v>925</v>
      </c>
    </row>
    <row r="162" spans="1:13" ht="120" x14ac:dyDescent="0.25">
      <c r="A162" s="33" t="s">
        <v>882</v>
      </c>
      <c r="B162" s="56"/>
      <c r="C162" s="56"/>
      <c r="D162" s="33" t="s">
        <v>922</v>
      </c>
      <c r="E162" s="57" t="s">
        <v>15</v>
      </c>
      <c r="F162" s="33" t="s">
        <v>926</v>
      </c>
      <c r="G162" s="58" t="s">
        <v>474</v>
      </c>
      <c r="H162" s="33" t="s">
        <v>542</v>
      </c>
      <c r="I162" s="56"/>
      <c r="J162" s="56"/>
      <c r="K162" s="33" t="s">
        <v>927</v>
      </c>
      <c r="L162" s="57" t="s">
        <v>15</v>
      </c>
      <c r="M162" s="33" t="s">
        <v>928</v>
      </c>
    </row>
    <row r="163" spans="1:13" ht="120" x14ac:dyDescent="0.25">
      <c r="A163" s="37" t="s">
        <v>882</v>
      </c>
      <c r="B163" s="59"/>
      <c r="C163" s="59"/>
      <c r="D163" s="37" t="s">
        <v>922</v>
      </c>
      <c r="E163" s="60" t="s">
        <v>18</v>
      </c>
      <c r="F163" s="37" t="s">
        <v>929</v>
      </c>
      <c r="G163" s="58" t="s">
        <v>474</v>
      </c>
      <c r="H163" s="37" t="s">
        <v>542</v>
      </c>
      <c r="I163" s="59"/>
      <c r="J163" s="59"/>
      <c r="K163" s="37" t="s">
        <v>924</v>
      </c>
      <c r="L163" s="60" t="s">
        <v>18</v>
      </c>
      <c r="M163" s="37" t="s">
        <v>930</v>
      </c>
    </row>
    <row r="164" spans="1:13" ht="120" x14ac:dyDescent="0.25">
      <c r="A164" s="33" t="s">
        <v>882</v>
      </c>
      <c r="B164" s="56"/>
      <c r="C164" s="56"/>
      <c r="D164" s="33" t="s">
        <v>922</v>
      </c>
      <c r="E164" s="60" t="s">
        <v>18</v>
      </c>
      <c r="F164" s="33" t="s">
        <v>931</v>
      </c>
      <c r="G164" s="58" t="s">
        <v>474</v>
      </c>
      <c r="H164" s="33" t="s">
        <v>542</v>
      </c>
      <c r="I164" s="56"/>
      <c r="J164" s="56"/>
      <c r="K164" s="33" t="s">
        <v>927</v>
      </c>
      <c r="L164" s="60" t="s">
        <v>18</v>
      </c>
      <c r="M164" s="33" t="s">
        <v>932</v>
      </c>
    </row>
    <row r="165" spans="1:13" ht="120" x14ac:dyDescent="0.25">
      <c r="A165" s="37" t="s">
        <v>933</v>
      </c>
      <c r="B165" s="59"/>
      <c r="C165" s="62" t="s">
        <v>461</v>
      </c>
      <c r="D165" s="37" t="s">
        <v>934</v>
      </c>
      <c r="E165" s="58" t="s">
        <v>21</v>
      </c>
      <c r="F165" s="37" t="s">
        <v>935</v>
      </c>
      <c r="G165" s="58" t="s">
        <v>474</v>
      </c>
      <c r="H165" s="37" t="s">
        <v>756</v>
      </c>
      <c r="I165" s="59"/>
      <c r="J165" s="62" t="s">
        <v>461</v>
      </c>
      <c r="K165" s="37" t="s">
        <v>936</v>
      </c>
      <c r="L165" s="58" t="s">
        <v>21</v>
      </c>
      <c r="M165" s="37" t="s">
        <v>937</v>
      </c>
    </row>
    <row r="166" spans="1:13" ht="120" x14ac:dyDescent="0.25">
      <c r="A166" s="33" t="s">
        <v>933</v>
      </c>
      <c r="B166" s="56"/>
      <c r="C166" s="62" t="s">
        <v>461</v>
      </c>
      <c r="D166" s="33" t="s">
        <v>934</v>
      </c>
      <c r="E166" s="58" t="s">
        <v>21</v>
      </c>
      <c r="F166" s="33" t="s">
        <v>938</v>
      </c>
      <c r="G166" s="58" t="s">
        <v>474</v>
      </c>
      <c r="H166" s="33" t="s">
        <v>756</v>
      </c>
      <c r="I166" s="56"/>
      <c r="J166" s="62" t="s">
        <v>461</v>
      </c>
      <c r="K166" s="33" t="s">
        <v>936</v>
      </c>
      <c r="L166" s="58" t="s">
        <v>21</v>
      </c>
      <c r="M166" s="33" t="s">
        <v>939</v>
      </c>
    </row>
    <row r="167" spans="1:13" ht="120" x14ac:dyDescent="0.25">
      <c r="A167" s="37" t="s">
        <v>933</v>
      </c>
      <c r="B167" s="59"/>
      <c r="C167" s="62" t="s">
        <v>461</v>
      </c>
      <c r="D167" s="37" t="s">
        <v>934</v>
      </c>
      <c r="E167" s="57" t="s">
        <v>15</v>
      </c>
      <c r="F167" s="37" t="s">
        <v>940</v>
      </c>
      <c r="G167" s="58" t="s">
        <v>474</v>
      </c>
      <c r="H167" s="37" t="s">
        <v>756</v>
      </c>
      <c r="I167" s="59"/>
      <c r="J167" s="62" t="s">
        <v>461</v>
      </c>
      <c r="K167" s="37" t="s">
        <v>936</v>
      </c>
      <c r="L167" s="57" t="s">
        <v>15</v>
      </c>
      <c r="M167" s="37" t="s">
        <v>941</v>
      </c>
    </row>
    <row r="168" spans="1:13" ht="120" x14ac:dyDescent="0.25">
      <c r="A168" s="33" t="s">
        <v>933</v>
      </c>
      <c r="B168" s="56"/>
      <c r="C168" s="62" t="s">
        <v>461</v>
      </c>
      <c r="D168" s="33" t="s">
        <v>934</v>
      </c>
      <c r="E168" s="57" t="s">
        <v>15</v>
      </c>
      <c r="F168" s="33" t="s">
        <v>942</v>
      </c>
      <c r="G168" s="58" t="s">
        <v>474</v>
      </c>
      <c r="H168" s="33" t="s">
        <v>756</v>
      </c>
      <c r="I168" s="56"/>
      <c r="J168" s="62" t="s">
        <v>461</v>
      </c>
      <c r="K168" s="33" t="s">
        <v>936</v>
      </c>
      <c r="L168" s="57" t="s">
        <v>15</v>
      </c>
      <c r="M168" s="33" t="s">
        <v>943</v>
      </c>
    </row>
    <row r="169" spans="1:13" ht="120" x14ac:dyDescent="0.25">
      <c r="A169" s="37" t="s">
        <v>933</v>
      </c>
      <c r="B169" s="59"/>
      <c r="C169" s="59"/>
      <c r="D169" s="37" t="s">
        <v>934</v>
      </c>
      <c r="E169" s="60" t="s">
        <v>18</v>
      </c>
      <c r="F169" s="37" t="s">
        <v>944</v>
      </c>
      <c r="G169" s="58" t="s">
        <v>474</v>
      </c>
      <c r="H169" s="37" t="s">
        <v>756</v>
      </c>
      <c r="I169" s="59"/>
      <c r="J169" s="59"/>
      <c r="K169" s="37" t="s">
        <v>936</v>
      </c>
      <c r="L169" s="60" t="s">
        <v>18</v>
      </c>
      <c r="M169" s="37" t="s">
        <v>945</v>
      </c>
    </row>
    <row r="170" spans="1:13" ht="120" x14ac:dyDescent="0.25">
      <c r="A170" s="33" t="s">
        <v>933</v>
      </c>
      <c r="B170" s="56"/>
      <c r="C170" s="56"/>
      <c r="D170" s="33" t="s">
        <v>934</v>
      </c>
      <c r="E170" s="60" t="s">
        <v>18</v>
      </c>
      <c r="F170" s="33" t="s">
        <v>946</v>
      </c>
      <c r="G170" s="58" t="s">
        <v>474</v>
      </c>
      <c r="H170" s="33" t="s">
        <v>756</v>
      </c>
      <c r="I170" s="56"/>
      <c r="J170" s="56"/>
      <c r="K170" s="33" t="s">
        <v>936</v>
      </c>
      <c r="L170" s="60" t="s">
        <v>18</v>
      </c>
      <c r="M170" s="33" t="s">
        <v>947</v>
      </c>
    </row>
    <row r="171" spans="1:13" ht="84" x14ac:dyDescent="0.25">
      <c r="A171" s="37" t="s">
        <v>933</v>
      </c>
      <c r="B171" s="59"/>
      <c r="C171" s="59"/>
      <c r="D171" s="37" t="s">
        <v>934</v>
      </c>
      <c r="E171" s="60" t="s">
        <v>18</v>
      </c>
      <c r="F171" s="37" t="s">
        <v>948</v>
      </c>
      <c r="G171" s="58" t="s">
        <v>474</v>
      </c>
      <c r="H171" s="37" t="s">
        <v>649</v>
      </c>
      <c r="I171" s="59"/>
      <c r="J171" s="59"/>
      <c r="K171" s="37" t="s">
        <v>949</v>
      </c>
      <c r="L171" s="60" t="s">
        <v>18</v>
      </c>
      <c r="M171" s="37" t="s">
        <v>950</v>
      </c>
    </row>
    <row r="172" spans="1:13" ht="84" x14ac:dyDescent="0.25">
      <c r="A172" s="33" t="s">
        <v>933</v>
      </c>
      <c r="B172" s="56"/>
      <c r="C172" s="56"/>
      <c r="D172" s="33" t="s">
        <v>934</v>
      </c>
      <c r="E172" s="60" t="s">
        <v>18</v>
      </c>
      <c r="F172" s="33" t="s">
        <v>951</v>
      </c>
      <c r="G172" s="58" t="s">
        <v>474</v>
      </c>
      <c r="H172" s="33" t="s">
        <v>850</v>
      </c>
      <c r="I172" s="56"/>
      <c r="J172" s="56"/>
      <c r="K172" s="33" t="s">
        <v>919</v>
      </c>
      <c r="L172" s="60" t="s">
        <v>18</v>
      </c>
      <c r="M172" s="33" t="s">
        <v>952</v>
      </c>
    </row>
    <row r="173" spans="1:13" ht="84" x14ac:dyDescent="0.25">
      <c r="A173" s="37" t="s">
        <v>933</v>
      </c>
      <c r="B173" s="59"/>
      <c r="C173" s="59"/>
      <c r="D173" s="37" t="s">
        <v>934</v>
      </c>
      <c r="E173" s="60" t="s">
        <v>18</v>
      </c>
      <c r="F173" s="37" t="s">
        <v>953</v>
      </c>
      <c r="G173" s="58" t="s">
        <v>474</v>
      </c>
      <c r="H173" s="37" t="s">
        <v>850</v>
      </c>
      <c r="I173" s="59"/>
      <c r="J173" s="59"/>
      <c r="K173" s="37" t="s">
        <v>919</v>
      </c>
      <c r="L173" s="60" t="s">
        <v>18</v>
      </c>
      <c r="M173" s="37" t="s">
        <v>954</v>
      </c>
    </row>
    <row r="174" spans="1:13" ht="120" x14ac:dyDescent="0.25">
      <c r="A174" s="33" t="s">
        <v>933</v>
      </c>
      <c r="B174" s="56"/>
      <c r="C174" s="56"/>
      <c r="D174" s="33" t="s">
        <v>955</v>
      </c>
      <c r="E174" s="57" t="s">
        <v>15</v>
      </c>
      <c r="F174" s="33" t="s">
        <v>956</v>
      </c>
      <c r="G174" s="58" t="s">
        <v>474</v>
      </c>
      <c r="H174" s="33" t="s">
        <v>542</v>
      </c>
      <c r="I174" s="56"/>
      <c r="J174" s="56"/>
      <c r="K174" s="33" t="s">
        <v>957</v>
      </c>
      <c r="L174" s="57" t="s">
        <v>15</v>
      </c>
      <c r="M174" s="33" t="s">
        <v>958</v>
      </c>
    </row>
    <row r="175" spans="1:13" ht="120" x14ac:dyDescent="0.25">
      <c r="A175" s="37" t="s">
        <v>933</v>
      </c>
      <c r="B175" s="59"/>
      <c r="C175" s="59"/>
      <c r="D175" s="37" t="s">
        <v>955</v>
      </c>
      <c r="E175" s="60" t="s">
        <v>18</v>
      </c>
      <c r="F175" s="37" t="s">
        <v>959</v>
      </c>
      <c r="G175" s="58" t="s">
        <v>474</v>
      </c>
      <c r="H175" s="37" t="s">
        <v>542</v>
      </c>
      <c r="I175" s="59"/>
      <c r="J175" s="59"/>
      <c r="K175" s="37" t="s">
        <v>957</v>
      </c>
      <c r="L175" s="60" t="s">
        <v>18</v>
      </c>
      <c r="M175" s="37" t="s">
        <v>960</v>
      </c>
    </row>
    <row r="176" spans="1:13" ht="84" x14ac:dyDescent="0.25">
      <c r="A176" s="33" t="s">
        <v>933</v>
      </c>
      <c r="B176" s="56"/>
      <c r="C176" s="56"/>
      <c r="D176" s="33" t="s">
        <v>961</v>
      </c>
      <c r="E176" s="60" t="s">
        <v>18</v>
      </c>
      <c r="F176" s="33" t="s">
        <v>962</v>
      </c>
      <c r="G176" s="61" t="s">
        <v>480</v>
      </c>
      <c r="H176" s="56"/>
      <c r="I176" s="56"/>
      <c r="J176" s="56"/>
      <c r="K176" s="56"/>
      <c r="L176" s="56"/>
      <c r="M176" s="56"/>
    </row>
    <row r="177" spans="1:13" ht="84" x14ac:dyDescent="0.25">
      <c r="A177" s="37" t="s">
        <v>933</v>
      </c>
      <c r="B177" s="37" t="s">
        <v>504</v>
      </c>
      <c r="C177" s="59"/>
      <c r="D177" s="37" t="s">
        <v>963</v>
      </c>
      <c r="E177" s="57" t="s">
        <v>15</v>
      </c>
      <c r="F177" s="37" t="s">
        <v>964</v>
      </c>
      <c r="G177" s="58" t="s">
        <v>474</v>
      </c>
      <c r="H177" s="37" t="s">
        <v>649</v>
      </c>
      <c r="I177" s="59"/>
      <c r="J177" s="59"/>
      <c r="K177" s="37" t="s">
        <v>868</v>
      </c>
      <c r="L177" s="57" t="s">
        <v>15</v>
      </c>
      <c r="M177" s="37" t="s">
        <v>965</v>
      </c>
    </row>
    <row r="178" spans="1:13" ht="72" x14ac:dyDescent="0.25">
      <c r="A178" s="33" t="s">
        <v>966</v>
      </c>
      <c r="B178" s="56"/>
      <c r="C178" s="56"/>
      <c r="D178" s="33" t="s">
        <v>967</v>
      </c>
      <c r="E178" s="58" t="s">
        <v>21</v>
      </c>
      <c r="F178" s="33" t="s">
        <v>968</v>
      </c>
      <c r="G178" s="58" t="s">
        <v>474</v>
      </c>
      <c r="H178" s="33" t="s">
        <v>687</v>
      </c>
      <c r="I178" s="56"/>
      <c r="J178" s="56"/>
      <c r="K178" s="33" t="s">
        <v>969</v>
      </c>
      <c r="L178" s="58" t="s">
        <v>21</v>
      </c>
      <c r="M178" s="33" t="s">
        <v>970</v>
      </c>
    </row>
    <row r="179" spans="1:13" ht="72" x14ac:dyDescent="0.25">
      <c r="A179" s="37" t="s">
        <v>966</v>
      </c>
      <c r="B179" s="59"/>
      <c r="C179" s="62" t="s">
        <v>461</v>
      </c>
      <c r="D179" s="37" t="s">
        <v>967</v>
      </c>
      <c r="E179" s="58" t="s">
        <v>21</v>
      </c>
      <c r="F179" s="37" t="s">
        <v>971</v>
      </c>
      <c r="G179" s="58" t="s">
        <v>474</v>
      </c>
      <c r="H179" s="37" t="s">
        <v>687</v>
      </c>
      <c r="I179" s="59"/>
      <c r="J179" s="62" t="s">
        <v>461</v>
      </c>
      <c r="K179" s="37" t="s">
        <v>972</v>
      </c>
      <c r="L179" s="58" t="s">
        <v>21</v>
      </c>
      <c r="M179" s="37" t="s">
        <v>973</v>
      </c>
    </row>
    <row r="180" spans="1:13" ht="72" x14ac:dyDescent="0.25">
      <c r="A180" s="33" t="s">
        <v>966</v>
      </c>
      <c r="B180" s="56"/>
      <c r="C180" s="62" t="s">
        <v>461</v>
      </c>
      <c r="D180" s="33" t="s">
        <v>967</v>
      </c>
      <c r="E180" s="57" t="s">
        <v>15</v>
      </c>
      <c r="F180" s="33" t="s">
        <v>974</v>
      </c>
      <c r="G180" s="58" t="s">
        <v>474</v>
      </c>
      <c r="H180" s="33" t="s">
        <v>687</v>
      </c>
      <c r="I180" s="56"/>
      <c r="J180" s="62" t="s">
        <v>461</v>
      </c>
      <c r="K180" s="33" t="s">
        <v>969</v>
      </c>
      <c r="L180" s="57" t="s">
        <v>15</v>
      </c>
      <c r="M180" s="33" t="s">
        <v>975</v>
      </c>
    </row>
    <row r="181" spans="1:13" ht="72" x14ac:dyDescent="0.25">
      <c r="A181" s="37" t="s">
        <v>966</v>
      </c>
      <c r="B181" s="59"/>
      <c r="C181" s="59"/>
      <c r="D181" s="37" t="s">
        <v>967</v>
      </c>
      <c r="E181" s="60" t="s">
        <v>18</v>
      </c>
      <c r="F181" s="37" t="s">
        <v>976</v>
      </c>
      <c r="G181" s="58" t="s">
        <v>474</v>
      </c>
      <c r="H181" s="37" t="s">
        <v>687</v>
      </c>
      <c r="I181" s="59"/>
      <c r="J181" s="59"/>
      <c r="K181" s="37" t="s">
        <v>969</v>
      </c>
      <c r="L181" s="60" t="s">
        <v>18</v>
      </c>
      <c r="M181" s="37" t="s">
        <v>977</v>
      </c>
    </row>
    <row r="182" spans="1:13" ht="72" x14ac:dyDescent="0.25">
      <c r="A182" s="33" t="s">
        <v>966</v>
      </c>
      <c r="B182" s="56"/>
      <c r="C182" s="56"/>
      <c r="D182" s="33" t="s">
        <v>978</v>
      </c>
      <c r="E182" s="57" t="s">
        <v>15</v>
      </c>
      <c r="F182" s="33" t="s">
        <v>979</v>
      </c>
      <c r="G182" s="58" t="s">
        <v>474</v>
      </c>
      <c r="H182" s="33" t="s">
        <v>687</v>
      </c>
      <c r="I182" s="56"/>
      <c r="J182" s="56"/>
      <c r="K182" s="33" t="s">
        <v>980</v>
      </c>
      <c r="L182" s="57" t="s">
        <v>15</v>
      </c>
      <c r="M182" s="33" t="s">
        <v>981</v>
      </c>
    </row>
    <row r="183" spans="1:13" ht="72" x14ac:dyDescent="0.25">
      <c r="A183" s="37" t="s">
        <v>966</v>
      </c>
      <c r="B183" s="59"/>
      <c r="C183" s="59"/>
      <c r="D183" s="37" t="s">
        <v>978</v>
      </c>
      <c r="E183" s="60" t="s">
        <v>18</v>
      </c>
      <c r="F183" s="37" t="s">
        <v>982</v>
      </c>
      <c r="G183" s="58" t="s">
        <v>474</v>
      </c>
      <c r="H183" s="37" t="s">
        <v>687</v>
      </c>
      <c r="I183" s="59"/>
      <c r="J183" s="59"/>
      <c r="K183" s="37" t="s">
        <v>980</v>
      </c>
      <c r="L183" s="60" t="s">
        <v>18</v>
      </c>
      <c r="M183" s="37" t="s">
        <v>983</v>
      </c>
    </row>
    <row r="184" spans="1:13" ht="72" x14ac:dyDescent="0.25">
      <c r="A184" s="33" t="s">
        <v>966</v>
      </c>
      <c r="B184" s="56"/>
      <c r="C184" s="56"/>
      <c r="D184" s="33" t="s">
        <v>984</v>
      </c>
      <c r="E184" s="58" t="s">
        <v>21</v>
      </c>
      <c r="F184" s="33" t="s">
        <v>985</v>
      </c>
      <c r="G184" s="58" t="s">
        <v>474</v>
      </c>
      <c r="H184" s="33" t="s">
        <v>687</v>
      </c>
      <c r="I184" s="56"/>
      <c r="J184" s="56"/>
      <c r="K184" s="33" t="s">
        <v>899</v>
      </c>
      <c r="L184" s="58" t="s">
        <v>21</v>
      </c>
      <c r="M184" s="33" t="s">
        <v>986</v>
      </c>
    </row>
    <row r="185" spans="1:13" ht="72" x14ac:dyDescent="0.25">
      <c r="A185" s="37" t="s">
        <v>966</v>
      </c>
      <c r="B185" s="59"/>
      <c r="C185" s="59"/>
      <c r="D185" s="37" t="s">
        <v>984</v>
      </c>
      <c r="E185" s="57" t="s">
        <v>15</v>
      </c>
      <c r="F185" s="37" t="s">
        <v>987</v>
      </c>
      <c r="G185" s="58" t="s">
        <v>474</v>
      </c>
      <c r="H185" s="37" t="s">
        <v>687</v>
      </c>
      <c r="I185" s="59"/>
      <c r="J185" s="59"/>
      <c r="K185" s="37" t="s">
        <v>899</v>
      </c>
      <c r="L185" s="57" t="s">
        <v>15</v>
      </c>
      <c r="M185" s="37" t="s">
        <v>988</v>
      </c>
    </row>
    <row r="186" spans="1:13" ht="72" x14ac:dyDescent="0.25">
      <c r="A186" s="33" t="s">
        <v>966</v>
      </c>
      <c r="B186" s="56"/>
      <c r="C186" s="56"/>
      <c r="D186" s="33" t="s">
        <v>989</v>
      </c>
      <c r="E186" s="57" t="s">
        <v>15</v>
      </c>
      <c r="F186" s="33" t="s">
        <v>990</v>
      </c>
      <c r="G186" s="58" t="s">
        <v>474</v>
      </c>
      <c r="H186" s="33" t="s">
        <v>687</v>
      </c>
      <c r="I186" s="56"/>
      <c r="J186" s="56"/>
      <c r="K186" s="33" t="s">
        <v>991</v>
      </c>
      <c r="L186" s="57" t="s">
        <v>15</v>
      </c>
      <c r="M186" s="33" t="s">
        <v>992</v>
      </c>
    </row>
    <row r="187" spans="1:13" ht="72" x14ac:dyDescent="0.25">
      <c r="A187" s="37" t="s">
        <v>966</v>
      </c>
      <c r="B187" s="59"/>
      <c r="C187" s="59"/>
      <c r="D187" s="37" t="s">
        <v>989</v>
      </c>
      <c r="E187" s="57" t="s">
        <v>15</v>
      </c>
      <c r="F187" s="37" t="s">
        <v>993</v>
      </c>
      <c r="G187" s="58" t="s">
        <v>474</v>
      </c>
      <c r="H187" s="37" t="s">
        <v>687</v>
      </c>
      <c r="I187" s="59"/>
      <c r="J187" s="59"/>
      <c r="K187" s="37" t="s">
        <v>991</v>
      </c>
      <c r="L187" s="57" t="s">
        <v>15</v>
      </c>
      <c r="M187" s="37" t="s">
        <v>994</v>
      </c>
    </row>
    <row r="188" spans="1:13" ht="72" x14ac:dyDescent="0.25">
      <c r="A188" s="33" t="s">
        <v>966</v>
      </c>
      <c r="B188" s="56"/>
      <c r="C188" s="56"/>
      <c r="D188" s="33" t="s">
        <v>995</v>
      </c>
      <c r="E188" s="57" t="s">
        <v>15</v>
      </c>
      <c r="F188" s="33" t="s">
        <v>996</v>
      </c>
      <c r="G188" s="58" t="s">
        <v>474</v>
      </c>
      <c r="H188" s="33" t="s">
        <v>687</v>
      </c>
      <c r="I188" s="56"/>
      <c r="J188" s="56"/>
      <c r="K188" s="33" t="s">
        <v>997</v>
      </c>
      <c r="L188" s="57" t="s">
        <v>15</v>
      </c>
      <c r="M188" s="33" t="s">
        <v>998</v>
      </c>
    </row>
    <row r="189" spans="1:13" ht="72" x14ac:dyDescent="0.25">
      <c r="A189" s="37" t="s">
        <v>966</v>
      </c>
      <c r="B189" s="59"/>
      <c r="C189" s="59"/>
      <c r="D189" s="37" t="s">
        <v>995</v>
      </c>
      <c r="E189" s="60" t="s">
        <v>18</v>
      </c>
      <c r="F189" s="37" t="s">
        <v>999</v>
      </c>
      <c r="G189" s="58" t="s">
        <v>474</v>
      </c>
      <c r="H189" s="37" t="s">
        <v>649</v>
      </c>
      <c r="I189" s="59"/>
      <c r="J189" s="59"/>
      <c r="K189" s="37" t="s">
        <v>1000</v>
      </c>
      <c r="L189" s="60" t="s">
        <v>18</v>
      </c>
      <c r="M189" s="37" t="s">
        <v>1001</v>
      </c>
    </row>
    <row r="190" spans="1:13" ht="72" x14ac:dyDescent="0.25">
      <c r="A190" s="33" t="s">
        <v>966</v>
      </c>
      <c r="B190" s="56"/>
      <c r="C190" s="56"/>
      <c r="D190" s="33" t="s">
        <v>995</v>
      </c>
      <c r="E190" s="60" t="s">
        <v>18</v>
      </c>
      <c r="F190" s="33" t="s">
        <v>1002</v>
      </c>
      <c r="G190" s="58" t="s">
        <v>474</v>
      </c>
      <c r="H190" s="33" t="s">
        <v>649</v>
      </c>
      <c r="I190" s="56"/>
      <c r="J190" s="56"/>
      <c r="K190" s="33" t="s">
        <v>1000</v>
      </c>
      <c r="L190" s="60" t="s">
        <v>18</v>
      </c>
      <c r="M190" s="33" t="s">
        <v>1003</v>
      </c>
    </row>
    <row r="191" spans="1:13" ht="72" x14ac:dyDescent="0.25">
      <c r="A191" s="37" t="s">
        <v>966</v>
      </c>
      <c r="B191" s="59"/>
      <c r="C191" s="59"/>
      <c r="D191" s="37" t="s">
        <v>995</v>
      </c>
      <c r="E191" s="60" t="s">
        <v>18</v>
      </c>
      <c r="F191" s="37" t="s">
        <v>1004</v>
      </c>
      <c r="G191" s="58" t="s">
        <v>474</v>
      </c>
      <c r="H191" s="37" t="s">
        <v>687</v>
      </c>
      <c r="I191" s="59"/>
      <c r="J191" s="59"/>
      <c r="K191" s="37" t="s">
        <v>972</v>
      </c>
      <c r="L191" s="60" t="s">
        <v>18</v>
      </c>
      <c r="M191" s="37" t="s">
        <v>1005</v>
      </c>
    </row>
    <row r="192" spans="1:13" ht="72" x14ac:dyDescent="0.25">
      <c r="A192" s="33" t="s">
        <v>1006</v>
      </c>
      <c r="B192" s="56"/>
      <c r="C192" s="56"/>
      <c r="D192" s="33" t="s">
        <v>1007</v>
      </c>
      <c r="E192" s="57" t="s">
        <v>15</v>
      </c>
      <c r="F192" s="33" t="s">
        <v>1008</v>
      </c>
      <c r="G192" s="58" t="s">
        <v>474</v>
      </c>
      <c r="H192" s="33" t="s">
        <v>1009</v>
      </c>
      <c r="I192" s="56"/>
      <c r="J192" s="56"/>
      <c r="K192" s="33" t="s">
        <v>1010</v>
      </c>
      <c r="L192" s="57" t="s">
        <v>15</v>
      </c>
      <c r="M192" s="33" t="s">
        <v>1011</v>
      </c>
    </row>
    <row r="193" spans="1:13" ht="72" x14ac:dyDescent="0.25">
      <c r="A193" s="37" t="s">
        <v>1006</v>
      </c>
      <c r="B193" s="59"/>
      <c r="C193" s="59"/>
      <c r="D193" s="37" t="s">
        <v>1007</v>
      </c>
      <c r="E193" s="60" t="s">
        <v>18</v>
      </c>
      <c r="F193" s="37" t="s">
        <v>1012</v>
      </c>
      <c r="G193" s="58" t="s">
        <v>474</v>
      </c>
      <c r="H193" s="37" t="s">
        <v>1009</v>
      </c>
      <c r="I193" s="59"/>
      <c r="J193" s="59"/>
      <c r="K193" s="37" t="s">
        <v>1010</v>
      </c>
      <c r="L193" s="60" t="s">
        <v>18</v>
      </c>
      <c r="M193" s="37" t="s">
        <v>1013</v>
      </c>
    </row>
    <row r="194" spans="1:13" ht="72" x14ac:dyDescent="0.25">
      <c r="A194" s="33" t="s">
        <v>1006</v>
      </c>
      <c r="B194" s="56"/>
      <c r="C194" s="62" t="s">
        <v>461</v>
      </c>
      <c r="D194" s="33" t="s">
        <v>1014</v>
      </c>
      <c r="E194" s="58" t="s">
        <v>21</v>
      </c>
      <c r="F194" s="33" t="s">
        <v>1015</v>
      </c>
      <c r="G194" s="58" t="s">
        <v>474</v>
      </c>
      <c r="H194" s="33" t="s">
        <v>1009</v>
      </c>
      <c r="I194" s="56"/>
      <c r="J194" s="62" t="s">
        <v>461</v>
      </c>
      <c r="K194" s="33" t="s">
        <v>1016</v>
      </c>
      <c r="L194" s="58" t="s">
        <v>21</v>
      </c>
      <c r="M194" s="33" t="s">
        <v>1017</v>
      </c>
    </row>
    <row r="195" spans="1:13" ht="72" x14ac:dyDescent="0.25">
      <c r="A195" s="37" t="s">
        <v>1006</v>
      </c>
      <c r="B195" s="59"/>
      <c r="C195" s="59"/>
      <c r="D195" s="37" t="s">
        <v>1014</v>
      </c>
      <c r="E195" s="57" t="s">
        <v>15</v>
      </c>
      <c r="F195" s="37" t="s">
        <v>1018</v>
      </c>
      <c r="G195" s="58" t="s">
        <v>474</v>
      </c>
      <c r="H195" s="37" t="s">
        <v>1009</v>
      </c>
      <c r="I195" s="59"/>
      <c r="J195" s="59"/>
      <c r="K195" s="37" t="s">
        <v>1016</v>
      </c>
      <c r="L195" s="57" t="s">
        <v>15</v>
      </c>
      <c r="M195" s="37" t="s">
        <v>1019</v>
      </c>
    </row>
    <row r="196" spans="1:13" ht="72" x14ac:dyDescent="0.25">
      <c r="A196" s="33" t="s">
        <v>1006</v>
      </c>
      <c r="B196" s="56"/>
      <c r="C196" s="56"/>
      <c r="D196" s="33" t="s">
        <v>1014</v>
      </c>
      <c r="E196" s="60" t="s">
        <v>18</v>
      </c>
      <c r="F196" s="33" t="s">
        <v>1020</v>
      </c>
      <c r="G196" s="58" t="s">
        <v>474</v>
      </c>
      <c r="H196" s="33" t="s">
        <v>1009</v>
      </c>
      <c r="I196" s="56"/>
      <c r="J196" s="56"/>
      <c r="K196" s="33" t="s">
        <v>1016</v>
      </c>
      <c r="L196" s="60" t="s">
        <v>18</v>
      </c>
      <c r="M196" s="33" t="s">
        <v>1021</v>
      </c>
    </row>
    <row r="197" spans="1:13" ht="72" x14ac:dyDescent="0.25">
      <c r="A197" s="37" t="s">
        <v>1006</v>
      </c>
      <c r="B197" s="37" t="s">
        <v>504</v>
      </c>
      <c r="C197" s="59"/>
      <c r="D197" s="37" t="s">
        <v>1022</v>
      </c>
      <c r="E197" s="60" t="s">
        <v>18</v>
      </c>
      <c r="F197" s="37" t="s">
        <v>1023</v>
      </c>
      <c r="G197" s="58" t="s">
        <v>474</v>
      </c>
      <c r="H197" s="37" t="s">
        <v>1009</v>
      </c>
      <c r="I197" s="59"/>
      <c r="J197" s="59"/>
      <c r="K197" s="37" t="s">
        <v>1024</v>
      </c>
      <c r="L197" s="60" t="s">
        <v>18</v>
      </c>
      <c r="M197" s="37" t="s">
        <v>1025</v>
      </c>
    </row>
    <row r="198" spans="1:13" ht="72" x14ac:dyDescent="0.25">
      <c r="A198" s="33" t="s">
        <v>1006</v>
      </c>
      <c r="B198" s="56"/>
      <c r="C198" s="56"/>
      <c r="D198" s="33" t="s">
        <v>1026</v>
      </c>
      <c r="E198" s="57" t="s">
        <v>15</v>
      </c>
      <c r="F198" s="33" t="s">
        <v>1027</v>
      </c>
      <c r="G198" s="58" t="s">
        <v>474</v>
      </c>
      <c r="H198" s="33" t="s">
        <v>744</v>
      </c>
      <c r="I198" s="56"/>
      <c r="J198" s="56"/>
      <c r="K198" s="33" t="s">
        <v>1028</v>
      </c>
      <c r="L198" s="57" t="s">
        <v>15</v>
      </c>
      <c r="M198" s="33" t="s">
        <v>1029</v>
      </c>
    </row>
    <row r="199" spans="1:13" ht="72" x14ac:dyDescent="0.25">
      <c r="A199" s="37" t="s">
        <v>1006</v>
      </c>
      <c r="B199" s="59"/>
      <c r="C199" s="59"/>
      <c r="D199" s="37" t="s">
        <v>1030</v>
      </c>
      <c r="E199" s="57" t="s">
        <v>15</v>
      </c>
      <c r="F199" s="37" t="s">
        <v>1031</v>
      </c>
      <c r="G199" s="58" t="s">
        <v>474</v>
      </c>
      <c r="H199" s="37" t="s">
        <v>1009</v>
      </c>
      <c r="I199" s="59"/>
      <c r="J199" s="59"/>
      <c r="K199" s="37" t="s">
        <v>1032</v>
      </c>
      <c r="L199" s="57" t="s">
        <v>15</v>
      </c>
      <c r="M199" s="37" t="s">
        <v>1033</v>
      </c>
    </row>
    <row r="200" spans="1:13" ht="60" x14ac:dyDescent="0.25">
      <c r="A200" s="33" t="s">
        <v>1034</v>
      </c>
      <c r="B200" s="56"/>
      <c r="C200" s="56"/>
      <c r="D200" s="33" t="s">
        <v>1035</v>
      </c>
      <c r="E200" s="58" t="s">
        <v>21</v>
      </c>
      <c r="F200" s="33" t="s">
        <v>1036</v>
      </c>
      <c r="G200" s="58" t="s">
        <v>474</v>
      </c>
      <c r="H200" s="33" t="s">
        <v>1037</v>
      </c>
      <c r="I200" s="56"/>
      <c r="J200" s="56"/>
      <c r="K200" s="33" t="s">
        <v>1038</v>
      </c>
      <c r="L200" s="58" t="s">
        <v>21</v>
      </c>
      <c r="M200" s="33" t="s">
        <v>1039</v>
      </c>
    </row>
    <row r="201" spans="1:13" ht="60" x14ac:dyDescent="0.25">
      <c r="A201" s="37" t="s">
        <v>1034</v>
      </c>
      <c r="B201" s="59"/>
      <c r="C201" s="59"/>
      <c r="D201" s="37" t="s">
        <v>1035</v>
      </c>
      <c r="E201" s="57" t="s">
        <v>15</v>
      </c>
      <c r="F201" s="37" t="s">
        <v>1040</v>
      </c>
      <c r="G201" s="58" t="s">
        <v>474</v>
      </c>
      <c r="H201" s="37" t="s">
        <v>825</v>
      </c>
      <c r="I201" s="59"/>
      <c r="J201" s="59"/>
      <c r="K201" s="37" t="s">
        <v>1041</v>
      </c>
      <c r="L201" s="57" t="s">
        <v>15</v>
      </c>
      <c r="M201" s="37" t="s">
        <v>1042</v>
      </c>
    </row>
    <row r="202" spans="1:13" ht="48" x14ac:dyDescent="0.25">
      <c r="A202" s="33" t="s">
        <v>1034</v>
      </c>
      <c r="B202" s="56"/>
      <c r="C202" s="56"/>
      <c r="D202" s="33" t="s">
        <v>1043</v>
      </c>
      <c r="E202" s="57" t="s">
        <v>15</v>
      </c>
      <c r="F202" s="33" t="s">
        <v>1044</v>
      </c>
      <c r="G202" s="58" t="s">
        <v>474</v>
      </c>
      <c r="H202" s="33" t="s">
        <v>713</v>
      </c>
      <c r="I202" s="56"/>
      <c r="J202" s="56"/>
      <c r="K202" s="33" t="s">
        <v>1045</v>
      </c>
      <c r="L202" s="57" t="s">
        <v>15</v>
      </c>
      <c r="M202" s="33" t="s">
        <v>1046</v>
      </c>
    </row>
    <row r="203" spans="1:13" ht="48" x14ac:dyDescent="0.25">
      <c r="A203" s="37" t="s">
        <v>1034</v>
      </c>
      <c r="B203" s="59"/>
      <c r="C203" s="59"/>
      <c r="D203" s="37" t="s">
        <v>1043</v>
      </c>
      <c r="E203" s="60" t="s">
        <v>18</v>
      </c>
      <c r="F203" s="37" t="s">
        <v>1047</v>
      </c>
      <c r="G203" s="58" t="s">
        <v>474</v>
      </c>
      <c r="H203" s="37" t="s">
        <v>713</v>
      </c>
      <c r="I203" s="59"/>
      <c r="J203" s="59"/>
      <c r="K203" s="37" t="s">
        <v>1045</v>
      </c>
      <c r="L203" s="60" t="s">
        <v>18</v>
      </c>
      <c r="M203" s="37" t="s">
        <v>1048</v>
      </c>
    </row>
    <row r="204" spans="1:13" ht="48" x14ac:dyDescent="0.25">
      <c r="A204" s="33" t="s">
        <v>1034</v>
      </c>
      <c r="B204" s="56"/>
      <c r="C204" s="56"/>
      <c r="D204" s="33" t="s">
        <v>1049</v>
      </c>
      <c r="E204" s="57" t="s">
        <v>15</v>
      </c>
      <c r="F204" s="33" t="s">
        <v>1050</v>
      </c>
      <c r="G204" s="58" t="s">
        <v>474</v>
      </c>
      <c r="H204" s="33" t="s">
        <v>713</v>
      </c>
      <c r="I204" s="56"/>
      <c r="J204" s="56"/>
      <c r="K204" s="33" t="s">
        <v>1051</v>
      </c>
      <c r="L204" s="57" t="s">
        <v>15</v>
      </c>
      <c r="M204" s="33" t="s">
        <v>1052</v>
      </c>
    </row>
    <row r="205" spans="1:13" ht="36" x14ac:dyDescent="0.25">
      <c r="A205" s="37" t="s">
        <v>1034</v>
      </c>
      <c r="B205" s="59"/>
      <c r="C205" s="59"/>
      <c r="D205" s="37" t="s">
        <v>1053</v>
      </c>
      <c r="E205" s="57" t="s">
        <v>15</v>
      </c>
      <c r="F205" s="37" t="s">
        <v>1054</v>
      </c>
      <c r="G205" s="61" t="s">
        <v>480</v>
      </c>
      <c r="H205" s="59"/>
      <c r="I205" s="59"/>
      <c r="J205" s="59"/>
      <c r="K205" s="59"/>
      <c r="L205" s="59"/>
      <c r="M205" s="59"/>
    </row>
    <row r="206" spans="1:13" ht="60" x14ac:dyDescent="0.25">
      <c r="A206" s="33" t="s">
        <v>1055</v>
      </c>
      <c r="B206" s="56"/>
      <c r="C206" s="56"/>
      <c r="D206" s="33" t="s">
        <v>1056</v>
      </c>
      <c r="E206" s="60" t="s">
        <v>18</v>
      </c>
      <c r="F206" s="33" t="s">
        <v>1057</v>
      </c>
      <c r="G206" s="58" t="s">
        <v>474</v>
      </c>
      <c r="H206" s="33" t="s">
        <v>713</v>
      </c>
      <c r="I206" s="56"/>
      <c r="J206" s="56"/>
      <c r="K206" s="33" t="s">
        <v>1058</v>
      </c>
      <c r="L206" s="60" t="s">
        <v>18</v>
      </c>
      <c r="M206" s="33" t="s">
        <v>1059</v>
      </c>
    </row>
    <row r="207" spans="1:13" ht="60" x14ac:dyDescent="0.25">
      <c r="A207" s="37" t="s">
        <v>1055</v>
      </c>
      <c r="B207" s="59"/>
      <c r="C207" s="59"/>
      <c r="D207" s="37" t="s">
        <v>1060</v>
      </c>
      <c r="E207" s="60" t="s">
        <v>18</v>
      </c>
      <c r="F207" s="37" t="s">
        <v>1061</v>
      </c>
      <c r="G207" s="58" t="s">
        <v>474</v>
      </c>
      <c r="H207" s="37" t="s">
        <v>713</v>
      </c>
      <c r="I207" s="59"/>
      <c r="J207" s="59"/>
      <c r="K207" s="37" t="s">
        <v>1058</v>
      </c>
      <c r="L207" s="60" t="s">
        <v>18</v>
      </c>
      <c r="M207" s="37" t="s">
        <v>1062</v>
      </c>
    </row>
    <row r="208" spans="1:13" ht="60" x14ac:dyDescent="0.25">
      <c r="A208" s="33" t="s">
        <v>1055</v>
      </c>
      <c r="B208" s="56"/>
      <c r="C208" s="56"/>
      <c r="D208" s="33" t="s">
        <v>1063</v>
      </c>
      <c r="E208" s="60" t="s">
        <v>18</v>
      </c>
      <c r="F208" s="33" t="s">
        <v>1064</v>
      </c>
      <c r="G208" s="61" t="s">
        <v>480</v>
      </c>
      <c r="H208" s="56"/>
      <c r="I208" s="56"/>
      <c r="J208" s="56"/>
      <c r="K208" s="56"/>
      <c r="L208" s="56"/>
      <c r="M208" s="56"/>
    </row>
    <row r="209" spans="1:13" ht="60" x14ac:dyDescent="0.25">
      <c r="A209" s="37" t="s">
        <v>1055</v>
      </c>
      <c r="B209" s="59"/>
      <c r="C209" s="59"/>
      <c r="D209" s="37" t="s">
        <v>1065</v>
      </c>
      <c r="E209" s="60" t="s">
        <v>18</v>
      </c>
      <c r="F209" s="37" t="s">
        <v>1066</v>
      </c>
      <c r="G209" s="61" t="s">
        <v>480</v>
      </c>
      <c r="H209" s="59"/>
      <c r="I209" s="59"/>
      <c r="J209" s="59"/>
      <c r="K209" s="59"/>
      <c r="L209" s="59"/>
      <c r="M209" s="59"/>
    </row>
    <row r="210" spans="1:13" ht="72" x14ac:dyDescent="0.25">
      <c r="A210" s="33" t="s">
        <v>1067</v>
      </c>
      <c r="B210" s="56"/>
      <c r="C210" s="56"/>
      <c r="D210" s="33" t="s">
        <v>1068</v>
      </c>
      <c r="E210" s="58" t="s">
        <v>21</v>
      </c>
      <c r="F210" s="33" t="s">
        <v>1069</v>
      </c>
      <c r="G210" s="58" t="s">
        <v>474</v>
      </c>
      <c r="H210" s="33" t="s">
        <v>825</v>
      </c>
      <c r="I210" s="56"/>
      <c r="J210" s="56"/>
      <c r="K210" s="33" t="s">
        <v>1070</v>
      </c>
      <c r="L210" s="58" t="s">
        <v>21</v>
      </c>
      <c r="M210" s="33" t="s">
        <v>1071</v>
      </c>
    </row>
    <row r="211" spans="1:13" ht="72" x14ac:dyDescent="0.25">
      <c r="A211" s="37" t="s">
        <v>1067</v>
      </c>
      <c r="B211" s="59"/>
      <c r="C211" s="62" t="s">
        <v>461</v>
      </c>
      <c r="D211" s="37" t="s">
        <v>1068</v>
      </c>
      <c r="E211" s="57" t="s">
        <v>15</v>
      </c>
      <c r="F211" s="37" t="s">
        <v>1072</v>
      </c>
      <c r="G211" s="58" t="s">
        <v>474</v>
      </c>
      <c r="H211" s="37" t="s">
        <v>825</v>
      </c>
      <c r="I211" s="59"/>
      <c r="J211" s="59"/>
      <c r="K211" s="37" t="s">
        <v>1070</v>
      </c>
      <c r="L211" s="57" t="s">
        <v>15</v>
      </c>
      <c r="M211" s="37" t="s">
        <v>1073</v>
      </c>
    </row>
    <row r="212" spans="1:13" ht="48" x14ac:dyDescent="0.25">
      <c r="A212" s="33" t="s">
        <v>1074</v>
      </c>
      <c r="B212" s="56"/>
      <c r="C212" s="56"/>
      <c r="D212" s="33" t="s">
        <v>1075</v>
      </c>
      <c r="E212" s="57" t="s">
        <v>15</v>
      </c>
      <c r="F212" s="33" t="s">
        <v>1076</v>
      </c>
      <c r="G212" s="58" t="s">
        <v>474</v>
      </c>
      <c r="H212" s="33" t="s">
        <v>1077</v>
      </c>
      <c r="I212" s="56"/>
      <c r="J212" s="56"/>
      <c r="K212" s="33" t="s">
        <v>1078</v>
      </c>
      <c r="L212" s="57" t="s">
        <v>15</v>
      </c>
      <c r="M212" s="33" t="s">
        <v>1079</v>
      </c>
    </row>
    <row r="213" spans="1:13" ht="72" x14ac:dyDescent="0.25">
      <c r="A213" s="37" t="s">
        <v>1074</v>
      </c>
      <c r="B213" s="59"/>
      <c r="C213" s="62" t="s">
        <v>461</v>
      </c>
      <c r="D213" s="37" t="s">
        <v>1075</v>
      </c>
      <c r="E213" s="57" t="s">
        <v>15</v>
      </c>
      <c r="F213" s="37" t="s">
        <v>1080</v>
      </c>
      <c r="G213" s="58" t="s">
        <v>474</v>
      </c>
      <c r="H213" s="37" t="s">
        <v>649</v>
      </c>
      <c r="I213" s="59"/>
      <c r="J213" s="62" t="s">
        <v>461</v>
      </c>
      <c r="K213" s="37" t="s">
        <v>1081</v>
      </c>
      <c r="L213" s="57" t="s">
        <v>15</v>
      </c>
      <c r="M213" s="37" t="s">
        <v>1082</v>
      </c>
    </row>
    <row r="214" spans="1:13" ht="60" x14ac:dyDescent="0.25">
      <c r="A214" s="33" t="s">
        <v>1083</v>
      </c>
      <c r="B214" s="56"/>
      <c r="C214" s="56"/>
      <c r="D214" s="33" t="s">
        <v>1084</v>
      </c>
      <c r="E214" s="58" t="s">
        <v>21</v>
      </c>
      <c r="F214" s="33" t="s">
        <v>1085</v>
      </c>
      <c r="G214" s="58" t="s">
        <v>474</v>
      </c>
      <c r="H214" s="33" t="s">
        <v>1086</v>
      </c>
      <c r="I214" s="56"/>
      <c r="J214" s="56"/>
      <c r="K214" s="33" t="s">
        <v>1087</v>
      </c>
      <c r="L214" s="58" t="s">
        <v>21</v>
      </c>
      <c r="M214" s="33" t="s">
        <v>1088</v>
      </c>
    </row>
    <row r="215" spans="1:13" ht="60" x14ac:dyDescent="0.25">
      <c r="A215" s="37" t="s">
        <v>1083</v>
      </c>
      <c r="B215" s="59"/>
      <c r="C215" s="59"/>
      <c r="D215" s="37" t="s">
        <v>1089</v>
      </c>
      <c r="E215" s="60" t="s">
        <v>18</v>
      </c>
      <c r="F215" s="37" t="s">
        <v>1090</v>
      </c>
      <c r="G215" s="58" t="s">
        <v>474</v>
      </c>
      <c r="H215" s="37" t="s">
        <v>1086</v>
      </c>
      <c r="I215" s="59"/>
      <c r="J215" s="59"/>
      <c r="K215" s="37" t="s">
        <v>1087</v>
      </c>
      <c r="L215" s="60" t="s">
        <v>18</v>
      </c>
      <c r="M215" s="37" t="s">
        <v>1091</v>
      </c>
    </row>
    <row r="216" spans="1:13" ht="60" x14ac:dyDescent="0.25">
      <c r="A216" s="33" t="s">
        <v>1083</v>
      </c>
      <c r="B216" s="56"/>
      <c r="C216" s="56"/>
      <c r="D216" s="33" t="s">
        <v>1092</v>
      </c>
      <c r="E216" s="57" t="s">
        <v>15</v>
      </c>
      <c r="F216" s="33" t="s">
        <v>1093</v>
      </c>
      <c r="G216" s="61" t="s">
        <v>480</v>
      </c>
      <c r="H216" s="56"/>
      <c r="I216" s="56"/>
      <c r="J216" s="56"/>
      <c r="K216" s="56"/>
      <c r="L216" s="56"/>
      <c r="M216" s="56"/>
    </row>
    <row r="217" spans="1:13" ht="60" x14ac:dyDescent="0.25">
      <c r="A217" s="37" t="s">
        <v>1083</v>
      </c>
      <c r="B217" s="59"/>
      <c r="C217" s="59"/>
      <c r="D217" s="37" t="s">
        <v>1094</v>
      </c>
      <c r="E217" s="57" t="s">
        <v>15</v>
      </c>
      <c r="F217" s="37" t="s">
        <v>1095</v>
      </c>
      <c r="G217" s="61" t="s">
        <v>480</v>
      </c>
      <c r="H217" s="59"/>
      <c r="I217" s="59"/>
      <c r="J217" s="59"/>
      <c r="K217" s="59"/>
      <c r="L217" s="59"/>
      <c r="M217" s="59"/>
    </row>
    <row r="218" spans="1:13" ht="84" x14ac:dyDescent="0.25">
      <c r="A218" s="33" t="s">
        <v>1096</v>
      </c>
      <c r="B218" s="33" t="s">
        <v>504</v>
      </c>
      <c r="C218" s="56"/>
      <c r="D218" s="33" t="s">
        <v>1097</v>
      </c>
      <c r="E218" s="57" t="s">
        <v>15</v>
      </c>
      <c r="F218" s="33" t="s">
        <v>1098</v>
      </c>
      <c r="G218" s="58" t="s">
        <v>474</v>
      </c>
      <c r="H218" s="33" t="s">
        <v>1099</v>
      </c>
      <c r="I218" s="56"/>
      <c r="J218" s="56"/>
      <c r="K218" s="33" t="s">
        <v>1100</v>
      </c>
      <c r="L218" s="57" t="s">
        <v>15</v>
      </c>
      <c r="M218" s="33" t="s">
        <v>1101</v>
      </c>
    </row>
    <row r="219" spans="1:13" ht="84" x14ac:dyDescent="0.25">
      <c r="A219" s="37" t="s">
        <v>1096</v>
      </c>
      <c r="B219" s="59"/>
      <c r="C219" s="59"/>
      <c r="D219" s="37" t="s">
        <v>1102</v>
      </c>
      <c r="E219" s="57" t="s">
        <v>15</v>
      </c>
      <c r="F219" s="37" t="s">
        <v>1103</v>
      </c>
      <c r="G219" s="58" t="s">
        <v>474</v>
      </c>
      <c r="H219" s="37" t="s">
        <v>1099</v>
      </c>
      <c r="I219" s="59"/>
      <c r="J219" s="59"/>
      <c r="K219" s="37" t="s">
        <v>1104</v>
      </c>
      <c r="L219" s="57" t="s">
        <v>15</v>
      </c>
      <c r="M219" s="37" t="s">
        <v>1105</v>
      </c>
    </row>
    <row r="220" spans="1:13" ht="84" x14ac:dyDescent="0.25">
      <c r="A220" s="33" t="s">
        <v>1096</v>
      </c>
      <c r="B220" s="56"/>
      <c r="C220" s="56"/>
      <c r="D220" s="33" t="s">
        <v>1102</v>
      </c>
      <c r="E220" s="60" t="s">
        <v>18</v>
      </c>
      <c r="F220" s="33" t="s">
        <v>1106</v>
      </c>
      <c r="G220" s="58" t="s">
        <v>474</v>
      </c>
      <c r="H220" s="33" t="s">
        <v>1099</v>
      </c>
      <c r="I220" s="56"/>
      <c r="J220" s="56"/>
      <c r="K220" s="33" t="s">
        <v>1104</v>
      </c>
      <c r="L220" s="60" t="s">
        <v>18</v>
      </c>
      <c r="M220" s="33" t="s">
        <v>1107</v>
      </c>
    </row>
    <row r="221" spans="1:13" ht="84" x14ac:dyDescent="0.25">
      <c r="A221" s="37" t="s">
        <v>1096</v>
      </c>
      <c r="B221" s="59"/>
      <c r="C221" s="59"/>
      <c r="D221" s="37" t="s">
        <v>1102</v>
      </c>
      <c r="E221" s="60" t="s">
        <v>18</v>
      </c>
      <c r="F221" s="37" t="s">
        <v>1108</v>
      </c>
      <c r="G221" s="58" t="s">
        <v>474</v>
      </c>
      <c r="H221" s="37" t="s">
        <v>1099</v>
      </c>
      <c r="I221" s="59"/>
      <c r="J221" s="59"/>
      <c r="K221" s="37" t="s">
        <v>1109</v>
      </c>
      <c r="L221" s="60" t="s">
        <v>18</v>
      </c>
      <c r="M221" s="37" t="s">
        <v>1110</v>
      </c>
    </row>
    <row r="222" spans="1:13" ht="24" customHeight="1" x14ac:dyDescent="0.25">
      <c r="A222" s="122" t="s">
        <v>1111</v>
      </c>
      <c r="B222" s="88"/>
      <c r="C222" s="88"/>
      <c r="D222" s="88"/>
      <c r="E222" s="88"/>
      <c r="F222" s="88"/>
      <c r="G222" s="88"/>
      <c r="H222" s="88"/>
      <c r="I222" s="88"/>
      <c r="J222" s="88"/>
      <c r="K222" s="88"/>
      <c r="L222" s="88"/>
      <c r="M222" s="88"/>
    </row>
    <row r="223" spans="1:13" ht="84" x14ac:dyDescent="0.25">
      <c r="A223" s="59"/>
      <c r="B223" s="59"/>
      <c r="C223" s="59"/>
      <c r="D223" s="59"/>
      <c r="E223" s="59"/>
      <c r="F223" s="59"/>
      <c r="G223" s="63" t="s">
        <v>1112</v>
      </c>
      <c r="H223" s="37" t="s">
        <v>475</v>
      </c>
      <c r="I223" s="59"/>
      <c r="J223" s="59"/>
      <c r="K223" s="37" t="s">
        <v>1113</v>
      </c>
      <c r="L223" s="57" t="s">
        <v>15</v>
      </c>
      <c r="M223" s="37" t="s">
        <v>1114</v>
      </c>
    </row>
    <row r="224" spans="1:13" ht="72" x14ac:dyDescent="0.25">
      <c r="A224" s="56"/>
      <c r="B224" s="56"/>
      <c r="C224" s="56"/>
      <c r="D224" s="56"/>
      <c r="E224" s="56"/>
      <c r="F224" s="56"/>
      <c r="G224" s="63" t="s">
        <v>1112</v>
      </c>
      <c r="H224" s="33" t="s">
        <v>507</v>
      </c>
      <c r="I224" s="56"/>
      <c r="J224" s="56"/>
      <c r="K224" s="33" t="s">
        <v>1115</v>
      </c>
      <c r="L224" s="57" t="s">
        <v>15</v>
      </c>
      <c r="M224" s="33" t="s">
        <v>1116</v>
      </c>
    </row>
    <row r="225" spans="1:13" ht="132" x14ac:dyDescent="0.25">
      <c r="A225" s="59"/>
      <c r="B225" s="59"/>
      <c r="C225" s="59"/>
      <c r="D225" s="59"/>
      <c r="E225" s="59"/>
      <c r="F225" s="59"/>
      <c r="G225" s="63" t="s">
        <v>1112</v>
      </c>
      <c r="H225" s="37" t="s">
        <v>572</v>
      </c>
      <c r="I225" s="59"/>
      <c r="J225" s="59"/>
      <c r="K225" s="37" t="s">
        <v>590</v>
      </c>
      <c r="L225" s="57" t="s">
        <v>15</v>
      </c>
      <c r="M225" s="37" t="s">
        <v>1117</v>
      </c>
    </row>
    <row r="226" spans="1:13" ht="120" x14ac:dyDescent="0.25">
      <c r="A226" s="56"/>
      <c r="B226" s="56"/>
      <c r="C226" s="56"/>
      <c r="D226" s="56"/>
      <c r="E226" s="56"/>
      <c r="F226" s="56"/>
      <c r="G226" s="63" t="s">
        <v>1112</v>
      </c>
      <c r="H226" s="33" t="s">
        <v>756</v>
      </c>
      <c r="I226" s="56"/>
      <c r="J226" s="62" t="s">
        <v>461</v>
      </c>
      <c r="K226" s="33" t="s">
        <v>1118</v>
      </c>
      <c r="L226" s="57" t="s">
        <v>15</v>
      </c>
      <c r="M226" s="33" t="s">
        <v>1119</v>
      </c>
    </row>
    <row r="227" spans="1:13" ht="108" x14ac:dyDescent="0.25">
      <c r="A227" s="59"/>
      <c r="B227" s="59"/>
      <c r="C227" s="59"/>
      <c r="D227" s="59"/>
      <c r="E227" s="59"/>
      <c r="F227" s="59"/>
      <c r="G227" s="63" t="s">
        <v>1112</v>
      </c>
      <c r="H227" s="37" t="s">
        <v>565</v>
      </c>
      <c r="I227" s="59"/>
      <c r="J227" s="59"/>
      <c r="K227" s="37" t="s">
        <v>566</v>
      </c>
      <c r="L227" s="57" t="s">
        <v>15</v>
      </c>
      <c r="M227" s="37" t="s">
        <v>1120</v>
      </c>
    </row>
    <row r="228" spans="1:13" ht="108" x14ac:dyDescent="0.25">
      <c r="A228" s="56"/>
      <c r="B228" s="56"/>
      <c r="C228" s="56"/>
      <c r="D228" s="56"/>
      <c r="E228" s="56"/>
      <c r="F228" s="56"/>
      <c r="G228" s="63" t="s">
        <v>1112</v>
      </c>
      <c r="H228" s="33" t="s">
        <v>565</v>
      </c>
      <c r="I228" s="56"/>
      <c r="J228" s="56"/>
      <c r="K228" s="33" t="s">
        <v>566</v>
      </c>
      <c r="L228" s="57" t="s">
        <v>15</v>
      </c>
      <c r="M228" s="33" t="s">
        <v>1121</v>
      </c>
    </row>
    <row r="229" spans="1:13" ht="120" x14ac:dyDescent="0.25">
      <c r="A229" s="59"/>
      <c r="B229" s="59"/>
      <c r="C229" s="59"/>
      <c r="D229" s="59"/>
      <c r="E229" s="59"/>
      <c r="F229" s="59"/>
      <c r="G229" s="63" t="s">
        <v>1112</v>
      </c>
      <c r="H229" s="37" t="s">
        <v>542</v>
      </c>
      <c r="I229" s="59"/>
      <c r="J229" s="59"/>
      <c r="K229" s="37" t="s">
        <v>1122</v>
      </c>
      <c r="L229" s="57" t="s">
        <v>15</v>
      </c>
      <c r="M229" s="37" t="s">
        <v>1123</v>
      </c>
    </row>
    <row r="230" spans="1:13" ht="72" x14ac:dyDescent="0.25">
      <c r="A230" s="56"/>
      <c r="B230" s="56"/>
      <c r="C230" s="56"/>
      <c r="D230" s="56"/>
      <c r="E230" s="56"/>
      <c r="F230" s="56"/>
      <c r="G230" s="63" t="s">
        <v>1112</v>
      </c>
      <c r="H230" s="33" t="s">
        <v>850</v>
      </c>
      <c r="I230" s="56"/>
      <c r="J230" s="56"/>
      <c r="K230" s="33" t="s">
        <v>890</v>
      </c>
      <c r="L230" s="57" t="s">
        <v>15</v>
      </c>
      <c r="M230" s="33" t="s">
        <v>1124</v>
      </c>
    </row>
    <row r="231" spans="1:13" ht="48" x14ac:dyDescent="0.25">
      <c r="A231" s="59"/>
      <c r="B231" s="59"/>
      <c r="C231" s="59"/>
      <c r="D231" s="59"/>
      <c r="E231" s="59"/>
      <c r="F231" s="59"/>
      <c r="G231" s="63" t="s">
        <v>1112</v>
      </c>
      <c r="H231" s="37" t="s">
        <v>1009</v>
      </c>
      <c r="I231" s="59"/>
      <c r="J231" s="59"/>
      <c r="K231" s="37" t="s">
        <v>1032</v>
      </c>
      <c r="L231" s="57" t="s">
        <v>15</v>
      </c>
      <c r="M231" s="37" t="s">
        <v>1125</v>
      </c>
    </row>
    <row r="232" spans="1:13" ht="72" x14ac:dyDescent="0.25">
      <c r="A232" s="56"/>
      <c r="B232" s="56"/>
      <c r="C232" s="56"/>
      <c r="D232" s="56"/>
      <c r="E232" s="56"/>
      <c r="F232" s="56"/>
      <c r="G232" s="63" t="s">
        <v>1112</v>
      </c>
      <c r="H232" s="33" t="s">
        <v>687</v>
      </c>
      <c r="I232" s="56"/>
      <c r="J232" s="56"/>
      <c r="K232" s="33" t="s">
        <v>895</v>
      </c>
      <c r="L232" s="57" t="s">
        <v>15</v>
      </c>
      <c r="M232" s="33" t="s">
        <v>1126</v>
      </c>
    </row>
    <row r="233" spans="1:13" ht="72" x14ac:dyDescent="0.25">
      <c r="A233" s="59"/>
      <c r="B233" s="59"/>
      <c r="C233" s="59"/>
      <c r="D233" s="59"/>
      <c r="E233" s="59"/>
      <c r="F233" s="59"/>
      <c r="G233" s="63" t="s">
        <v>1112</v>
      </c>
      <c r="H233" s="37" t="s">
        <v>687</v>
      </c>
      <c r="I233" s="59"/>
      <c r="J233" s="59"/>
      <c r="K233" s="37" t="s">
        <v>688</v>
      </c>
      <c r="L233" s="57" t="s">
        <v>15</v>
      </c>
      <c r="M233" s="37" t="s">
        <v>1127</v>
      </c>
    </row>
    <row r="234" spans="1:13" ht="60" x14ac:dyDescent="0.25">
      <c r="A234" s="56"/>
      <c r="B234" s="56"/>
      <c r="C234" s="56"/>
      <c r="D234" s="56"/>
      <c r="E234" s="56"/>
      <c r="F234" s="56"/>
      <c r="G234" s="63" t="s">
        <v>1112</v>
      </c>
      <c r="H234" s="33" t="s">
        <v>744</v>
      </c>
      <c r="I234" s="56"/>
      <c r="J234" s="56"/>
      <c r="K234" s="33" t="s">
        <v>1128</v>
      </c>
      <c r="L234" s="57" t="s">
        <v>15</v>
      </c>
      <c r="M234" s="33" t="s">
        <v>1129</v>
      </c>
    </row>
    <row r="235" spans="1:13" ht="60" x14ac:dyDescent="0.25">
      <c r="A235" s="59"/>
      <c r="B235" s="59"/>
      <c r="C235" s="59"/>
      <c r="D235" s="59"/>
      <c r="E235" s="59"/>
      <c r="F235" s="59"/>
      <c r="G235" s="63" t="s">
        <v>1112</v>
      </c>
      <c r="H235" s="37" t="s">
        <v>744</v>
      </c>
      <c r="I235" s="59"/>
      <c r="J235" s="59"/>
      <c r="K235" s="37" t="s">
        <v>1130</v>
      </c>
      <c r="L235" s="57" t="s">
        <v>15</v>
      </c>
      <c r="M235" s="37" t="s">
        <v>1131</v>
      </c>
    </row>
    <row r="236" spans="1:13" ht="60" x14ac:dyDescent="0.25">
      <c r="A236" s="56"/>
      <c r="B236" s="56"/>
      <c r="C236" s="56"/>
      <c r="D236" s="56"/>
      <c r="E236" s="56"/>
      <c r="F236" s="56"/>
      <c r="G236" s="63" t="s">
        <v>1112</v>
      </c>
      <c r="H236" s="33" t="s">
        <v>744</v>
      </c>
      <c r="I236" s="33" t="s">
        <v>504</v>
      </c>
      <c r="J236" s="56"/>
      <c r="K236" s="33" t="s">
        <v>745</v>
      </c>
      <c r="L236" s="57" t="s">
        <v>15</v>
      </c>
      <c r="M236" s="33" t="s">
        <v>1132</v>
      </c>
    </row>
    <row r="237" spans="1:13" ht="60" x14ac:dyDescent="0.25">
      <c r="A237" s="59"/>
      <c r="B237" s="59"/>
      <c r="C237" s="59"/>
      <c r="D237" s="59"/>
      <c r="E237" s="59"/>
      <c r="F237" s="59"/>
      <c r="G237" s="63" t="s">
        <v>1112</v>
      </c>
      <c r="H237" s="37" t="s">
        <v>825</v>
      </c>
      <c r="I237" s="59"/>
      <c r="J237" s="59"/>
      <c r="K237" s="37" t="s">
        <v>1133</v>
      </c>
      <c r="L237" s="57" t="s">
        <v>15</v>
      </c>
      <c r="M237" s="37" t="s">
        <v>1134</v>
      </c>
    </row>
    <row r="238" spans="1:13" ht="60" x14ac:dyDescent="0.25">
      <c r="A238" s="56"/>
      <c r="B238" s="56"/>
      <c r="C238" s="56"/>
      <c r="D238" s="56"/>
      <c r="E238" s="56"/>
      <c r="F238" s="56"/>
      <c r="G238" s="63" t="s">
        <v>1112</v>
      </c>
      <c r="H238" s="33" t="s">
        <v>825</v>
      </c>
      <c r="I238" s="56"/>
      <c r="J238" s="56"/>
      <c r="K238" s="33" t="s">
        <v>1135</v>
      </c>
      <c r="L238" s="57" t="s">
        <v>15</v>
      </c>
      <c r="M238" s="33" t="s">
        <v>1136</v>
      </c>
    </row>
    <row r="239" spans="1:13" ht="48" x14ac:dyDescent="0.25">
      <c r="A239" s="59"/>
      <c r="B239" s="59"/>
      <c r="C239" s="59"/>
      <c r="D239" s="59"/>
      <c r="E239" s="59"/>
      <c r="F239" s="59"/>
      <c r="G239" s="63" t="s">
        <v>1112</v>
      </c>
      <c r="H239" s="37" t="s">
        <v>713</v>
      </c>
      <c r="I239" s="59"/>
      <c r="J239" s="59"/>
      <c r="K239" s="37" t="s">
        <v>1137</v>
      </c>
      <c r="L239" s="57" t="s">
        <v>15</v>
      </c>
      <c r="M239" s="37" t="s">
        <v>1138</v>
      </c>
    </row>
    <row r="240" spans="1:13" ht="72" x14ac:dyDescent="0.25">
      <c r="A240" s="56"/>
      <c r="B240" s="56"/>
      <c r="C240" s="56"/>
      <c r="D240" s="56"/>
      <c r="E240" s="56"/>
      <c r="F240" s="56"/>
      <c r="G240" s="63" t="s">
        <v>1112</v>
      </c>
      <c r="H240" s="33" t="s">
        <v>537</v>
      </c>
      <c r="I240" s="56"/>
      <c r="J240" s="56"/>
      <c r="K240" s="33" t="s">
        <v>723</v>
      </c>
      <c r="L240" s="57" t="s">
        <v>15</v>
      </c>
      <c r="M240" s="33" t="s">
        <v>1139</v>
      </c>
    </row>
    <row r="241" spans="1:13" ht="132" x14ac:dyDescent="0.25">
      <c r="A241" s="59"/>
      <c r="B241" s="59"/>
      <c r="C241" s="59"/>
      <c r="D241" s="59"/>
      <c r="E241" s="59"/>
      <c r="F241" s="59"/>
      <c r="G241" s="63" t="s">
        <v>1112</v>
      </c>
      <c r="H241" s="37" t="s">
        <v>572</v>
      </c>
      <c r="I241" s="37" t="s">
        <v>504</v>
      </c>
      <c r="J241" s="59"/>
      <c r="K241" s="37" t="s">
        <v>1140</v>
      </c>
      <c r="L241" s="60" t="s">
        <v>18</v>
      </c>
      <c r="M241" s="37" t="s">
        <v>1141</v>
      </c>
    </row>
    <row r="242" spans="1:13" ht="132" x14ac:dyDescent="0.25">
      <c r="A242" s="56"/>
      <c r="B242" s="56"/>
      <c r="C242" s="56"/>
      <c r="D242" s="56"/>
      <c r="E242" s="56"/>
      <c r="F242" s="56"/>
      <c r="G242" s="63" t="s">
        <v>1112</v>
      </c>
      <c r="H242" s="33" t="s">
        <v>572</v>
      </c>
      <c r="I242" s="56"/>
      <c r="J242" s="56"/>
      <c r="K242" s="33" t="s">
        <v>594</v>
      </c>
      <c r="L242" s="60" t="s">
        <v>18</v>
      </c>
      <c r="M242" s="33" t="s">
        <v>1142</v>
      </c>
    </row>
    <row r="243" spans="1:13" ht="120" x14ac:dyDescent="0.25">
      <c r="A243" s="59"/>
      <c r="B243" s="59"/>
      <c r="C243" s="59"/>
      <c r="D243" s="59"/>
      <c r="E243" s="59"/>
      <c r="F243" s="59"/>
      <c r="G243" s="63" t="s">
        <v>1112</v>
      </c>
      <c r="H243" s="37" t="s">
        <v>542</v>
      </c>
      <c r="I243" s="59"/>
      <c r="J243" s="59"/>
      <c r="K243" s="37" t="s">
        <v>1122</v>
      </c>
      <c r="L243" s="60" t="s">
        <v>18</v>
      </c>
      <c r="M243" s="37" t="s">
        <v>1143</v>
      </c>
    </row>
    <row r="244" spans="1:13" ht="48" x14ac:dyDescent="0.25">
      <c r="A244" s="56"/>
      <c r="B244" s="56"/>
      <c r="C244" s="56"/>
      <c r="D244" s="56"/>
      <c r="E244" s="56"/>
      <c r="F244" s="56"/>
      <c r="G244" s="63" t="s">
        <v>1112</v>
      </c>
      <c r="H244" s="33" t="s">
        <v>1009</v>
      </c>
      <c r="I244" s="56"/>
      <c r="J244" s="62" t="s">
        <v>461</v>
      </c>
      <c r="K244" s="33" t="s">
        <v>1144</v>
      </c>
      <c r="L244" s="60" t="s">
        <v>18</v>
      </c>
      <c r="M244" s="33" t="s">
        <v>1145</v>
      </c>
    </row>
    <row r="245" spans="1:13" ht="48" x14ac:dyDescent="0.25">
      <c r="A245" s="59"/>
      <c r="B245" s="59"/>
      <c r="C245" s="59"/>
      <c r="D245" s="59"/>
      <c r="E245" s="59"/>
      <c r="F245" s="59"/>
      <c r="G245" s="63" t="s">
        <v>1112</v>
      </c>
      <c r="H245" s="37" t="s">
        <v>713</v>
      </c>
      <c r="I245" s="59"/>
      <c r="J245" s="59"/>
      <c r="K245" s="37" t="s">
        <v>1051</v>
      </c>
      <c r="L245" s="60" t="s">
        <v>18</v>
      </c>
      <c r="M245" s="37" t="s">
        <v>1146</v>
      </c>
    </row>
    <row r="246" spans="1:13" ht="60" x14ac:dyDescent="0.25">
      <c r="A246" s="56"/>
      <c r="B246" s="56"/>
      <c r="C246" s="56"/>
      <c r="D246" s="56"/>
      <c r="E246" s="56"/>
      <c r="F246" s="56"/>
      <c r="G246" s="63" t="s">
        <v>1112</v>
      </c>
      <c r="H246" s="33" t="s">
        <v>825</v>
      </c>
      <c r="I246" s="56"/>
      <c r="J246" s="56"/>
      <c r="K246" s="33" t="s">
        <v>1133</v>
      </c>
      <c r="L246" s="60" t="s">
        <v>18</v>
      </c>
      <c r="M246" s="33" t="s">
        <v>1147</v>
      </c>
    </row>
  </sheetData>
  <autoFilter ref="A3:M3" xr:uid="{00000000-0009-0000-0000-000009000000}"/>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23" t="s">
        <v>1148</v>
      </c>
      <c r="B1" s="88"/>
      <c r="C1" s="88"/>
      <c r="D1" s="88"/>
      <c r="E1" s="88"/>
      <c r="F1" s="88"/>
      <c r="G1" s="88"/>
    </row>
    <row r="2" spans="1:7" ht="54.95" customHeight="1" x14ac:dyDescent="0.25">
      <c r="A2" s="6" t="s">
        <v>9</v>
      </c>
      <c r="B2" s="6" t="s">
        <v>10</v>
      </c>
      <c r="C2" s="64"/>
      <c r="D2" s="65"/>
      <c r="E2" s="65"/>
      <c r="F2" s="65"/>
      <c r="G2" s="65"/>
    </row>
    <row r="3" spans="1:7" ht="18" customHeight="1" x14ac:dyDescent="0.25">
      <c r="A3" s="66" t="s">
        <v>1149</v>
      </c>
      <c r="B3" s="67" t="s">
        <v>1150</v>
      </c>
      <c r="C3" s="68"/>
      <c r="D3" s="69"/>
      <c r="E3" s="69"/>
      <c r="F3" s="69"/>
      <c r="G3" s="69"/>
    </row>
    <row r="4" spans="1:7" ht="18" customHeight="1" x14ac:dyDescent="0.25">
      <c r="A4" s="70" t="s">
        <v>1151</v>
      </c>
      <c r="B4" s="67" t="s">
        <v>1152</v>
      </c>
      <c r="C4" s="71"/>
      <c r="D4" s="72"/>
      <c r="E4" s="72"/>
      <c r="F4" s="72"/>
      <c r="G4" s="72"/>
    </row>
    <row r="5" spans="1:7" ht="18" customHeight="1" x14ac:dyDescent="0.25">
      <c r="A5" s="73" t="s">
        <v>1153</v>
      </c>
      <c r="B5" s="67" t="s">
        <v>1154</v>
      </c>
      <c r="C5" s="74"/>
      <c r="D5" s="75"/>
      <c r="E5" s="75"/>
      <c r="F5" s="75"/>
      <c r="G5" s="75"/>
    </row>
    <row r="6" spans="1:7" ht="30" customHeight="1" x14ac:dyDescent="0.25">
      <c r="A6" s="76" t="s">
        <v>13</v>
      </c>
      <c r="B6" s="33" t="s">
        <v>14</v>
      </c>
      <c r="C6" s="77"/>
      <c r="D6" s="78"/>
      <c r="E6" s="78"/>
      <c r="F6" s="78"/>
      <c r="G6" s="78"/>
    </row>
    <row r="7" spans="1:7" ht="30" customHeight="1" x14ac:dyDescent="0.25">
      <c r="A7" s="79" t="s">
        <v>16</v>
      </c>
      <c r="B7" s="37" t="s">
        <v>17</v>
      </c>
      <c r="C7" s="80"/>
      <c r="D7" s="81"/>
      <c r="E7" s="81"/>
      <c r="F7" s="81"/>
      <c r="G7" s="81"/>
    </row>
    <row r="8" spans="1:7" ht="30" customHeight="1" x14ac:dyDescent="0.25">
      <c r="A8" s="82" t="s">
        <v>19</v>
      </c>
      <c r="B8" s="33" t="s">
        <v>20</v>
      </c>
      <c r="C8" s="77"/>
      <c r="D8" s="78"/>
      <c r="E8" s="78"/>
      <c r="F8" s="78"/>
      <c r="G8" s="78"/>
    </row>
    <row r="9" spans="1:7" ht="30" customHeight="1" x14ac:dyDescent="0.25">
      <c r="A9" s="76" t="s">
        <v>22</v>
      </c>
      <c r="B9" s="37" t="s">
        <v>23</v>
      </c>
      <c r="C9" s="80"/>
      <c r="D9" s="81"/>
      <c r="E9" s="81"/>
      <c r="F9" s="81"/>
      <c r="G9" s="81"/>
    </row>
    <row r="10" spans="1:7" ht="30" customHeight="1" x14ac:dyDescent="0.25">
      <c r="A10" s="76" t="s">
        <v>24</v>
      </c>
      <c r="B10" s="33" t="s">
        <v>25</v>
      </c>
      <c r="C10" s="77"/>
      <c r="D10" s="78"/>
      <c r="E10" s="78"/>
      <c r="F10" s="78"/>
      <c r="G10" s="78"/>
    </row>
    <row r="11" spans="1:7" ht="30" customHeight="1" x14ac:dyDescent="0.25">
      <c r="A11" s="76" t="s">
        <v>26</v>
      </c>
      <c r="B11" s="37" t="s">
        <v>27</v>
      </c>
      <c r="C11" s="80"/>
      <c r="D11" s="81"/>
      <c r="E11" s="81"/>
      <c r="F11" s="81"/>
      <c r="G11" s="81"/>
    </row>
    <row r="12" spans="1:7" ht="30" customHeight="1" x14ac:dyDescent="0.25">
      <c r="A12" s="79" t="s">
        <v>28</v>
      </c>
      <c r="B12" s="33" t="s">
        <v>29</v>
      </c>
      <c r="C12" s="77"/>
      <c r="D12" s="78"/>
      <c r="E12" s="78"/>
      <c r="F12" s="78"/>
      <c r="G12" s="78"/>
    </row>
    <row r="13" spans="1:7" ht="30" customHeight="1" x14ac:dyDescent="0.25">
      <c r="A13" s="79" t="s">
        <v>30</v>
      </c>
      <c r="B13" s="37" t="s">
        <v>31</v>
      </c>
      <c r="C13" s="80"/>
      <c r="D13" s="81"/>
      <c r="E13" s="81"/>
      <c r="F13" s="81"/>
      <c r="G13" s="81"/>
    </row>
    <row r="14" spans="1:7" ht="30" customHeight="1" x14ac:dyDescent="0.25">
      <c r="A14" s="76" t="s">
        <v>32</v>
      </c>
      <c r="B14" s="33" t="s">
        <v>33</v>
      </c>
      <c r="C14" s="77"/>
      <c r="D14" s="78"/>
      <c r="E14" s="78"/>
      <c r="F14" s="78"/>
      <c r="G14" s="78"/>
    </row>
    <row r="15" spans="1:7" ht="30" customHeight="1" x14ac:dyDescent="0.25">
      <c r="A15" s="76" t="s">
        <v>34</v>
      </c>
      <c r="B15" s="37" t="s">
        <v>35</v>
      </c>
      <c r="C15" s="80"/>
      <c r="D15" s="81"/>
      <c r="E15" s="81"/>
      <c r="F15" s="81"/>
      <c r="G15" s="81"/>
    </row>
    <row r="16" spans="1:7" ht="30" customHeight="1" x14ac:dyDescent="0.25">
      <c r="A16" s="76" t="s">
        <v>36</v>
      </c>
      <c r="B16" s="33" t="s">
        <v>37</v>
      </c>
      <c r="C16" s="77"/>
      <c r="D16" s="78"/>
      <c r="E16" s="78"/>
      <c r="F16" s="78"/>
      <c r="G16" s="78"/>
    </row>
    <row r="17" spans="1:7" ht="30" customHeight="1" x14ac:dyDescent="0.25">
      <c r="A17" s="82" t="s">
        <v>38</v>
      </c>
      <c r="B17" s="37" t="s">
        <v>39</v>
      </c>
      <c r="C17" s="80"/>
      <c r="D17" s="81"/>
      <c r="E17" s="81"/>
      <c r="F17" s="81"/>
      <c r="G17" s="81"/>
    </row>
    <row r="18" spans="1:7" ht="30" customHeight="1" x14ac:dyDescent="0.25">
      <c r="A18" s="76" t="s">
        <v>40</v>
      </c>
      <c r="B18" s="33" t="s">
        <v>41</v>
      </c>
      <c r="C18" s="77"/>
      <c r="D18" s="78"/>
      <c r="E18" s="78"/>
      <c r="F18" s="78"/>
      <c r="G18" s="78"/>
    </row>
    <row r="19" spans="1:7" ht="30" customHeight="1" x14ac:dyDescent="0.25">
      <c r="A19" s="76" t="s">
        <v>42</v>
      </c>
      <c r="B19" s="37" t="s">
        <v>43</v>
      </c>
      <c r="C19" s="80"/>
      <c r="D19" s="81"/>
      <c r="E19" s="81"/>
      <c r="F19" s="81"/>
      <c r="G19" s="81"/>
    </row>
    <row r="20" spans="1:7" ht="30" customHeight="1" x14ac:dyDescent="0.25">
      <c r="A20" s="76" t="s">
        <v>44</v>
      </c>
      <c r="B20" s="33" t="s">
        <v>45</v>
      </c>
      <c r="C20" s="77"/>
      <c r="D20" s="78"/>
      <c r="E20" s="78"/>
      <c r="F20" s="78"/>
      <c r="G20" s="78"/>
    </row>
    <row r="21" spans="1:7" ht="30" customHeight="1" x14ac:dyDescent="0.25">
      <c r="A21" s="79" t="s">
        <v>46</v>
      </c>
      <c r="B21" s="37" t="s">
        <v>47</v>
      </c>
      <c r="C21" s="80"/>
      <c r="D21" s="81"/>
      <c r="E21" s="81"/>
      <c r="F21" s="81"/>
      <c r="G21" s="81"/>
    </row>
    <row r="22" spans="1:7" ht="30" customHeight="1" x14ac:dyDescent="0.25">
      <c r="A22" s="76" t="s">
        <v>48</v>
      </c>
      <c r="B22" s="33" t="s">
        <v>49</v>
      </c>
      <c r="C22" s="77"/>
      <c r="D22" s="78"/>
      <c r="E22" s="78"/>
      <c r="F22" s="78"/>
      <c r="G22" s="78"/>
    </row>
    <row r="23" spans="1:7" ht="30" customHeight="1" x14ac:dyDescent="0.25">
      <c r="A23" s="79" t="s">
        <v>51</v>
      </c>
      <c r="B23" s="37" t="s">
        <v>52</v>
      </c>
      <c r="C23" s="80"/>
      <c r="D23" s="81"/>
      <c r="E23" s="81"/>
      <c r="F23" s="81"/>
      <c r="G23" s="81"/>
    </row>
    <row r="24" spans="1:7" ht="30" customHeight="1" x14ac:dyDescent="0.25">
      <c r="A24" s="76" t="s">
        <v>53</v>
      </c>
      <c r="B24" s="33" t="s">
        <v>54</v>
      </c>
      <c r="C24" s="77"/>
      <c r="D24" s="78"/>
      <c r="E24" s="78"/>
      <c r="F24" s="78"/>
      <c r="G24" s="78"/>
    </row>
    <row r="25" spans="1:7" ht="30" customHeight="1" x14ac:dyDescent="0.25">
      <c r="A25" s="76" t="s">
        <v>55</v>
      </c>
      <c r="B25" s="37" t="s">
        <v>56</v>
      </c>
      <c r="C25" s="80"/>
      <c r="D25" s="81"/>
      <c r="E25" s="81"/>
      <c r="F25" s="81"/>
      <c r="G25" s="81"/>
    </row>
    <row r="26" spans="1:7" ht="30" customHeight="1" x14ac:dyDescent="0.25">
      <c r="A26" s="82" t="s">
        <v>57</v>
      </c>
      <c r="B26" s="33" t="s">
        <v>58</v>
      </c>
      <c r="C26" s="77"/>
      <c r="D26" s="78"/>
      <c r="E26" s="78"/>
      <c r="F26" s="78"/>
      <c r="G26" s="78"/>
    </row>
    <row r="27" spans="1:7" ht="30" customHeight="1" x14ac:dyDescent="0.25">
      <c r="A27" s="76" t="s">
        <v>59</v>
      </c>
      <c r="B27" s="37" t="s">
        <v>60</v>
      </c>
      <c r="C27" s="80"/>
      <c r="D27" s="81"/>
      <c r="E27" s="81"/>
      <c r="F27" s="81"/>
      <c r="G27" s="81"/>
    </row>
    <row r="28" spans="1:7" ht="30" customHeight="1" x14ac:dyDescent="0.25">
      <c r="A28" s="82" t="s">
        <v>61</v>
      </c>
      <c r="B28" s="33" t="s">
        <v>62</v>
      </c>
      <c r="C28" s="77"/>
      <c r="D28" s="78"/>
      <c r="E28" s="78"/>
      <c r="F28" s="78"/>
      <c r="G28" s="78"/>
    </row>
    <row r="29" spans="1:7" ht="30" customHeight="1" x14ac:dyDescent="0.25">
      <c r="A29" s="76" t="s">
        <v>63</v>
      </c>
      <c r="B29" s="37" t="s">
        <v>64</v>
      </c>
      <c r="C29" s="80"/>
      <c r="D29" s="81"/>
      <c r="E29" s="81"/>
      <c r="F29" s="81"/>
      <c r="G29" s="81"/>
    </row>
    <row r="30" spans="1:7" ht="30" customHeight="1" x14ac:dyDescent="0.25">
      <c r="A30" s="79" t="s">
        <v>65</v>
      </c>
      <c r="B30" s="33" t="s">
        <v>66</v>
      </c>
      <c r="C30" s="77"/>
      <c r="D30" s="78"/>
      <c r="E30" s="78"/>
      <c r="F30" s="78"/>
      <c r="G30" s="78"/>
    </row>
    <row r="31" spans="1:7" ht="30" customHeight="1" x14ac:dyDescent="0.25">
      <c r="A31" s="79" t="s">
        <v>67</v>
      </c>
      <c r="B31" s="37" t="s">
        <v>68</v>
      </c>
      <c r="C31" s="80"/>
      <c r="D31" s="81"/>
      <c r="E31" s="81"/>
      <c r="F31" s="81"/>
      <c r="G31" s="81"/>
    </row>
    <row r="32" spans="1:7" ht="30" customHeight="1" x14ac:dyDescent="0.25">
      <c r="A32" s="79" t="s">
        <v>69</v>
      </c>
      <c r="B32" s="33" t="s">
        <v>70</v>
      </c>
      <c r="C32" s="77"/>
      <c r="D32" s="78"/>
      <c r="E32" s="78"/>
      <c r="F32" s="78"/>
      <c r="G32" s="78"/>
    </row>
    <row r="33" spans="1:7" ht="30" customHeight="1" x14ac:dyDescent="0.25">
      <c r="A33" s="76" t="s">
        <v>71</v>
      </c>
      <c r="B33" s="37" t="s">
        <v>72</v>
      </c>
      <c r="C33" s="80"/>
      <c r="D33" s="81"/>
      <c r="E33" s="81"/>
      <c r="F33" s="81"/>
      <c r="G33" s="81"/>
    </row>
    <row r="34" spans="1:7" ht="30" customHeight="1" x14ac:dyDescent="0.25">
      <c r="A34" s="79" t="s">
        <v>73</v>
      </c>
      <c r="B34" s="33" t="s">
        <v>74</v>
      </c>
      <c r="C34" s="77"/>
      <c r="D34" s="78"/>
      <c r="E34" s="78"/>
      <c r="F34" s="78"/>
      <c r="G34" s="78"/>
    </row>
    <row r="35" spans="1:7" ht="30" customHeight="1" x14ac:dyDescent="0.25">
      <c r="A35" s="76" t="s">
        <v>75</v>
      </c>
      <c r="B35" s="37" t="s">
        <v>76</v>
      </c>
      <c r="C35" s="80"/>
      <c r="D35" s="81"/>
      <c r="E35" s="81"/>
      <c r="F35" s="81"/>
      <c r="G35" s="81"/>
    </row>
    <row r="36" spans="1:7" ht="30" customHeight="1" x14ac:dyDescent="0.25">
      <c r="A36" s="79" t="s">
        <v>77</v>
      </c>
      <c r="B36" s="33" t="s">
        <v>78</v>
      </c>
      <c r="C36" s="77"/>
      <c r="D36" s="78"/>
      <c r="E36" s="78"/>
      <c r="F36" s="78"/>
      <c r="G36" s="78"/>
    </row>
    <row r="37" spans="1:7" ht="30" customHeight="1" x14ac:dyDescent="0.25">
      <c r="A37" s="79" t="s">
        <v>79</v>
      </c>
      <c r="B37" s="37" t="s">
        <v>80</v>
      </c>
      <c r="C37" s="80"/>
      <c r="D37" s="81"/>
      <c r="E37" s="81"/>
      <c r="F37" s="81"/>
      <c r="G37" s="81"/>
    </row>
    <row r="38" spans="1:7" ht="30" customHeight="1" x14ac:dyDescent="0.25">
      <c r="A38" s="79" t="s">
        <v>81</v>
      </c>
      <c r="B38" s="33" t="s">
        <v>82</v>
      </c>
      <c r="C38" s="77"/>
      <c r="D38" s="78"/>
      <c r="E38" s="78"/>
      <c r="F38" s="78"/>
      <c r="G38" s="78"/>
    </row>
    <row r="39" spans="1:7" ht="30" customHeight="1" x14ac:dyDescent="0.25">
      <c r="A39" s="76" t="s">
        <v>83</v>
      </c>
      <c r="B39" s="37" t="s">
        <v>84</v>
      </c>
      <c r="C39" s="80"/>
      <c r="D39" s="81"/>
      <c r="E39" s="81"/>
      <c r="F39" s="81"/>
      <c r="G39" s="81"/>
    </row>
    <row r="40" spans="1:7" ht="30" customHeight="1" x14ac:dyDescent="0.25">
      <c r="A40" s="79" t="s">
        <v>85</v>
      </c>
      <c r="B40" s="33" t="s">
        <v>86</v>
      </c>
      <c r="C40" s="77"/>
      <c r="D40" s="78"/>
      <c r="E40" s="78"/>
      <c r="F40" s="78"/>
      <c r="G40" s="78"/>
    </row>
    <row r="41" spans="1:7" ht="30" customHeight="1" x14ac:dyDescent="0.25">
      <c r="A41" s="79" t="s">
        <v>87</v>
      </c>
      <c r="B41" s="37" t="s">
        <v>88</v>
      </c>
      <c r="C41" s="80"/>
      <c r="D41" s="81"/>
      <c r="E41" s="81"/>
      <c r="F41" s="81"/>
      <c r="G41" s="81"/>
    </row>
    <row r="42" spans="1:7" ht="30" customHeight="1" x14ac:dyDescent="0.25">
      <c r="A42" s="79" t="s">
        <v>89</v>
      </c>
      <c r="B42" s="33" t="s">
        <v>90</v>
      </c>
      <c r="C42" s="77"/>
      <c r="D42" s="78"/>
      <c r="E42" s="78"/>
      <c r="F42" s="78"/>
      <c r="G42" s="78"/>
    </row>
    <row r="43" spans="1:7" ht="30" customHeight="1" x14ac:dyDescent="0.25">
      <c r="A43" s="76" t="s">
        <v>91</v>
      </c>
      <c r="B43" s="37" t="s">
        <v>92</v>
      </c>
      <c r="C43" s="80"/>
      <c r="D43" s="81"/>
      <c r="E43" s="81"/>
      <c r="F43" s="81"/>
      <c r="G43" s="81"/>
    </row>
    <row r="44" spans="1:7" ht="30" customHeight="1" x14ac:dyDescent="0.25">
      <c r="A44" s="79" t="s">
        <v>93</v>
      </c>
      <c r="B44" s="33" t="s">
        <v>94</v>
      </c>
      <c r="C44" s="77"/>
      <c r="D44" s="78"/>
      <c r="E44" s="78"/>
      <c r="F44" s="78"/>
      <c r="G44" s="78"/>
    </row>
    <row r="45" spans="1:7" ht="30" customHeight="1" x14ac:dyDescent="0.25">
      <c r="A45" s="79" t="s">
        <v>95</v>
      </c>
      <c r="B45" s="37" t="s">
        <v>96</v>
      </c>
      <c r="C45" s="80"/>
      <c r="D45" s="81"/>
      <c r="E45" s="81"/>
      <c r="F45" s="81"/>
      <c r="G45" s="81"/>
    </row>
    <row r="46" spans="1:7" ht="30" customHeight="1" x14ac:dyDescent="0.25">
      <c r="A46" s="82" t="s">
        <v>97</v>
      </c>
      <c r="B46" s="33" t="s">
        <v>98</v>
      </c>
      <c r="C46" s="77"/>
      <c r="D46" s="78"/>
      <c r="E46" s="78"/>
      <c r="F46" s="78"/>
      <c r="G46" s="78"/>
    </row>
    <row r="47" spans="1:7" ht="30" customHeight="1" x14ac:dyDescent="0.25">
      <c r="A47" s="76" t="s">
        <v>99</v>
      </c>
      <c r="B47" s="37" t="s">
        <v>100</v>
      </c>
      <c r="C47" s="80"/>
      <c r="D47" s="81"/>
      <c r="E47" s="81"/>
      <c r="F47" s="81"/>
      <c r="G47" s="81"/>
    </row>
    <row r="48" spans="1:7" ht="30" customHeight="1" x14ac:dyDescent="0.25">
      <c r="A48" s="76" t="s">
        <v>101</v>
      </c>
      <c r="B48" s="33" t="s">
        <v>102</v>
      </c>
      <c r="C48" s="77"/>
      <c r="D48" s="78"/>
      <c r="E48" s="78"/>
      <c r="F48" s="78"/>
      <c r="G48" s="78"/>
    </row>
    <row r="49" spans="1:7" ht="30" customHeight="1" x14ac:dyDescent="0.25">
      <c r="A49" s="79" t="s">
        <v>103</v>
      </c>
      <c r="B49" s="37" t="s">
        <v>104</v>
      </c>
      <c r="C49" s="80"/>
      <c r="D49" s="81"/>
      <c r="E49" s="81"/>
      <c r="F49" s="81"/>
      <c r="G49" s="81"/>
    </row>
    <row r="50" spans="1:7" ht="30" customHeight="1" x14ac:dyDescent="0.25">
      <c r="A50" s="82" t="s">
        <v>105</v>
      </c>
      <c r="B50" s="33" t="s">
        <v>106</v>
      </c>
      <c r="C50" s="77"/>
      <c r="D50" s="78"/>
      <c r="E50" s="78"/>
      <c r="F50" s="78"/>
      <c r="G50" s="78"/>
    </row>
    <row r="51" spans="1:7" ht="30" customHeight="1" x14ac:dyDescent="0.25">
      <c r="A51" s="76" t="s">
        <v>107</v>
      </c>
      <c r="B51" s="37" t="s">
        <v>108</v>
      </c>
      <c r="C51" s="80"/>
      <c r="D51" s="81"/>
      <c r="E51" s="81"/>
      <c r="F51" s="81"/>
      <c r="G51" s="81"/>
    </row>
    <row r="52" spans="1:7" ht="30" customHeight="1" x14ac:dyDescent="0.25">
      <c r="A52" s="76" t="s">
        <v>109</v>
      </c>
      <c r="B52" s="33" t="s">
        <v>110</v>
      </c>
      <c r="C52" s="77"/>
      <c r="D52" s="78"/>
      <c r="E52" s="78"/>
      <c r="F52" s="78"/>
      <c r="G52" s="78"/>
    </row>
    <row r="53" spans="1:7" ht="30" customHeight="1" x14ac:dyDescent="0.25">
      <c r="A53" s="76" t="s">
        <v>111</v>
      </c>
      <c r="B53" s="37" t="s">
        <v>112</v>
      </c>
      <c r="C53" s="80"/>
      <c r="D53" s="81"/>
      <c r="E53" s="81"/>
      <c r="F53" s="81"/>
      <c r="G53" s="81"/>
    </row>
    <row r="54" spans="1:7" ht="30" customHeight="1" x14ac:dyDescent="0.25">
      <c r="A54" s="79" t="s">
        <v>113</v>
      </c>
      <c r="B54" s="33" t="s">
        <v>114</v>
      </c>
      <c r="C54" s="77"/>
      <c r="D54" s="78"/>
      <c r="E54" s="78"/>
      <c r="F54" s="78"/>
      <c r="G54" s="78"/>
    </row>
    <row r="55" spans="1:7" ht="30" customHeight="1" x14ac:dyDescent="0.25">
      <c r="A55" s="76" t="s">
        <v>115</v>
      </c>
      <c r="B55" s="37" t="s">
        <v>116</v>
      </c>
      <c r="C55" s="80"/>
      <c r="D55" s="81"/>
      <c r="E55" s="81"/>
      <c r="F55" s="81"/>
      <c r="G55" s="81"/>
    </row>
    <row r="56" spans="1:7" ht="30" customHeight="1" x14ac:dyDescent="0.25">
      <c r="A56" s="79" t="s">
        <v>117</v>
      </c>
      <c r="B56" s="33" t="s">
        <v>118</v>
      </c>
      <c r="C56" s="77"/>
      <c r="D56" s="78"/>
      <c r="E56" s="78"/>
      <c r="F56" s="78"/>
      <c r="G56" s="78"/>
    </row>
    <row r="57" spans="1:7" ht="30" customHeight="1" x14ac:dyDescent="0.25">
      <c r="A57" s="76" t="s">
        <v>119</v>
      </c>
      <c r="B57" s="37" t="s">
        <v>120</v>
      </c>
      <c r="C57" s="80"/>
      <c r="D57" s="81"/>
      <c r="E57" s="81"/>
      <c r="F57" s="81"/>
      <c r="G57" s="81"/>
    </row>
    <row r="58" spans="1:7" ht="30" customHeight="1" x14ac:dyDescent="0.25">
      <c r="A58" s="79" t="s">
        <v>121</v>
      </c>
      <c r="B58" s="33" t="s">
        <v>122</v>
      </c>
      <c r="C58" s="77"/>
      <c r="D58" s="78"/>
      <c r="E58" s="78"/>
      <c r="F58" s="78"/>
      <c r="G58" s="78"/>
    </row>
    <row r="59" spans="1:7" ht="30" customHeight="1" x14ac:dyDescent="0.25">
      <c r="A59" s="82" t="s">
        <v>123</v>
      </c>
      <c r="B59" s="37" t="s">
        <v>124</v>
      </c>
      <c r="C59" s="80"/>
      <c r="D59" s="81"/>
      <c r="E59" s="81"/>
      <c r="F59" s="81"/>
      <c r="G59" s="81"/>
    </row>
    <row r="60" spans="1:7" ht="30" customHeight="1" x14ac:dyDescent="0.25">
      <c r="A60" s="82" t="s">
        <v>125</v>
      </c>
      <c r="B60" s="33" t="s">
        <v>126</v>
      </c>
      <c r="C60" s="77"/>
      <c r="D60" s="78"/>
      <c r="E60" s="78"/>
      <c r="F60" s="78"/>
      <c r="G60" s="78"/>
    </row>
    <row r="61" spans="1:7" ht="30" customHeight="1" x14ac:dyDescent="0.25">
      <c r="A61" s="76" t="s">
        <v>127</v>
      </c>
      <c r="B61" s="37" t="s">
        <v>128</v>
      </c>
      <c r="C61" s="80"/>
      <c r="D61" s="81"/>
      <c r="E61" s="81"/>
      <c r="F61" s="81"/>
      <c r="G61" s="81"/>
    </row>
    <row r="62" spans="1:7" ht="30" customHeight="1" x14ac:dyDescent="0.25">
      <c r="A62" s="82" t="s">
        <v>129</v>
      </c>
      <c r="B62" s="33" t="s">
        <v>130</v>
      </c>
      <c r="C62" s="77"/>
      <c r="D62" s="78"/>
      <c r="E62" s="78"/>
      <c r="F62" s="78"/>
      <c r="G62" s="78"/>
    </row>
    <row r="63" spans="1:7" ht="30" customHeight="1" x14ac:dyDescent="0.25">
      <c r="A63" s="76" t="s">
        <v>131</v>
      </c>
      <c r="B63" s="37" t="s">
        <v>132</v>
      </c>
      <c r="C63" s="80"/>
      <c r="D63" s="81"/>
      <c r="E63" s="81"/>
      <c r="F63" s="81"/>
      <c r="G63" s="81"/>
    </row>
    <row r="64" spans="1:7" ht="30" customHeight="1" x14ac:dyDescent="0.25">
      <c r="A64" s="76" t="s">
        <v>133</v>
      </c>
      <c r="B64" s="33" t="s">
        <v>134</v>
      </c>
      <c r="C64" s="77"/>
      <c r="D64" s="78"/>
      <c r="E64" s="78"/>
      <c r="F64" s="78"/>
      <c r="G64" s="78"/>
    </row>
    <row r="65" spans="1:7" ht="30" customHeight="1" x14ac:dyDescent="0.25">
      <c r="A65" s="79" t="s">
        <v>135</v>
      </c>
      <c r="B65" s="37" t="s">
        <v>136</v>
      </c>
      <c r="C65" s="80"/>
      <c r="D65" s="81"/>
      <c r="E65" s="81"/>
      <c r="F65" s="81"/>
      <c r="G65" s="81"/>
    </row>
    <row r="66" spans="1:7" ht="30" customHeight="1" x14ac:dyDescent="0.25">
      <c r="A66" s="76" t="s">
        <v>137</v>
      </c>
      <c r="B66" s="33" t="s">
        <v>138</v>
      </c>
      <c r="C66" s="77"/>
      <c r="D66" s="78"/>
      <c r="E66" s="78"/>
      <c r="F66" s="78"/>
      <c r="G66" s="78"/>
    </row>
    <row r="67" spans="1:7" ht="30" customHeight="1" x14ac:dyDescent="0.25">
      <c r="A67" s="79" t="s">
        <v>139</v>
      </c>
      <c r="B67" s="37" t="s">
        <v>140</v>
      </c>
      <c r="C67" s="80"/>
      <c r="D67" s="81"/>
      <c r="E67" s="81"/>
      <c r="F67" s="81"/>
      <c r="G67" s="81"/>
    </row>
    <row r="68" spans="1:7" ht="30" customHeight="1" x14ac:dyDescent="0.25">
      <c r="A68" s="76" t="s">
        <v>141</v>
      </c>
      <c r="B68" s="33" t="s">
        <v>142</v>
      </c>
      <c r="C68" s="77"/>
      <c r="D68" s="78"/>
      <c r="E68" s="78"/>
      <c r="F68" s="78"/>
      <c r="G68" s="78"/>
    </row>
    <row r="69" spans="1:7" ht="30" customHeight="1" x14ac:dyDescent="0.25">
      <c r="A69" s="79" t="s">
        <v>143</v>
      </c>
      <c r="B69" s="37" t="s">
        <v>144</v>
      </c>
      <c r="C69" s="80"/>
      <c r="D69" s="81"/>
      <c r="E69" s="81"/>
      <c r="F69" s="81"/>
      <c r="G69" s="81"/>
    </row>
    <row r="70" spans="1:7" ht="30" customHeight="1" x14ac:dyDescent="0.25">
      <c r="A70" s="79" t="s">
        <v>145</v>
      </c>
      <c r="B70" s="33" t="s">
        <v>146</v>
      </c>
      <c r="C70" s="77"/>
      <c r="D70" s="78"/>
      <c r="E70" s="78"/>
      <c r="F70" s="78"/>
      <c r="G70" s="78"/>
    </row>
    <row r="71" spans="1:7" ht="30" customHeight="1" x14ac:dyDescent="0.25">
      <c r="A71" s="76" t="s">
        <v>147</v>
      </c>
      <c r="B71" s="37" t="s">
        <v>148</v>
      </c>
      <c r="C71" s="80"/>
      <c r="D71" s="81"/>
      <c r="E71" s="81"/>
      <c r="F71" s="81"/>
      <c r="G71" s="81"/>
    </row>
    <row r="72" spans="1:7" ht="30" customHeight="1" x14ac:dyDescent="0.25">
      <c r="A72" s="76" t="s">
        <v>149</v>
      </c>
      <c r="B72" s="33" t="s">
        <v>150</v>
      </c>
      <c r="C72" s="77"/>
      <c r="D72" s="78"/>
      <c r="E72" s="78"/>
      <c r="F72" s="78"/>
      <c r="G72" s="78"/>
    </row>
    <row r="73" spans="1:7" ht="30" customHeight="1" x14ac:dyDescent="0.25">
      <c r="A73" s="79" t="s">
        <v>151</v>
      </c>
      <c r="B73" s="37" t="s">
        <v>152</v>
      </c>
      <c r="C73" s="80"/>
      <c r="D73" s="81"/>
      <c r="E73" s="81"/>
      <c r="F73" s="81"/>
      <c r="G73" s="81"/>
    </row>
    <row r="74" spans="1:7" ht="30" customHeight="1" x14ac:dyDescent="0.25">
      <c r="A74" s="82" t="s">
        <v>153</v>
      </c>
      <c r="B74" s="33" t="s">
        <v>154</v>
      </c>
      <c r="C74" s="77"/>
      <c r="D74" s="78"/>
      <c r="E74" s="78"/>
      <c r="F74" s="78"/>
      <c r="G74" s="78"/>
    </row>
    <row r="75" spans="1:7" ht="30" customHeight="1" x14ac:dyDescent="0.25">
      <c r="A75" s="76" t="s">
        <v>155</v>
      </c>
      <c r="B75" s="37" t="s">
        <v>156</v>
      </c>
      <c r="C75" s="80"/>
      <c r="D75" s="81"/>
      <c r="E75" s="81"/>
      <c r="F75" s="81"/>
      <c r="G75" s="81"/>
    </row>
    <row r="76" spans="1:7" ht="30" customHeight="1" x14ac:dyDescent="0.25">
      <c r="A76" s="76" t="s">
        <v>157</v>
      </c>
      <c r="B76" s="33" t="s">
        <v>158</v>
      </c>
      <c r="C76" s="77"/>
      <c r="D76" s="78"/>
      <c r="E76" s="78"/>
      <c r="F76" s="78"/>
      <c r="G76" s="78"/>
    </row>
    <row r="77" spans="1:7" ht="30" customHeight="1" x14ac:dyDescent="0.25">
      <c r="A77" s="79" t="s">
        <v>159</v>
      </c>
      <c r="B77" s="37" t="s">
        <v>160</v>
      </c>
      <c r="C77" s="80"/>
      <c r="D77" s="81"/>
      <c r="E77" s="81"/>
      <c r="F77" s="81"/>
      <c r="G77" s="81"/>
    </row>
    <row r="78" spans="1:7" ht="30" customHeight="1" x14ac:dyDescent="0.25">
      <c r="A78" s="76" t="s">
        <v>161</v>
      </c>
      <c r="B78" s="33" t="s">
        <v>162</v>
      </c>
      <c r="C78" s="77"/>
      <c r="D78" s="78"/>
      <c r="E78" s="78"/>
      <c r="F78" s="78"/>
      <c r="G78" s="78"/>
    </row>
    <row r="79" spans="1:7" ht="30" customHeight="1" x14ac:dyDescent="0.25">
      <c r="A79" s="76" t="s">
        <v>163</v>
      </c>
      <c r="B79" s="37" t="s">
        <v>164</v>
      </c>
      <c r="C79" s="80"/>
      <c r="D79" s="81"/>
      <c r="E79" s="81"/>
      <c r="F79" s="81"/>
      <c r="G79" s="81"/>
    </row>
    <row r="80" spans="1:7" ht="30" customHeight="1" x14ac:dyDescent="0.25">
      <c r="A80" s="76" t="s">
        <v>165</v>
      </c>
      <c r="B80" s="33" t="s">
        <v>166</v>
      </c>
      <c r="C80" s="77"/>
      <c r="D80" s="78"/>
      <c r="E80" s="78"/>
      <c r="F80" s="78"/>
      <c r="G80" s="78"/>
    </row>
    <row r="81" spans="1:7" ht="30" customHeight="1" x14ac:dyDescent="0.25">
      <c r="A81" s="79" t="s">
        <v>167</v>
      </c>
      <c r="B81" s="37" t="s">
        <v>168</v>
      </c>
      <c r="C81" s="80"/>
      <c r="D81" s="81"/>
      <c r="E81" s="81"/>
      <c r="F81" s="81"/>
      <c r="G81" s="81"/>
    </row>
    <row r="82" spans="1:7" ht="30" customHeight="1" x14ac:dyDescent="0.25">
      <c r="A82" s="76" t="s">
        <v>169</v>
      </c>
      <c r="B82" s="33" t="s">
        <v>170</v>
      </c>
      <c r="C82" s="77"/>
      <c r="D82" s="78"/>
      <c r="E82" s="78"/>
      <c r="F82" s="78"/>
      <c r="G82" s="78"/>
    </row>
    <row r="83" spans="1:7" ht="30" customHeight="1" x14ac:dyDescent="0.25">
      <c r="A83" s="82" t="s">
        <v>171</v>
      </c>
      <c r="B83" s="37" t="s">
        <v>172</v>
      </c>
      <c r="C83" s="80"/>
      <c r="D83" s="81"/>
      <c r="E83" s="81"/>
      <c r="F83" s="81"/>
      <c r="G83" s="81"/>
    </row>
    <row r="84" spans="1:7" ht="30" customHeight="1" x14ac:dyDescent="0.25">
      <c r="A84" s="76" t="s">
        <v>173</v>
      </c>
      <c r="B84" s="33" t="s">
        <v>174</v>
      </c>
      <c r="C84" s="77"/>
      <c r="D84" s="78"/>
      <c r="E84" s="78"/>
      <c r="F84" s="78"/>
      <c r="G84" s="78"/>
    </row>
    <row r="85" spans="1:7" ht="30" customHeight="1" x14ac:dyDescent="0.25">
      <c r="A85" s="79" t="s">
        <v>175</v>
      </c>
      <c r="B85" s="37" t="s">
        <v>176</v>
      </c>
      <c r="C85" s="80"/>
      <c r="D85" s="81"/>
      <c r="E85" s="81"/>
      <c r="F85" s="81"/>
      <c r="G85" s="81"/>
    </row>
    <row r="86" spans="1:7" ht="30" customHeight="1" x14ac:dyDescent="0.25">
      <c r="A86" s="76" t="s">
        <v>177</v>
      </c>
      <c r="B86" s="33" t="s">
        <v>178</v>
      </c>
      <c r="C86" s="77"/>
      <c r="D86" s="78"/>
      <c r="E86" s="78"/>
      <c r="F86" s="78"/>
      <c r="G86" s="78"/>
    </row>
    <row r="87" spans="1:7" ht="30" customHeight="1" x14ac:dyDescent="0.25">
      <c r="A87" s="76" t="s">
        <v>179</v>
      </c>
      <c r="B87" s="37" t="s">
        <v>180</v>
      </c>
      <c r="C87" s="80"/>
      <c r="D87" s="81"/>
      <c r="E87" s="81"/>
      <c r="F87" s="81"/>
      <c r="G87" s="81"/>
    </row>
    <row r="88" spans="1:7" ht="30" customHeight="1" x14ac:dyDescent="0.25">
      <c r="A88" s="79" t="s">
        <v>181</v>
      </c>
      <c r="B88" s="33" t="s">
        <v>182</v>
      </c>
      <c r="C88" s="77"/>
      <c r="D88" s="78"/>
      <c r="E88" s="78"/>
      <c r="F88" s="78"/>
      <c r="G88" s="78"/>
    </row>
    <row r="89" spans="1:7" ht="30" customHeight="1" x14ac:dyDescent="0.25">
      <c r="A89" s="76" t="s">
        <v>183</v>
      </c>
      <c r="B89" s="37" t="s">
        <v>184</v>
      </c>
      <c r="C89" s="80"/>
      <c r="D89" s="81"/>
      <c r="E89" s="81"/>
      <c r="F89" s="81"/>
      <c r="G89" s="81"/>
    </row>
    <row r="90" spans="1:7" ht="30" customHeight="1" x14ac:dyDescent="0.25">
      <c r="A90" s="82" t="s">
        <v>185</v>
      </c>
      <c r="B90" s="33" t="s">
        <v>186</v>
      </c>
      <c r="C90" s="77"/>
      <c r="D90" s="78"/>
      <c r="E90" s="78"/>
      <c r="F90" s="78"/>
      <c r="G90" s="78"/>
    </row>
    <row r="91" spans="1:7" ht="30" customHeight="1" x14ac:dyDescent="0.25">
      <c r="A91" s="76" t="s">
        <v>187</v>
      </c>
      <c r="B91" s="37" t="s">
        <v>188</v>
      </c>
      <c r="C91" s="80"/>
      <c r="D91" s="81"/>
      <c r="E91" s="81"/>
      <c r="F91" s="81"/>
      <c r="G91" s="81"/>
    </row>
    <row r="92" spans="1:7" ht="30" customHeight="1" x14ac:dyDescent="0.25">
      <c r="A92" s="76" t="s">
        <v>189</v>
      </c>
      <c r="B92" s="33" t="s">
        <v>190</v>
      </c>
      <c r="C92" s="77"/>
      <c r="D92" s="78"/>
      <c r="E92" s="78"/>
      <c r="F92" s="78"/>
      <c r="G92" s="78"/>
    </row>
    <row r="93" spans="1:7" ht="30" customHeight="1" x14ac:dyDescent="0.25">
      <c r="A93" s="76" t="s">
        <v>191</v>
      </c>
      <c r="B93" s="37" t="s">
        <v>192</v>
      </c>
      <c r="C93" s="80"/>
      <c r="D93" s="81"/>
      <c r="E93" s="81"/>
      <c r="F93" s="81"/>
      <c r="G93" s="81"/>
    </row>
    <row r="94" spans="1:7" ht="30" customHeight="1" x14ac:dyDescent="0.25">
      <c r="A94" s="76" t="s">
        <v>193</v>
      </c>
      <c r="B94" s="33" t="s">
        <v>194</v>
      </c>
      <c r="C94" s="77"/>
      <c r="D94" s="78"/>
      <c r="E94" s="78"/>
      <c r="F94" s="78"/>
      <c r="G94" s="78"/>
    </row>
    <row r="95" spans="1:7" ht="30" customHeight="1" x14ac:dyDescent="0.25">
      <c r="A95" s="76" t="s">
        <v>195</v>
      </c>
      <c r="B95" s="37" t="s">
        <v>196</v>
      </c>
      <c r="C95" s="80"/>
      <c r="D95" s="81"/>
      <c r="E95" s="81"/>
      <c r="F95" s="81"/>
      <c r="G95" s="81"/>
    </row>
    <row r="96" spans="1:7" ht="30" customHeight="1" x14ac:dyDescent="0.25">
      <c r="A96" s="79" t="s">
        <v>197</v>
      </c>
      <c r="B96" s="33" t="s">
        <v>198</v>
      </c>
      <c r="C96" s="77"/>
      <c r="D96" s="78"/>
      <c r="E96" s="78"/>
      <c r="F96" s="78"/>
      <c r="G96" s="78"/>
    </row>
    <row r="97" spans="1:7" ht="30" customHeight="1" x14ac:dyDescent="0.25">
      <c r="A97" s="79" t="s">
        <v>199</v>
      </c>
      <c r="B97" s="37" t="s">
        <v>200</v>
      </c>
      <c r="C97" s="80"/>
      <c r="D97" s="81"/>
      <c r="E97" s="81"/>
      <c r="F97" s="81"/>
      <c r="G97" s="81"/>
    </row>
    <row r="98" spans="1:7" ht="30" customHeight="1" x14ac:dyDescent="0.25">
      <c r="A98" s="79" t="s">
        <v>201</v>
      </c>
      <c r="B98" s="33" t="s">
        <v>202</v>
      </c>
      <c r="C98" s="77"/>
      <c r="D98" s="78"/>
      <c r="E98" s="78"/>
      <c r="F98" s="78"/>
      <c r="G98" s="78"/>
    </row>
    <row r="99" spans="1:7" ht="30" customHeight="1" x14ac:dyDescent="0.25">
      <c r="A99" s="76" t="s">
        <v>203</v>
      </c>
      <c r="B99" s="37" t="s">
        <v>204</v>
      </c>
      <c r="C99" s="80"/>
      <c r="D99" s="81"/>
      <c r="E99" s="81"/>
      <c r="F99" s="81"/>
      <c r="G99" s="81"/>
    </row>
    <row r="100" spans="1:7" ht="30" customHeight="1" x14ac:dyDescent="0.25">
      <c r="A100" s="79" t="s">
        <v>205</v>
      </c>
      <c r="B100" s="33" t="s">
        <v>206</v>
      </c>
      <c r="C100" s="77"/>
      <c r="D100" s="78"/>
      <c r="E100" s="78"/>
      <c r="F100" s="78"/>
      <c r="G100" s="78"/>
    </row>
    <row r="101" spans="1:7" ht="30" customHeight="1" x14ac:dyDescent="0.25">
      <c r="A101" s="82" t="s">
        <v>207</v>
      </c>
      <c r="B101" s="37" t="s">
        <v>208</v>
      </c>
      <c r="C101" s="80"/>
      <c r="D101" s="81"/>
      <c r="E101" s="81"/>
      <c r="F101" s="81"/>
      <c r="G101" s="81"/>
    </row>
    <row r="102" spans="1:7" ht="30" customHeight="1" x14ac:dyDescent="0.25">
      <c r="A102" s="76" t="s">
        <v>209</v>
      </c>
      <c r="B102" s="33" t="s">
        <v>210</v>
      </c>
      <c r="C102" s="77"/>
      <c r="D102" s="78"/>
      <c r="E102" s="78"/>
      <c r="F102" s="78"/>
      <c r="G102" s="78"/>
    </row>
    <row r="103" spans="1:7" ht="30" customHeight="1" x14ac:dyDescent="0.25">
      <c r="A103" s="79" t="s">
        <v>211</v>
      </c>
      <c r="B103" s="37" t="s">
        <v>212</v>
      </c>
      <c r="C103" s="80"/>
      <c r="D103" s="81"/>
      <c r="E103" s="81"/>
      <c r="F103" s="81"/>
      <c r="G103" s="81"/>
    </row>
    <row r="104" spans="1:7" ht="30" customHeight="1" x14ac:dyDescent="0.25">
      <c r="A104" s="79" t="s">
        <v>213</v>
      </c>
      <c r="B104" s="33" t="s">
        <v>214</v>
      </c>
      <c r="C104" s="77"/>
      <c r="D104" s="78"/>
      <c r="E104" s="78"/>
      <c r="F104" s="78"/>
      <c r="G104" s="78"/>
    </row>
    <row r="105" spans="1:7" ht="30" customHeight="1" x14ac:dyDescent="0.25">
      <c r="A105" s="79" t="s">
        <v>215</v>
      </c>
      <c r="B105" s="37" t="s">
        <v>216</v>
      </c>
      <c r="C105" s="80"/>
      <c r="D105" s="81"/>
      <c r="E105" s="81"/>
      <c r="F105" s="81"/>
      <c r="G105" s="81"/>
    </row>
    <row r="106" spans="1:7" ht="30" customHeight="1" x14ac:dyDescent="0.25">
      <c r="A106" s="76" t="s">
        <v>217</v>
      </c>
      <c r="B106" s="33" t="s">
        <v>218</v>
      </c>
      <c r="C106" s="77"/>
      <c r="D106" s="78"/>
      <c r="E106" s="78"/>
      <c r="F106" s="78"/>
      <c r="G106" s="78"/>
    </row>
    <row r="107" spans="1:7" ht="30" customHeight="1" x14ac:dyDescent="0.25">
      <c r="A107" s="79" t="s">
        <v>219</v>
      </c>
      <c r="B107" s="37" t="s">
        <v>220</v>
      </c>
      <c r="C107" s="80"/>
      <c r="D107" s="81"/>
      <c r="E107" s="81"/>
      <c r="F107" s="81"/>
      <c r="G107" s="81"/>
    </row>
    <row r="108" spans="1:7" ht="30" customHeight="1" x14ac:dyDescent="0.25">
      <c r="A108" s="82" t="s">
        <v>221</v>
      </c>
      <c r="B108" s="33" t="s">
        <v>222</v>
      </c>
      <c r="C108" s="77"/>
      <c r="D108" s="78"/>
      <c r="E108" s="78"/>
      <c r="F108" s="78"/>
      <c r="G108" s="78"/>
    </row>
    <row r="109" spans="1:7" ht="30" customHeight="1" x14ac:dyDescent="0.25">
      <c r="A109" s="82" t="s">
        <v>223</v>
      </c>
      <c r="B109" s="37" t="s">
        <v>224</v>
      </c>
      <c r="C109" s="80"/>
      <c r="D109" s="81"/>
      <c r="E109" s="81"/>
      <c r="F109" s="81"/>
      <c r="G109" s="81"/>
    </row>
    <row r="110" spans="1:7" ht="30" customHeight="1" x14ac:dyDescent="0.25">
      <c r="A110" s="76" t="s">
        <v>225</v>
      </c>
      <c r="B110" s="33" t="s">
        <v>226</v>
      </c>
      <c r="C110" s="77"/>
      <c r="D110" s="78"/>
      <c r="E110" s="78"/>
      <c r="F110" s="78"/>
      <c r="G110" s="78"/>
    </row>
    <row r="111" spans="1:7" ht="30" customHeight="1" x14ac:dyDescent="0.25">
      <c r="A111" s="79" t="s">
        <v>227</v>
      </c>
      <c r="B111" s="37" t="s">
        <v>228</v>
      </c>
      <c r="C111" s="80"/>
      <c r="D111" s="81"/>
      <c r="E111" s="81"/>
      <c r="F111" s="81"/>
      <c r="G111" s="81"/>
    </row>
    <row r="112" spans="1:7" ht="30" customHeight="1" x14ac:dyDescent="0.25">
      <c r="A112" s="79" t="s">
        <v>229</v>
      </c>
      <c r="B112" s="33" t="s">
        <v>230</v>
      </c>
      <c r="C112" s="77"/>
      <c r="D112" s="78"/>
      <c r="E112" s="78"/>
      <c r="F112" s="78"/>
      <c r="G112" s="78"/>
    </row>
    <row r="113" spans="1:7" ht="30" customHeight="1" x14ac:dyDescent="0.25">
      <c r="A113" s="79" t="s">
        <v>231</v>
      </c>
      <c r="B113" s="37" t="s">
        <v>232</v>
      </c>
      <c r="C113" s="80"/>
      <c r="D113" s="81"/>
      <c r="E113" s="81"/>
      <c r="F113" s="81"/>
      <c r="G113" s="81"/>
    </row>
    <row r="114" spans="1:7" ht="30" customHeight="1" x14ac:dyDescent="0.25">
      <c r="A114" s="82" t="s">
        <v>233</v>
      </c>
      <c r="B114" s="33" t="s">
        <v>234</v>
      </c>
      <c r="C114" s="77"/>
      <c r="D114" s="78"/>
      <c r="E114" s="78"/>
      <c r="F114" s="78"/>
      <c r="G114" s="78"/>
    </row>
    <row r="115" spans="1:7" ht="30" customHeight="1" x14ac:dyDescent="0.25">
      <c r="A115" s="82" t="s">
        <v>235</v>
      </c>
      <c r="B115" s="37" t="s">
        <v>236</v>
      </c>
      <c r="C115" s="80"/>
      <c r="D115" s="81"/>
      <c r="E115" s="81"/>
      <c r="F115" s="81"/>
      <c r="G115" s="81"/>
    </row>
    <row r="116" spans="1:7" ht="30" customHeight="1" x14ac:dyDescent="0.25">
      <c r="A116" s="82" t="s">
        <v>237</v>
      </c>
      <c r="B116" s="33" t="s">
        <v>238</v>
      </c>
      <c r="C116" s="77"/>
      <c r="D116" s="78"/>
      <c r="E116" s="78"/>
      <c r="F116" s="78"/>
      <c r="G116" s="78"/>
    </row>
    <row r="117" spans="1:7" ht="30" customHeight="1" x14ac:dyDescent="0.25">
      <c r="A117" s="82" t="s">
        <v>239</v>
      </c>
      <c r="B117" s="37" t="s">
        <v>240</v>
      </c>
      <c r="C117" s="80"/>
      <c r="D117" s="81"/>
      <c r="E117" s="81"/>
      <c r="F117" s="81"/>
      <c r="G117" s="81"/>
    </row>
    <row r="118" spans="1:7" ht="30" customHeight="1" x14ac:dyDescent="0.25">
      <c r="A118" s="76" t="s">
        <v>241</v>
      </c>
      <c r="B118" s="33" t="s">
        <v>242</v>
      </c>
      <c r="C118" s="77"/>
      <c r="D118" s="78"/>
      <c r="E118" s="78"/>
      <c r="F118" s="78"/>
      <c r="G118" s="78"/>
    </row>
    <row r="119" spans="1:7" ht="30" customHeight="1" x14ac:dyDescent="0.25">
      <c r="A119" s="76" t="s">
        <v>243</v>
      </c>
      <c r="B119" s="37" t="s">
        <v>244</v>
      </c>
      <c r="C119" s="80"/>
      <c r="D119" s="81"/>
      <c r="E119" s="81"/>
      <c r="F119" s="81"/>
      <c r="G119" s="81"/>
    </row>
    <row r="120" spans="1:7" ht="30" customHeight="1" x14ac:dyDescent="0.25">
      <c r="A120" s="76" t="s">
        <v>245</v>
      </c>
      <c r="B120" s="33" t="s">
        <v>246</v>
      </c>
      <c r="C120" s="77"/>
      <c r="D120" s="78"/>
      <c r="E120" s="78"/>
      <c r="F120" s="78"/>
      <c r="G120" s="78"/>
    </row>
    <row r="121" spans="1:7" ht="30" customHeight="1" x14ac:dyDescent="0.25">
      <c r="A121" s="79" t="s">
        <v>247</v>
      </c>
      <c r="B121" s="37" t="s">
        <v>248</v>
      </c>
      <c r="C121" s="80"/>
      <c r="D121" s="81"/>
      <c r="E121" s="81"/>
      <c r="F121" s="81"/>
      <c r="G121" s="81"/>
    </row>
    <row r="122" spans="1:7" ht="30" customHeight="1" x14ac:dyDescent="0.25">
      <c r="A122" s="79" t="s">
        <v>249</v>
      </c>
      <c r="B122" s="33" t="s">
        <v>250</v>
      </c>
      <c r="C122" s="77"/>
      <c r="D122" s="78"/>
      <c r="E122" s="78"/>
      <c r="F122" s="78"/>
      <c r="G122" s="78"/>
    </row>
    <row r="123" spans="1:7" ht="30" customHeight="1" x14ac:dyDescent="0.25">
      <c r="A123" s="82" t="s">
        <v>251</v>
      </c>
      <c r="B123" s="37" t="s">
        <v>252</v>
      </c>
      <c r="C123" s="80"/>
      <c r="D123" s="81"/>
      <c r="E123" s="81"/>
      <c r="F123" s="81"/>
      <c r="G123" s="81"/>
    </row>
    <row r="124" spans="1:7" ht="30" customHeight="1" x14ac:dyDescent="0.25">
      <c r="A124" s="76" t="s">
        <v>253</v>
      </c>
      <c r="B124" s="33" t="s">
        <v>254</v>
      </c>
      <c r="C124" s="77"/>
      <c r="D124" s="78"/>
      <c r="E124" s="78"/>
      <c r="F124" s="78"/>
      <c r="G124" s="78"/>
    </row>
    <row r="125" spans="1:7" ht="30" customHeight="1" x14ac:dyDescent="0.25">
      <c r="A125" s="79" t="s">
        <v>255</v>
      </c>
      <c r="B125" s="37" t="s">
        <v>256</v>
      </c>
      <c r="C125" s="80"/>
      <c r="D125" s="81"/>
      <c r="E125" s="81"/>
      <c r="F125" s="81"/>
      <c r="G125" s="81"/>
    </row>
    <row r="126" spans="1:7" ht="30" customHeight="1" x14ac:dyDescent="0.25">
      <c r="A126" s="79" t="s">
        <v>257</v>
      </c>
      <c r="B126" s="33" t="s">
        <v>258</v>
      </c>
      <c r="C126" s="77"/>
      <c r="D126" s="78"/>
      <c r="E126" s="78"/>
      <c r="F126" s="78"/>
      <c r="G126" s="78"/>
    </row>
    <row r="127" spans="1:7" ht="30" customHeight="1" x14ac:dyDescent="0.25">
      <c r="A127" s="82" t="s">
        <v>259</v>
      </c>
      <c r="B127" s="37" t="s">
        <v>260</v>
      </c>
      <c r="C127" s="80"/>
      <c r="D127" s="81"/>
      <c r="E127" s="81"/>
      <c r="F127" s="81"/>
      <c r="G127" s="81"/>
    </row>
    <row r="128" spans="1:7" ht="30" customHeight="1" x14ac:dyDescent="0.25">
      <c r="A128" s="76" t="s">
        <v>261</v>
      </c>
      <c r="B128" s="33" t="s">
        <v>262</v>
      </c>
      <c r="C128" s="77"/>
      <c r="D128" s="78"/>
      <c r="E128" s="78"/>
      <c r="F128" s="78"/>
      <c r="G128" s="78"/>
    </row>
    <row r="129" spans="1:7" ht="30" customHeight="1" x14ac:dyDescent="0.25">
      <c r="A129" s="76" t="s">
        <v>263</v>
      </c>
      <c r="B129" s="37" t="s">
        <v>264</v>
      </c>
      <c r="C129" s="80"/>
      <c r="D129" s="81"/>
      <c r="E129" s="81"/>
      <c r="F129" s="81"/>
      <c r="G129" s="81"/>
    </row>
    <row r="130" spans="1:7" ht="30" customHeight="1" x14ac:dyDescent="0.25">
      <c r="A130" s="79" t="s">
        <v>265</v>
      </c>
      <c r="B130" s="33" t="s">
        <v>266</v>
      </c>
      <c r="C130" s="77"/>
      <c r="D130" s="78"/>
      <c r="E130" s="78"/>
      <c r="F130" s="78"/>
      <c r="G130" s="78"/>
    </row>
    <row r="131" spans="1:7" ht="30" customHeight="1" x14ac:dyDescent="0.25">
      <c r="A131" s="76" t="s">
        <v>267</v>
      </c>
      <c r="B131" s="37" t="s">
        <v>268</v>
      </c>
      <c r="C131" s="80"/>
      <c r="D131" s="81"/>
      <c r="E131" s="81"/>
      <c r="F131" s="81"/>
      <c r="G131" s="81"/>
    </row>
    <row r="132" spans="1:7" ht="30" customHeight="1" x14ac:dyDescent="0.25">
      <c r="A132" s="76" t="s">
        <v>269</v>
      </c>
      <c r="B132" s="33" t="s">
        <v>270</v>
      </c>
      <c r="C132" s="77"/>
      <c r="D132" s="78"/>
      <c r="E132" s="78"/>
      <c r="F132" s="78"/>
      <c r="G132" s="78"/>
    </row>
    <row r="133" spans="1:7" ht="30" customHeight="1" x14ac:dyDescent="0.25">
      <c r="A133" s="76" t="s">
        <v>271</v>
      </c>
      <c r="B133" s="37" t="s">
        <v>272</v>
      </c>
      <c r="C133" s="80"/>
      <c r="D133" s="81"/>
      <c r="E133" s="81"/>
      <c r="F133" s="81"/>
      <c r="G133" s="81"/>
    </row>
    <row r="134" spans="1:7" ht="30" customHeight="1" x14ac:dyDescent="0.25">
      <c r="A134" s="76" t="s">
        <v>273</v>
      </c>
      <c r="B134" s="33" t="s">
        <v>274</v>
      </c>
      <c r="C134" s="77"/>
      <c r="D134" s="78"/>
      <c r="E134" s="78"/>
      <c r="F134" s="78"/>
      <c r="G134" s="78"/>
    </row>
    <row r="135" spans="1:7" ht="30" customHeight="1" x14ac:dyDescent="0.25">
      <c r="A135" s="79" t="s">
        <v>275</v>
      </c>
      <c r="B135" s="37" t="s">
        <v>276</v>
      </c>
      <c r="C135" s="80"/>
      <c r="D135" s="81"/>
      <c r="E135" s="81"/>
      <c r="F135" s="81"/>
      <c r="G135" s="81"/>
    </row>
    <row r="136" spans="1:7" ht="30" customHeight="1" x14ac:dyDescent="0.25">
      <c r="A136" s="79" t="s">
        <v>277</v>
      </c>
      <c r="B136" s="33" t="s">
        <v>278</v>
      </c>
      <c r="C136" s="77"/>
      <c r="D136" s="78"/>
      <c r="E136" s="78"/>
      <c r="F136" s="78"/>
      <c r="G136" s="78"/>
    </row>
    <row r="137" spans="1:7" ht="30" customHeight="1" x14ac:dyDescent="0.25">
      <c r="A137" s="76" t="s">
        <v>279</v>
      </c>
      <c r="B137" s="37" t="s">
        <v>280</v>
      </c>
      <c r="C137" s="80"/>
      <c r="D137" s="81"/>
      <c r="E137" s="81"/>
      <c r="F137" s="81"/>
      <c r="G137" s="81"/>
    </row>
    <row r="138" spans="1:7" ht="30" customHeight="1" x14ac:dyDescent="0.25">
      <c r="A138" s="76" t="s">
        <v>281</v>
      </c>
      <c r="B138" s="33" t="s">
        <v>282</v>
      </c>
      <c r="C138" s="77"/>
      <c r="D138" s="78"/>
      <c r="E138" s="78"/>
      <c r="F138" s="78"/>
      <c r="G138" s="78"/>
    </row>
    <row r="139" spans="1:7" ht="30" customHeight="1" x14ac:dyDescent="0.25">
      <c r="A139" s="79" t="s">
        <v>283</v>
      </c>
      <c r="B139" s="37" t="s">
        <v>284</v>
      </c>
      <c r="C139" s="80"/>
      <c r="D139" s="81"/>
      <c r="E139" s="81"/>
      <c r="F139" s="81"/>
      <c r="G139" s="81"/>
    </row>
    <row r="140" spans="1:7" ht="30" customHeight="1" x14ac:dyDescent="0.25">
      <c r="A140" s="82" t="s">
        <v>285</v>
      </c>
      <c r="B140" s="33" t="s">
        <v>286</v>
      </c>
      <c r="C140" s="77"/>
      <c r="D140" s="78"/>
      <c r="E140" s="78"/>
      <c r="F140" s="78"/>
      <c r="G140" s="78"/>
    </row>
    <row r="141" spans="1:7" ht="30" customHeight="1" x14ac:dyDescent="0.25">
      <c r="A141" s="79" t="s">
        <v>287</v>
      </c>
      <c r="B141" s="37" t="s">
        <v>288</v>
      </c>
      <c r="C141" s="80"/>
      <c r="D141" s="81"/>
      <c r="E141" s="81"/>
      <c r="F141" s="81"/>
      <c r="G141" s="81"/>
    </row>
    <row r="142" spans="1:7" ht="30" customHeight="1" x14ac:dyDescent="0.25">
      <c r="A142" s="79" t="s">
        <v>289</v>
      </c>
      <c r="B142" s="33" t="s">
        <v>290</v>
      </c>
      <c r="C142" s="77"/>
      <c r="D142" s="78"/>
      <c r="E142" s="78"/>
      <c r="F142" s="78"/>
      <c r="G142" s="78"/>
    </row>
    <row r="143" spans="1:7" ht="30" customHeight="1" x14ac:dyDescent="0.25">
      <c r="A143" s="79" t="s">
        <v>291</v>
      </c>
      <c r="B143" s="37" t="s">
        <v>292</v>
      </c>
      <c r="C143" s="80"/>
      <c r="D143" s="81"/>
      <c r="E143" s="81"/>
      <c r="F143" s="81"/>
      <c r="G143" s="81"/>
    </row>
    <row r="144" spans="1:7" ht="30" customHeight="1" x14ac:dyDescent="0.25">
      <c r="A144" s="82" t="s">
        <v>293</v>
      </c>
      <c r="B144" s="33" t="s">
        <v>294</v>
      </c>
      <c r="C144" s="77"/>
      <c r="D144" s="78"/>
      <c r="E144" s="78"/>
      <c r="F144" s="78"/>
      <c r="G144" s="78"/>
    </row>
    <row r="145" spans="1:7" ht="30" customHeight="1" x14ac:dyDescent="0.25">
      <c r="A145" s="76" t="s">
        <v>295</v>
      </c>
      <c r="B145" s="37" t="s">
        <v>296</v>
      </c>
      <c r="C145" s="80"/>
      <c r="D145" s="81"/>
      <c r="E145" s="81"/>
      <c r="F145" s="81"/>
      <c r="G145" s="81"/>
    </row>
    <row r="146" spans="1:7" ht="30" customHeight="1" x14ac:dyDescent="0.25">
      <c r="A146" s="76" t="s">
        <v>297</v>
      </c>
      <c r="B146" s="33" t="s">
        <v>298</v>
      </c>
      <c r="C146" s="77"/>
      <c r="D146" s="78"/>
      <c r="E146" s="78"/>
      <c r="F146" s="78"/>
      <c r="G146" s="78"/>
    </row>
    <row r="147" spans="1:7" ht="30" customHeight="1" x14ac:dyDescent="0.25">
      <c r="A147" s="79" t="s">
        <v>299</v>
      </c>
      <c r="B147" s="37" t="s">
        <v>300</v>
      </c>
      <c r="C147" s="80"/>
      <c r="D147" s="81"/>
      <c r="E147" s="81"/>
      <c r="F147" s="81"/>
      <c r="G147" s="81"/>
    </row>
    <row r="148" spans="1:7" ht="30" customHeight="1" x14ac:dyDescent="0.25">
      <c r="A148" s="79" t="s">
        <v>301</v>
      </c>
      <c r="B148" s="33" t="s">
        <v>302</v>
      </c>
      <c r="C148" s="77"/>
      <c r="D148" s="78"/>
      <c r="E148" s="78"/>
      <c r="F148" s="78"/>
      <c r="G148" s="78"/>
    </row>
    <row r="149" spans="1:7" ht="30" customHeight="1" x14ac:dyDescent="0.25">
      <c r="A149" s="76" t="s">
        <v>303</v>
      </c>
      <c r="B149" s="37" t="s">
        <v>304</v>
      </c>
      <c r="C149" s="80"/>
      <c r="D149" s="81"/>
      <c r="E149" s="81"/>
      <c r="F149" s="81"/>
      <c r="G149" s="81"/>
    </row>
    <row r="150" spans="1:7" ht="30" customHeight="1" x14ac:dyDescent="0.25">
      <c r="A150" s="79" t="s">
        <v>305</v>
      </c>
      <c r="B150" s="33" t="s">
        <v>306</v>
      </c>
      <c r="C150" s="77"/>
      <c r="D150" s="78"/>
      <c r="E150" s="78"/>
      <c r="F150" s="78"/>
      <c r="G150" s="78"/>
    </row>
    <row r="151" spans="1:7" ht="30" customHeight="1" x14ac:dyDescent="0.25">
      <c r="A151" s="79" t="s">
        <v>307</v>
      </c>
      <c r="B151" s="37" t="s">
        <v>308</v>
      </c>
      <c r="C151" s="80"/>
      <c r="D151" s="81"/>
      <c r="E151" s="81"/>
      <c r="F151" s="81"/>
      <c r="G151" s="81"/>
    </row>
    <row r="152" spans="1:7" ht="30" customHeight="1" x14ac:dyDescent="0.25">
      <c r="A152" s="79" t="s">
        <v>309</v>
      </c>
      <c r="B152" s="33" t="s">
        <v>310</v>
      </c>
      <c r="C152" s="77"/>
      <c r="D152" s="78"/>
      <c r="E152" s="78"/>
      <c r="F152" s="78"/>
      <c r="G152" s="78"/>
    </row>
    <row r="153" spans="1:7" ht="30" customHeight="1" x14ac:dyDescent="0.25">
      <c r="A153" s="79" t="s">
        <v>311</v>
      </c>
      <c r="B153" s="37" t="s">
        <v>312</v>
      </c>
      <c r="C153" s="80"/>
      <c r="D153" s="81"/>
      <c r="E153" s="81"/>
      <c r="F153" s="81"/>
      <c r="G153" s="81"/>
    </row>
    <row r="154" spans="1:7" ht="30" customHeight="1" x14ac:dyDescent="0.25">
      <c r="A154" s="76" t="s">
        <v>313</v>
      </c>
      <c r="B154" s="33" t="s">
        <v>314</v>
      </c>
      <c r="C154" s="77"/>
      <c r="D154" s="78"/>
      <c r="E154" s="78"/>
      <c r="F154" s="78"/>
      <c r="G154" s="78"/>
    </row>
    <row r="155" spans="1:7" ht="30" customHeight="1" x14ac:dyDescent="0.25">
      <c r="A155" s="76" t="s">
        <v>315</v>
      </c>
      <c r="B155" s="37" t="s">
        <v>316</v>
      </c>
      <c r="C155" s="80"/>
      <c r="D155" s="81"/>
      <c r="E155" s="81"/>
      <c r="F155" s="81"/>
      <c r="G155" s="81"/>
    </row>
    <row r="156" spans="1:7" ht="30" customHeight="1" x14ac:dyDescent="0.25">
      <c r="A156" s="82" t="s">
        <v>317</v>
      </c>
      <c r="B156" s="33" t="s">
        <v>318</v>
      </c>
      <c r="C156" s="77"/>
      <c r="D156" s="78"/>
      <c r="E156" s="78"/>
      <c r="F156" s="78"/>
      <c r="G156" s="78"/>
    </row>
    <row r="157" spans="1:7" ht="30" customHeight="1" x14ac:dyDescent="0.25">
      <c r="A157" s="76" t="s">
        <v>319</v>
      </c>
      <c r="B157" s="37" t="s">
        <v>320</v>
      </c>
      <c r="C157" s="80"/>
      <c r="D157" s="81"/>
      <c r="E157" s="81"/>
      <c r="F157" s="81"/>
      <c r="G157" s="81"/>
    </row>
    <row r="158" spans="1:7" ht="30" customHeight="1" x14ac:dyDescent="0.25">
      <c r="A158" s="76" t="s">
        <v>321</v>
      </c>
      <c r="B158" s="33" t="s">
        <v>322</v>
      </c>
      <c r="C158" s="77"/>
      <c r="D158" s="78"/>
      <c r="E158" s="78"/>
      <c r="F158" s="78"/>
      <c r="G158" s="78"/>
    </row>
    <row r="159" spans="1:7" ht="30" customHeight="1" x14ac:dyDescent="0.25">
      <c r="A159" s="79" t="s">
        <v>323</v>
      </c>
      <c r="B159" s="37" t="s">
        <v>324</v>
      </c>
      <c r="C159" s="80"/>
      <c r="D159" s="81"/>
      <c r="E159" s="81"/>
      <c r="F159" s="81"/>
      <c r="G159" s="81"/>
    </row>
    <row r="160" spans="1:7" ht="30" customHeight="1" x14ac:dyDescent="0.25">
      <c r="A160" s="79" t="s">
        <v>325</v>
      </c>
      <c r="B160" s="33" t="s">
        <v>326</v>
      </c>
      <c r="C160" s="77"/>
      <c r="D160" s="78"/>
      <c r="E160" s="78"/>
      <c r="F160" s="78"/>
      <c r="G160" s="78"/>
    </row>
    <row r="161" spans="1:7" ht="30" customHeight="1" x14ac:dyDescent="0.25">
      <c r="A161" s="82" t="s">
        <v>327</v>
      </c>
      <c r="B161" s="37" t="s">
        <v>328</v>
      </c>
      <c r="C161" s="80"/>
      <c r="D161" s="81"/>
      <c r="E161" s="81"/>
      <c r="F161" s="81"/>
      <c r="G161" s="81"/>
    </row>
    <row r="162" spans="1:7" ht="30" customHeight="1" x14ac:dyDescent="0.25">
      <c r="A162" s="76" t="s">
        <v>329</v>
      </c>
      <c r="B162" s="33" t="s">
        <v>330</v>
      </c>
      <c r="C162" s="77"/>
      <c r="D162" s="78"/>
      <c r="E162" s="78"/>
      <c r="F162" s="78"/>
      <c r="G162" s="78"/>
    </row>
    <row r="163" spans="1:7" ht="30" customHeight="1" x14ac:dyDescent="0.25">
      <c r="A163" s="76" t="s">
        <v>331</v>
      </c>
      <c r="B163" s="37" t="s">
        <v>332</v>
      </c>
      <c r="C163" s="80"/>
      <c r="D163" s="81"/>
      <c r="E163" s="81"/>
      <c r="F163" s="81"/>
      <c r="G163" s="81"/>
    </row>
    <row r="164" spans="1:7" ht="30" customHeight="1" x14ac:dyDescent="0.25">
      <c r="A164" s="76" t="s">
        <v>333</v>
      </c>
      <c r="B164" s="33" t="s">
        <v>334</v>
      </c>
      <c r="C164" s="77"/>
      <c r="D164" s="78"/>
      <c r="E164" s="78"/>
      <c r="F164" s="78"/>
      <c r="G164" s="78"/>
    </row>
    <row r="165" spans="1:7" ht="30" customHeight="1" x14ac:dyDescent="0.25">
      <c r="A165" s="79" t="s">
        <v>335</v>
      </c>
      <c r="B165" s="37" t="s">
        <v>336</v>
      </c>
      <c r="C165" s="80"/>
      <c r="D165" s="81"/>
      <c r="E165" s="81"/>
      <c r="F165" s="81"/>
      <c r="G165" s="81"/>
    </row>
    <row r="166" spans="1:7" ht="30" customHeight="1" x14ac:dyDescent="0.25">
      <c r="A166" s="79" t="s">
        <v>337</v>
      </c>
      <c r="B166" s="33" t="s">
        <v>338</v>
      </c>
      <c r="C166" s="77"/>
      <c r="D166" s="78"/>
      <c r="E166" s="78"/>
      <c r="F166" s="78"/>
      <c r="G166" s="78"/>
    </row>
    <row r="167" spans="1:7" ht="30" customHeight="1" x14ac:dyDescent="0.25">
      <c r="A167" s="82" t="s">
        <v>339</v>
      </c>
      <c r="B167" s="37" t="s">
        <v>340</v>
      </c>
      <c r="C167" s="80"/>
      <c r="D167" s="81"/>
      <c r="E167" s="81"/>
      <c r="F167" s="81"/>
      <c r="G167" s="81"/>
    </row>
    <row r="168" spans="1:7" ht="30" customHeight="1" x14ac:dyDescent="0.25">
      <c r="A168" s="82" t="s">
        <v>341</v>
      </c>
      <c r="B168" s="33" t="s">
        <v>342</v>
      </c>
      <c r="C168" s="77"/>
      <c r="D168" s="78"/>
      <c r="E168" s="78"/>
      <c r="F168" s="78"/>
      <c r="G168" s="78"/>
    </row>
    <row r="169" spans="1:7" ht="30" customHeight="1" x14ac:dyDescent="0.25">
      <c r="A169" s="76" t="s">
        <v>343</v>
      </c>
      <c r="B169" s="37" t="s">
        <v>344</v>
      </c>
      <c r="C169" s="80"/>
      <c r="D169" s="81"/>
      <c r="E169" s="81"/>
      <c r="F169" s="81"/>
      <c r="G169" s="81"/>
    </row>
    <row r="170" spans="1:7" ht="30" customHeight="1" x14ac:dyDescent="0.25">
      <c r="A170" s="76" t="s">
        <v>345</v>
      </c>
      <c r="B170" s="33" t="s">
        <v>346</v>
      </c>
      <c r="C170" s="77"/>
      <c r="D170" s="78"/>
      <c r="E170" s="78"/>
      <c r="F170" s="78"/>
      <c r="G170" s="78"/>
    </row>
    <row r="171" spans="1:7" ht="30" customHeight="1" x14ac:dyDescent="0.25">
      <c r="A171" s="79" t="s">
        <v>347</v>
      </c>
      <c r="B171" s="37" t="s">
        <v>348</v>
      </c>
      <c r="C171" s="80"/>
      <c r="D171" s="81"/>
      <c r="E171" s="81"/>
      <c r="F171" s="81"/>
      <c r="G171" s="81"/>
    </row>
    <row r="172" spans="1:7" ht="30" customHeight="1" x14ac:dyDescent="0.25">
      <c r="A172" s="79" t="s">
        <v>349</v>
      </c>
      <c r="B172" s="33" t="s">
        <v>350</v>
      </c>
      <c r="C172" s="77"/>
      <c r="D172" s="78"/>
      <c r="E172" s="78"/>
      <c r="F172" s="78"/>
      <c r="G172" s="78"/>
    </row>
    <row r="173" spans="1:7" ht="30" customHeight="1" x14ac:dyDescent="0.25">
      <c r="A173" s="79" t="s">
        <v>351</v>
      </c>
      <c r="B173" s="37" t="s">
        <v>352</v>
      </c>
      <c r="C173" s="80"/>
      <c r="D173" s="81"/>
      <c r="E173" s="81"/>
      <c r="F173" s="81"/>
      <c r="G173" s="81"/>
    </row>
    <row r="174" spans="1:7" ht="30" customHeight="1" x14ac:dyDescent="0.25">
      <c r="A174" s="79" t="s">
        <v>353</v>
      </c>
      <c r="B174" s="33" t="s">
        <v>354</v>
      </c>
      <c r="C174" s="77"/>
      <c r="D174" s="78"/>
      <c r="E174" s="78"/>
      <c r="F174" s="78"/>
      <c r="G174" s="78"/>
    </row>
    <row r="175" spans="1:7" ht="30" customHeight="1" x14ac:dyDescent="0.25">
      <c r="A175" s="79" t="s">
        <v>355</v>
      </c>
      <c r="B175" s="37" t="s">
        <v>356</v>
      </c>
      <c r="C175" s="80"/>
      <c r="D175" s="81"/>
      <c r="E175" s="81"/>
      <c r="F175" s="81"/>
      <c r="G175" s="81"/>
    </row>
    <row r="176" spans="1:7" ht="30" customHeight="1" x14ac:dyDescent="0.25">
      <c r="A176" s="76" t="s">
        <v>357</v>
      </c>
      <c r="B176" s="33" t="s">
        <v>358</v>
      </c>
      <c r="C176" s="77"/>
      <c r="D176" s="78"/>
      <c r="E176" s="78"/>
      <c r="F176" s="78"/>
      <c r="G176" s="78"/>
    </row>
    <row r="177" spans="1:7" ht="30" customHeight="1" x14ac:dyDescent="0.25">
      <c r="A177" s="79" t="s">
        <v>359</v>
      </c>
      <c r="B177" s="37" t="s">
        <v>360</v>
      </c>
      <c r="C177" s="80"/>
      <c r="D177" s="81"/>
      <c r="E177" s="81"/>
      <c r="F177" s="81"/>
      <c r="G177" s="81"/>
    </row>
    <row r="178" spans="1:7" ht="30" customHeight="1" x14ac:dyDescent="0.25">
      <c r="A178" s="79" t="s">
        <v>361</v>
      </c>
      <c r="B178" s="33" t="s">
        <v>362</v>
      </c>
      <c r="C178" s="77"/>
      <c r="D178" s="78"/>
      <c r="E178" s="78"/>
      <c r="F178" s="78"/>
      <c r="G178" s="78"/>
    </row>
    <row r="179" spans="1:7" ht="30" customHeight="1" x14ac:dyDescent="0.25">
      <c r="A179" s="76" t="s">
        <v>363</v>
      </c>
      <c r="B179" s="37" t="s">
        <v>364</v>
      </c>
      <c r="C179" s="80"/>
      <c r="D179" s="81"/>
      <c r="E179" s="81"/>
      <c r="F179" s="81"/>
      <c r="G179" s="81"/>
    </row>
    <row r="180" spans="1:7" ht="30" customHeight="1" x14ac:dyDescent="0.25">
      <c r="A180" s="82" t="s">
        <v>365</v>
      </c>
      <c r="B180" s="33" t="s">
        <v>366</v>
      </c>
      <c r="C180" s="77"/>
      <c r="D180" s="78"/>
      <c r="E180" s="78"/>
      <c r="F180" s="78"/>
      <c r="G180" s="78"/>
    </row>
    <row r="181" spans="1:7" ht="30" customHeight="1" x14ac:dyDescent="0.25">
      <c r="A181" s="82" t="s">
        <v>367</v>
      </c>
      <c r="B181" s="37" t="s">
        <v>368</v>
      </c>
      <c r="C181" s="80"/>
      <c r="D181" s="81"/>
      <c r="E181" s="81"/>
      <c r="F181" s="81"/>
      <c r="G181" s="81"/>
    </row>
    <row r="182" spans="1:7" ht="30" customHeight="1" x14ac:dyDescent="0.25">
      <c r="A182" s="76" t="s">
        <v>369</v>
      </c>
      <c r="B182" s="33" t="s">
        <v>370</v>
      </c>
      <c r="C182" s="77"/>
      <c r="D182" s="78"/>
      <c r="E182" s="78"/>
      <c r="F182" s="78"/>
      <c r="G182" s="78"/>
    </row>
    <row r="183" spans="1:7" ht="30" customHeight="1" x14ac:dyDescent="0.25">
      <c r="A183" s="79" t="s">
        <v>371</v>
      </c>
      <c r="B183" s="37" t="s">
        <v>372</v>
      </c>
      <c r="C183" s="80"/>
      <c r="D183" s="81"/>
      <c r="E183" s="81"/>
      <c r="F183" s="81"/>
      <c r="G183" s="81"/>
    </row>
    <row r="184" spans="1:7" ht="30" customHeight="1" x14ac:dyDescent="0.25">
      <c r="A184" s="76" t="s">
        <v>373</v>
      </c>
      <c r="B184" s="33" t="s">
        <v>374</v>
      </c>
      <c r="C184" s="77"/>
      <c r="D184" s="78"/>
      <c r="E184" s="78"/>
      <c r="F184" s="78"/>
      <c r="G184" s="78"/>
    </row>
    <row r="185" spans="1:7" ht="30" customHeight="1" x14ac:dyDescent="0.25">
      <c r="A185" s="79" t="s">
        <v>375</v>
      </c>
      <c r="B185" s="37" t="s">
        <v>376</v>
      </c>
      <c r="C185" s="80"/>
      <c r="D185" s="81"/>
      <c r="E185" s="81"/>
      <c r="F185" s="81"/>
      <c r="G185" s="81"/>
    </row>
    <row r="186" spans="1:7" ht="30" customHeight="1" x14ac:dyDescent="0.25">
      <c r="A186" s="82" t="s">
        <v>377</v>
      </c>
      <c r="B186" s="33" t="s">
        <v>378</v>
      </c>
      <c r="C186" s="77"/>
      <c r="D186" s="78"/>
      <c r="E186" s="78"/>
      <c r="F186" s="78"/>
      <c r="G186" s="78"/>
    </row>
    <row r="187" spans="1:7" ht="30" customHeight="1" x14ac:dyDescent="0.25">
      <c r="A187" s="76" t="s">
        <v>379</v>
      </c>
      <c r="B187" s="37" t="s">
        <v>380</v>
      </c>
      <c r="C187" s="80"/>
      <c r="D187" s="81"/>
      <c r="E187" s="81"/>
      <c r="F187" s="81"/>
      <c r="G187" s="81"/>
    </row>
    <row r="188" spans="1:7" ht="30" customHeight="1" x14ac:dyDescent="0.25">
      <c r="A188" s="76" t="s">
        <v>381</v>
      </c>
      <c r="B188" s="33" t="s">
        <v>382</v>
      </c>
      <c r="C188" s="77"/>
      <c r="D188" s="78"/>
      <c r="E188" s="78"/>
      <c r="F188" s="78"/>
      <c r="G188" s="78"/>
    </row>
    <row r="189" spans="1:7" ht="30" customHeight="1" x14ac:dyDescent="0.25">
      <c r="A189" s="76" t="s">
        <v>383</v>
      </c>
      <c r="B189" s="37" t="s">
        <v>384</v>
      </c>
      <c r="C189" s="80"/>
      <c r="D189" s="81"/>
      <c r="E189" s="81"/>
      <c r="F189" s="81"/>
      <c r="G189" s="81"/>
    </row>
    <row r="190" spans="1:7" ht="30" customHeight="1" x14ac:dyDescent="0.25">
      <c r="A190" s="76" t="s">
        <v>385</v>
      </c>
      <c r="B190" s="33" t="s">
        <v>386</v>
      </c>
      <c r="C190" s="77"/>
      <c r="D190" s="78"/>
      <c r="E190" s="78"/>
      <c r="F190" s="78"/>
      <c r="G190" s="78"/>
    </row>
    <row r="191" spans="1:7" ht="30" customHeight="1" x14ac:dyDescent="0.25">
      <c r="A191" s="79" t="s">
        <v>387</v>
      </c>
      <c r="B191" s="37" t="s">
        <v>388</v>
      </c>
      <c r="C191" s="80"/>
      <c r="D191" s="81"/>
      <c r="E191" s="81"/>
      <c r="F191" s="81"/>
      <c r="G191" s="81"/>
    </row>
    <row r="192" spans="1:7" ht="30" customHeight="1" x14ac:dyDescent="0.25">
      <c r="A192" s="79" t="s">
        <v>389</v>
      </c>
      <c r="B192" s="33" t="s">
        <v>390</v>
      </c>
      <c r="C192" s="77"/>
      <c r="D192" s="78"/>
      <c r="E192" s="78"/>
      <c r="F192" s="78"/>
      <c r="G192" s="78"/>
    </row>
    <row r="193" spans="1:7" ht="30" customHeight="1" x14ac:dyDescent="0.25">
      <c r="A193" s="79" t="s">
        <v>391</v>
      </c>
      <c r="B193" s="37" t="s">
        <v>392</v>
      </c>
      <c r="C193" s="80"/>
      <c r="D193" s="81"/>
      <c r="E193" s="81"/>
      <c r="F193" s="81"/>
      <c r="G193" s="81"/>
    </row>
    <row r="194" spans="1:7" ht="30" customHeight="1" x14ac:dyDescent="0.25">
      <c r="A194" s="76" t="s">
        <v>393</v>
      </c>
      <c r="B194" s="33" t="s">
        <v>394</v>
      </c>
      <c r="C194" s="77"/>
      <c r="D194" s="78"/>
      <c r="E194" s="78"/>
      <c r="F194" s="78"/>
      <c r="G194" s="78"/>
    </row>
    <row r="195" spans="1:7" ht="30" customHeight="1" x14ac:dyDescent="0.25">
      <c r="A195" s="79" t="s">
        <v>395</v>
      </c>
      <c r="B195" s="37" t="s">
        <v>396</v>
      </c>
      <c r="C195" s="80"/>
      <c r="D195" s="81"/>
      <c r="E195" s="81"/>
      <c r="F195" s="81"/>
      <c r="G195" s="81"/>
    </row>
    <row r="196" spans="1:7" ht="30" customHeight="1" x14ac:dyDescent="0.25">
      <c r="A196" s="82" t="s">
        <v>397</v>
      </c>
      <c r="B196" s="33" t="s">
        <v>398</v>
      </c>
      <c r="C196" s="77"/>
      <c r="D196" s="78"/>
      <c r="E196" s="78"/>
      <c r="F196" s="78"/>
      <c r="G196" s="78"/>
    </row>
    <row r="197" spans="1:7" ht="30" customHeight="1" x14ac:dyDescent="0.25">
      <c r="A197" s="76" t="s">
        <v>399</v>
      </c>
      <c r="B197" s="37" t="s">
        <v>400</v>
      </c>
      <c r="C197" s="80"/>
      <c r="D197" s="81"/>
      <c r="E197" s="81"/>
      <c r="F197" s="81"/>
      <c r="G197" s="81"/>
    </row>
    <row r="198" spans="1:7" ht="30" customHeight="1" x14ac:dyDescent="0.25">
      <c r="A198" s="79" t="s">
        <v>401</v>
      </c>
      <c r="B198" s="33" t="s">
        <v>402</v>
      </c>
      <c r="C198" s="77"/>
      <c r="D198" s="78"/>
      <c r="E198" s="78"/>
      <c r="F198" s="78"/>
      <c r="G198" s="78"/>
    </row>
    <row r="199" spans="1:7" ht="30" customHeight="1" x14ac:dyDescent="0.25">
      <c r="A199" s="79" t="s">
        <v>403</v>
      </c>
      <c r="B199" s="37" t="s">
        <v>404</v>
      </c>
      <c r="C199" s="80"/>
      <c r="D199" s="81"/>
      <c r="E199" s="81"/>
      <c r="F199" s="81"/>
      <c r="G199" s="81"/>
    </row>
    <row r="200" spans="1:7" ht="30" customHeight="1" x14ac:dyDescent="0.25">
      <c r="A200" s="76" t="s">
        <v>405</v>
      </c>
      <c r="B200" s="33" t="s">
        <v>406</v>
      </c>
      <c r="C200" s="77"/>
      <c r="D200" s="78"/>
      <c r="E200" s="78"/>
      <c r="F200" s="78"/>
      <c r="G200" s="78"/>
    </row>
    <row r="201" spans="1:7" ht="30" customHeight="1" x14ac:dyDescent="0.25">
      <c r="A201" s="76" t="s">
        <v>407</v>
      </c>
      <c r="B201" s="37" t="s">
        <v>408</v>
      </c>
      <c r="C201" s="80"/>
      <c r="D201" s="81"/>
      <c r="E201" s="81"/>
      <c r="F201" s="81"/>
      <c r="G201" s="81"/>
    </row>
    <row r="202" spans="1:7" ht="30" customHeight="1" x14ac:dyDescent="0.25">
      <c r="A202" s="82" t="s">
        <v>409</v>
      </c>
      <c r="B202" s="33" t="s">
        <v>410</v>
      </c>
      <c r="C202" s="77"/>
      <c r="D202" s="78"/>
      <c r="E202" s="78"/>
      <c r="F202" s="78"/>
      <c r="G202" s="78"/>
    </row>
    <row r="203" spans="1:7" ht="30" customHeight="1" x14ac:dyDescent="0.25">
      <c r="A203" s="76" t="s">
        <v>411</v>
      </c>
      <c r="B203" s="37" t="s">
        <v>412</v>
      </c>
      <c r="C203" s="80"/>
      <c r="D203" s="81"/>
      <c r="E203" s="81"/>
      <c r="F203" s="81"/>
      <c r="G203" s="81"/>
    </row>
    <row r="204" spans="1:7" ht="30" customHeight="1" x14ac:dyDescent="0.25">
      <c r="A204" s="76" t="s">
        <v>413</v>
      </c>
      <c r="B204" s="33" t="s">
        <v>414</v>
      </c>
      <c r="C204" s="77"/>
      <c r="D204" s="78"/>
      <c r="E204" s="78"/>
      <c r="F204" s="78"/>
      <c r="G204" s="78"/>
    </row>
    <row r="205" spans="1:7" ht="30" customHeight="1" x14ac:dyDescent="0.25">
      <c r="A205" s="79" t="s">
        <v>415</v>
      </c>
      <c r="B205" s="37" t="s">
        <v>416</v>
      </c>
      <c r="C205" s="80"/>
      <c r="D205" s="81"/>
      <c r="E205" s="81"/>
      <c r="F205" s="81"/>
      <c r="G205" s="81"/>
    </row>
    <row r="206" spans="1:7" ht="30" customHeight="1" x14ac:dyDescent="0.25">
      <c r="A206" s="76" t="s">
        <v>417</v>
      </c>
      <c r="B206" s="33" t="s">
        <v>418</v>
      </c>
      <c r="C206" s="77"/>
      <c r="D206" s="78"/>
      <c r="E206" s="78"/>
      <c r="F206" s="78"/>
      <c r="G206" s="78"/>
    </row>
    <row r="207" spans="1:7" ht="30" customHeight="1" x14ac:dyDescent="0.25">
      <c r="A207" s="76" t="s">
        <v>419</v>
      </c>
      <c r="B207" s="37" t="s">
        <v>420</v>
      </c>
      <c r="C207" s="80"/>
      <c r="D207" s="81"/>
      <c r="E207" s="81"/>
      <c r="F207" s="81"/>
      <c r="G207" s="81"/>
    </row>
    <row r="208" spans="1:7" ht="30" customHeight="1" x14ac:dyDescent="0.25">
      <c r="A208" s="79" t="s">
        <v>421</v>
      </c>
      <c r="B208" s="33" t="s">
        <v>422</v>
      </c>
      <c r="C208" s="77"/>
      <c r="D208" s="78"/>
      <c r="E208" s="78"/>
      <c r="F208" s="78"/>
      <c r="G208" s="78"/>
    </row>
    <row r="209" spans="1:7" ht="30" customHeight="1" x14ac:dyDescent="0.25">
      <c r="A209" s="79" t="s">
        <v>423</v>
      </c>
      <c r="B209" s="37" t="s">
        <v>424</v>
      </c>
      <c r="C209" s="80"/>
      <c r="D209" s="81"/>
      <c r="E209" s="81"/>
      <c r="F209" s="81"/>
      <c r="G209" s="81"/>
    </row>
    <row r="210" spans="1:7" ht="30" customHeight="1" x14ac:dyDescent="0.25">
      <c r="A210" s="79" t="s">
        <v>425</v>
      </c>
      <c r="B210" s="33" t="s">
        <v>426</v>
      </c>
      <c r="C210" s="77"/>
      <c r="D210" s="78"/>
      <c r="E210" s="78"/>
      <c r="F210" s="78"/>
      <c r="G210" s="78"/>
    </row>
    <row r="211" spans="1:7" ht="30" customHeight="1" x14ac:dyDescent="0.25">
      <c r="A211" s="79" t="s">
        <v>427</v>
      </c>
      <c r="B211" s="37" t="s">
        <v>428</v>
      </c>
      <c r="C211" s="80"/>
      <c r="D211" s="81"/>
      <c r="E211" s="81"/>
      <c r="F211" s="81"/>
      <c r="G211" s="81"/>
    </row>
    <row r="212" spans="1:7" ht="30" customHeight="1" x14ac:dyDescent="0.25">
      <c r="A212" s="82" t="s">
        <v>429</v>
      </c>
      <c r="B212" s="33" t="s">
        <v>430</v>
      </c>
      <c r="C212" s="77"/>
      <c r="D212" s="78"/>
      <c r="E212" s="78"/>
      <c r="F212" s="78"/>
      <c r="G212" s="78"/>
    </row>
    <row r="213" spans="1:7" ht="30" customHeight="1" x14ac:dyDescent="0.25">
      <c r="A213" s="76" t="s">
        <v>431</v>
      </c>
      <c r="B213" s="37" t="s">
        <v>432</v>
      </c>
      <c r="C213" s="80"/>
      <c r="D213" s="81"/>
      <c r="E213" s="81"/>
      <c r="F213" s="81"/>
      <c r="G213" s="81"/>
    </row>
    <row r="214" spans="1:7" ht="30" customHeight="1" x14ac:dyDescent="0.25">
      <c r="A214" s="76" t="s">
        <v>433</v>
      </c>
      <c r="B214" s="33" t="s">
        <v>434</v>
      </c>
      <c r="C214" s="77"/>
      <c r="D214" s="78"/>
      <c r="E214" s="78"/>
      <c r="F214" s="78"/>
      <c r="G214" s="78"/>
    </row>
    <row r="215" spans="1:7" ht="30" customHeight="1" x14ac:dyDescent="0.25">
      <c r="A215" s="76" t="s">
        <v>435</v>
      </c>
      <c r="B215" s="37" t="s">
        <v>436</v>
      </c>
      <c r="C215" s="80"/>
      <c r="D215" s="81"/>
      <c r="E215" s="81"/>
      <c r="F215" s="81"/>
      <c r="G215" s="81"/>
    </row>
    <row r="216" spans="1:7" ht="30" customHeight="1" x14ac:dyDescent="0.25">
      <c r="A216" s="82" t="s">
        <v>437</v>
      </c>
      <c r="B216" s="33" t="s">
        <v>438</v>
      </c>
      <c r="C216" s="77"/>
      <c r="D216" s="78"/>
      <c r="E216" s="78"/>
      <c r="F216" s="78"/>
      <c r="G216" s="78"/>
    </row>
    <row r="217" spans="1:7" ht="30" customHeight="1" x14ac:dyDescent="0.25">
      <c r="A217" s="79" t="s">
        <v>439</v>
      </c>
      <c r="B217" s="37" t="s">
        <v>440</v>
      </c>
      <c r="C217" s="80"/>
      <c r="D217" s="81"/>
      <c r="E217" s="81"/>
      <c r="F217" s="81"/>
      <c r="G217" s="81"/>
    </row>
    <row r="218" spans="1:7" ht="30" customHeight="1" x14ac:dyDescent="0.25">
      <c r="A218" s="76" t="s">
        <v>441</v>
      </c>
      <c r="B218" s="33" t="s">
        <v>442</v>
      </c>
      <c r="C218" s="77"/>
      <c r="D218" s="78"/>
      <c r="E218" s="78"/>
      <c r="F218" s="78"/>
      <c r="G218" s="78"/>
    </row>
    <row r="219" spans="1:7" ht="30" customHeight="1" x14ac:dyDescent="0.25">
      <c r="A219" s="76" t="s">
        <v>443</v>
      </c>
      <c r="B219" s="37" t="s">
        <v>444</v>
      </c>
      <c r="C219" s="80"/>
      <c r="D219" s="81"/>
      <c r="E219" s="81"/>
      <c r="F219" s="81"/>
      <c r="G219" s="81"/>
    </row>
    <row r="220" spans="1:7" ht="30" customHeight="1" x14ac:dyDescent="0.25">
      <c r="A220" s="76" t="s">
        <v>445</v>
      </c>
      <c r="B220" s="33" t="s">
        <v>446</v>
      </c>
      <c r="C220" s="77"/>
      <c r="D220" s="78"/>
      <c r="E220" s="78"/>
      <c r="F220" s="78"/>
      <c r="G220" s="78"/>
    </row>
    <row r="221" spans="1:7" ht="30" customHeight="1" x14ac:dyDescent="0.25">
      <c r="A221" s="76" t="s">
        <v>447</v>
      </c>
      <c r="B221" s="37" t="s">
        <v>448</v>
      </c>
      <c r="C221" s="80"/>
      <c r="D221" s="81"/>
      <c r="E221" s="81"/>
      <c r="F221" s="81"/>
      <c r="G221" s="81"/>
    </row>
    <row r="222" spans="1:7" ht="30" customHeight="1" x14ac:dyDescent="0.25">
      <c r="A222" s="79" t="s">
        <v>449</v>
      </c>
      <c r="B222" s="33" t="s">
        <v>450</v>
      </c>
      <c r="C222" s="77"/>
      <c r="D222" s="78"/>
      <c r="E222" s="78"/>
      <c r="F222" s="78"/>
      <c r="G222" s="78"/>
    </row>
    <row r="223" spans="1:7" ht="30" customHeight="1" x14ac:dyDescent="0.25">
      <c r="A223" s="79" t="s">
        <v>451</v>
      </c>
      <c r="B223" s="37" t="s">
        <v>452</v>
      </c>
      <c r="C223" s="80"/>
      <c r="D223" s="81"/>
      <c r="E223" s="81"/>
      <c r="F223" s="81"/>
      <c r="G223" s="81"/>
    </row>
  </sheetData>
  <autoFilter ref="A2:B2" xr:uid="{00000000-0009-0000-0000-00000A000000}"/>
  <mergeCells count="1">
    <mergeCell ref="A1:G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24" t="s">
        <v>1155</v>
      </c>
      <c r="B1" s="88"/>
      <c r="C1" s="88"/>
      <c r="D1" s="88"/>
    </row>
    <row r="2" spans="1:4" ht="30" customHeight="1" x14ac:dyDescent="0.25">
      <c r="A2" s="6" t="s">
        <v>1156</v>
      </c>
      <c r="B2" s="6" t="s">
        <v>1157</v>
      </c>
      <c r="C2" s="6" t="s">
        <v>1158</v>
      </c>
      <c r="D2" s="6" t="s">
        <v>1159</v>
      </c>
    </row>
    <row r="3" spans="1:4" x14ac:dyDescent="0.25">
      <c r="A3" s="83" t="s">
        <v>1160</v>
      </c>
    </row>
  </sheetData>
  <mergeCells count="1">
    <mergeCell ref="A1:D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H3"/>
  <sheetViews>
    <sheetView showGridLines="0" workbookViewId="0">
      <pane ySplit="2" topLeftCell="A3" activePane="bottomLeft" state="frozen"/>
      <selection pane="bottomLeft"/>
    </sheetView>
  </sheetViews>
  <sheetFormatPr defaultRowHeight="15" x14ac:dyDescent="0.25"/>
  <cols>
    <col min="1" max="1" width="14" customWidth="1"/>
    <col min="2" max="2" width="60" customWidth="1"/>
    <col min="3" max="3" width="13" customWidth="1"/>
    <col min="4" max="4" width="25" customWidth="1"/>
    <col min="5" max="5" width="18" customWidth="1"/>
    <col min="6" max="6" width="14" customWidth="1"/>
    <col min="7" max="7" width="25" customWidth="1"/>
    <col min="8" max="8" width="40" customWidth="1"/>
  </cols>
  <sheetData>
    <row r="1" spans="1:8" ht="33.950000000000003" customHeight="1" x14ac:dyDescent="0.25">
      <c r="A1" s="106" t="s">
        <v>1161</v>
      </c>
      <c r="B1" s="88"/>
      <c r="C1" s="88"/>
      <c r="D1" s="88"/>
      <c r="E1" s="88"/>
      <c r="F1" s="88"/>
      <c r="G1" s="88"/>
      <c r="H1" s="88"/>
    </row>
    <row r="2" spans="1:8" ht="30" customHeight="1" x14ac:dyDescent="0.25">
      <c r="A2" s="6" t="s">
        <v>9</v>
      </c>
      <c r="B2" s="6" t="s">
        <v>10</v>
      </c>
      <c r="C2" s="6" t="s">
        <v>11</v>
      </c>
      <c r="D2" s="6" t="s">
        <v>1162</v>
      </c>
      <c r="E2" s="6" t="s">
        <v>1163</v>
      </c>
      <c r="F2" s="6" t="s">
        <v>1164</v>
      </c>
      <c r="G2" s="6" t="s">
        <v>1165</v>
      </c>
      <c r="H2" s="6" t="s">
        <v>1166</v>
      </c>
    </row>
    <row r="3" spans="1:8" x14ac:dyDescent="0.25">
      <c r="A3" s="84" t="s">
        <v>1167</v>
      </c>
    </row>
  </sheetData>
  <autoFilter ref="A2:H2" xr:uid="{00000000-0009-0000-0000-00000C000000}"/>
  <mergeCells count="1">
    <mergeCell ref="A1:H1"/>
  </mergeCells>
  <dataValidations count="1">
    <dataValidation type="list" allowBlank="1" sqref="E3:E2000" xr:uid="{00000000-0002-0000-0C00-000000000000}">
      <formula1>"Uitgevoerd,Gepland,Niet uitvoeren"</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4"/>
  <dimension ref="A1:I2000"/>
  <sheetViews>
    <sheetView showGridLines="0" workbookViewId="0">
      <pane ySplit="2" topLeftCell="A3" activePane="bottomLeft" state="frozen"/>
      <selection pane="bottomLeft"/>
    </sheetView>
  </sheetViews>
  <sheetFormatPr defaultRowHeight="15" x14ac:dyDescent="0.25"/>
  <cols>
    <col min="1" max="1" width="25" customWidth="1"/>
    <col min="2" max="2" width="14" customWidth="1"/>
    <col min="3" max="3" width="60" customWidth="1"/>
    <col min="4" max="4" width="15" customWidth="1"/>
    <col min="5" max="5" width="40" customWidth="1"/>
    <col min="6" max="6" width="50" customWidth="1"/>
    <col min="7" max="8" width="16" customWidth="1"/>
    <col min="9" max="9" width="18" customWidth="1"/>
  </cols>
  <sheetData>
    <row r="1" spans="1:9" ht="33.950000000000003" customHeight="1" x14ac:dyDescent="0.25">
      <c r="A1" s="106" t="s">
        <v>1168</v>
      </c>
      <c r="B1" s="88"/>
      <c r="C1" s="88"/>
      <c r="D1" s="88"/>
      <c r="E1" s="88"/>
      <c r="F1" s="88"/>
      <c r="G1" s="88"/>
      <c r="H1" s="88"/>
      <c r="I1" s="88"/>
    </row>
    <row r="2" spans="1:9" ht="30" customHeight="1" x14ac:dyDescent="0.25">
      <c r="A2" s="6" t="s">
        <v>1169</v>
      </c>
      <c r="B2" s="6" t="s">
        <v>9</v>
      </c>
      <c r="C2" s="6" t="s">
        <v>1170</v>
      </c>
      <c r="D2" s="6" t="s">
        <v>1171</v>
      </c>
      <c r="E2" s="6" t="s">
        <v>1172</v>
      </c>
      <c r="F2" s="6" t="s">
        <v>1173</v>
      </c>
      <c r="G2" s="6" t="s">
        <v>1174</v>
      </c>
      <c r="H2" s="6" t="s">
        <v>1175</v>
      </c>
      <c r="I2" s="6" t="s">
        <v>1163</v>
      </c>
    </row>
    <row r="3" spans="1:9" x14ac:dyDescent="0.25">
      <c r="A3" s="84" t="s">
        <v>1176</v>
      </c>
      <c r="G3" s="85"/>
      <c r="H3" s="85"/>
    </row>
    <row r="4" spans="1:9" x14ac:dyDescent="0.25">
      <c r="G4" s="85"/>
      <c r="H4" s="85"/>
    </row>
    <row r="5" spans="1:9" x14ac:dyDescent="0.25">
      <c r="G5" s="85"/>
      <c r="H5" s="85"/>
    </row>
    <row r="6" spans="1:9" x14ac:dyDescent="0.25">
      <c r="G6" s="85"/>
      <c r="H6" s="85"/>
    </row>
    <row r="7" spans="1:9" x14ac:dyDescent="0.25">
      <c r="G7" s="85"/>
      <c r="H7" s="85"/>
    </row>
    <row r="8" spans="1:9" x14ac:dyDescent="0.25">
      <c r="G8" s="85"/>
      <c r="H8" s="85"/>
    </row>
    <row r="9" spans="1:9" x14ac:dyDescent="0.25">
      <c r="G9" s="85"/>
      <c r="H9" s="85"/>
    </row>
    <row r="10" spans="1:9" x14ac:dyDescent="0.25">
      <c r="G10" s="85"/>
      <c r="H10" s="85"/>
    </row>
    <row r="11" spans="1:9" x14ac:dyDescent="0.25">
      <c r="G11" s="85"/>
      <c r="H11" s="85"/>
    </row>
    <row r="12" spans="1:9" x14ac:dyDescent="0.25">
      <c r="G12" s="85"/>
      <c r="H12" s="85"/>
    </row>
    <row r="13" spans="1:9" x14ac:dyDescent="0.25">
      <c r="G13" s="85"/>
      <c r="H13" s="85"/>
    </row>
    <row r="14" spans="1:9" x14ac:dyDescent="0.25">
      <c r="G14" s="85"/>
      <c r="H14" s="85"/>
    </row>
    <row r="15" spans="1:9" x14ac:dyDescent="0.25">
      <c r="G15" s="85"/>
      <c r="H15" s="85"/>
    </row>
    <row r="16" spans="1:9" x14ac:dyDescent="0.25">
      <c r="G16" s="85"/>
      <c r="H16" s="85"/>
    </row>
    <row r="17" spans="7:8" x14ac:dyDescent="0.25">
      <c r="G17" s="85"/>
      <c r="H17" s="85"/>
    </row>
    <row r="18" spans="7:8" x14ac:dyDescent="0.25">
      <c r="G18" s="85"/>
      <c r="H18" s="85"/>
    </row>
    <row r="19" spans="7:8" x14ac:dyDescent="0.25">
      <c r="G19" s="85"/>
      <c r="H19" s="85"/>
    </row>
    <row r="20" spans="7:8" x14ac:dyDescent="0.25">
      <c r="G20" s="85"/>
      <c r="H20" s="85"/>
    </row>
    <row r="21" spans="7:8" x14ac:dyDescent="0.25">
      <c r="G21" s="85"/>
      <c r="H21" s="85"/>
    </row>
    <row r="22" spans="7:8" x14ac:dyDescent="0.25">
      <c r="G22" s="85"/>
      <c r="H22" s="85"/>
    </row>
    <row r="23" spans="7:8" x14ac:dyDescent="0.25">
      <c r="G23" s="85"/>
      <c r="H23" s="85"/>
    </row>
    <row r="24" spans="7:8" x14ac:dyDescent="0.25">
      <c r="G24" s="85"/>
      <c r="H24" s="85"/>
    </row>
    <row r="25" spans="7:8" x14ac:dyDescent="0.25">
      <c r="G25" s="85"/>
      <c r="H25" s="85"/>
    </row>
    <row r="26" spans="7:8" x14ac:dyDescent="0.25">
      <c r="G26" s="85"/>
      <c r="H26" s="85"/>
    </row>
    <row r="27" spans="7:8" x14ac:dyDescent="0.25">
      <c r="G27" s="85"/>
      <c r="H27" s="85"/>
    </row>
    <row r="28" spans="7:8" x14ac:dyDescent="0.25">
      <c r="G28" s="85"/>
      <c r="H28" s="85"/>
    </row>
    <row r="29" spans="7:8" x14ac:dyDescent="0.25">
      <c r="G29" s="85"/>
      <c r="H29" s="85"/>
    </row>
    <row r="30" spans="7:8" x14ac:dyDescent="0.25">
      <c r="G30" s="85"/>
      <c r="H30" s="85"/>
    </row>
    <row r="31" spans="7:8" x14ac:dyDescent="0.25">
      <c r="G31" s="85"/>
      <c r="H31" s="85"/>
    </row>
    <row r="32" spans="7:8" x14ac:dyDescent="0.25">
      <c r="G32" s="85"/>
      <c r="H32" s="85"/>
    </row>
    <row r="33" spans="7:8" x14ac:dyDescent="0.25">
      <c r="G33" s="85"/>
      <c r="H33" s="85"/>
    </row>
    <row r="34" spans="7:8" x14ac:dyDescent="0.25">
      <c r="G34" s="85"/>
      <c r="H34" s="85"/>
    </row>
    <row r="35" spans="7:8" x14ac:dyDescent="0.25">
      <c r="G35" s="85"/>
      <c r="H35" s="85"/>
    </row>
    <row r="36" spans="7:8" x14ac:dyDescent="0.25">
      <c r="G36" s="85"/>
      <c r="H36" s="85"/>
    </row>
    <row r="37" spans="7:8" x14ac:dyDescent="0.25">
      <c r="G37" s="85"/>
      <c r="H37" s="85"/>
    </row>
    <row r="38" spans="7:8" x14ac:dyDescent="0.25">
      <c r="G38" s="85"/>
      <c r="H38" s="85"/>
    </row>
    <row r="39" spans="7:8" x14ac:dyDescent="0.25">
      <c r="G39" s="85"/>
      <c r="H39" s="85"/>
    </row>
    <row r="40" spans="7:8" x14ac:dyDescent="0.25">
      <c r="G40" s="85"/>
      <c r="H40" s="85"/>
    </row>
    <row r="41" spans="7:8" x14ac:dyDescent="0.25">
      <c r="G41" s="85"/>
      <c r="H41" s="85"/>
    </row>
    <row r="42" spans="7:8" x14ac:dyDescent="0.25">
      <c r="G42" s="85"/>
      <c r="H42" s="85"/>
    </row>
    <row r="43" spans="7:8" x14ac:dyDescent="0.25">
      <c r="G43" s="85"/>
      <c r="H43" s="85"/>
    </row>
    <row r="44" spans="7:8" x14ac:dyDescent="0.25">
      <c r="G44" s="85"/>
      <c r="H44" s="85"/>
    </row>
    <row r="45" spans="7:8" x14ac:dyDescent="0.25">
      <c r="G45" s="85"/>
      <c r="H45" s="85"/>
    </row>
    <row r="46" spans="7:8" x14ac:dyDescent="0.25">
      <c r="G46" s="85"/>
      <c r="H46" s="85"/>
    </row>
    <row r="47" spans="7:8" x14ac:dyDescent="0.25">
      <c r="G47" s="85"/>
      <c r="H47" s="85"/>
    </row>
    <row r="48" spans="7:8" x14ac:dyDescent="0.25">
      <c r="G48" s="85"/>
      <c r="H48" s="85"/>
    </row>
    <row r="49" spans="7:8" x14ac:dyDescent="0.25">
      <c r="G49" s="85"/>
      <c r="H49" s="85"/>
    </row>
    <row r="50" spans="7:8" x14ac:dyDescent="0.25">
      <c r="G50" s="85"/>
      <c r="H50" s="85"/>
    </row>
    <row r="51" spans="7:8" x14ac:dyDescent="0.25">
      <c r="G51" s="85"/>
      <c r="H51" s="85"/>
    </row>
    <row r="52" spans="7:8" x14ac:dyDescent="0.25">
      <c r="G52" s="85"/>
      <c r="H52" s="85"/>
    </row>
    <row r="53" spans="7:8" x14ac:dyDescent="0.25">
      <c r="G53" s="85"/>
      <c r="H53" s="85"/>
    </row>
    <row r="54" spans="7:8" x14ac:dyDescent="0.25">
      <c r="G54" s="85"/>
      <c r="H54" s="85"/>
    </row>
    <row r="55" spans="7:8" x14ac:dyDescent="0.25">
      <c r="G55" s="85"/>
      <c r="H55" s="85"/>
    </row>
    <row r="56" spans="7:8" x14ac:dyDescent="0.25">
      <c r="G56" s="85"/>
      <c r="H56" s="85"/>
    </row>
    <row r="57" spans="7:8" x14ac:dyDescent="0.25">
      <c r="G57" s="85"/>
      <c r="H57" s="85"/>
    </row>
    <row r="58" spans="7:8" x14ac:dyDescent="0.25">
      <c r="G58" s="85"/>
      <c r="H58" s="85"/>
    </row>
    <row r="59" spans="7:8" x14ac:dyDescent="0.25">
      <c r="G59" s="85"/>
      <c r="H59" s="85"/>
    </row>
    <row r="60" spans="7:8" x14ac:dyDescent="0.25">
      <c r="G60" s="85"/>
      <c r="H60" s="85"/>
    </row>
    <row r="61" spans="7:8" x14ac:dyDescent="0.25">
      <c r="G61" s="85"/>
      <c r="H61" s="85"/>
    </row>
    <row r="62" spans="7:8" x14ac:dyDescent="0.25">
      <c r="G62" s="85"/>
      <c r="H62" s="85"/>
    </row>
    <row r="63" spans="7:8" x14ac:dyDescent="0.25">
      <c r="G63" s="85"/>
      <c r="H63" s="85"/>
    </row>
    <row r="64" spans="7:8" x14ac:dyDescent="0.25">
      <c r="G64" s="85"/>
      <c r="H64" s="85"/>
    </row>
    <row r="65" spans="7:8" x14ac:dyDescent="0.25">
      <c r="G65" s="85"/>
      <c r="H65" s="85"/>
    </row>
    <row r="66" spans="7:8" x14ac:dyDescent="0.25">
      <c r="G66" s="85"/>
      <c r="H66" s="85"/>
    </row>
    <row r="67" spans="7:8" x14ac:dyDescent="0.25">
      <c r="G67" s="85"/>
      <c r="H67" s="85"/>
    </row>
    <row r="68" spans="7:8" x14ac:dyDescent="0.25">
      <c r="G68" s="85"/>
      <c r="H68" s="85"/>
    </row>
    <row r="69" spans="7:8" x14ac:dyDescent="0.25">
      <c r="G69" s="85"/>
      <c r="H69" s="85"/>
    </row>
    <row r="70" spans="7:8" x14ac:dyDescent="0.25">
      <c r="G70" s="85"/>
      <c r="H70" s="85"/>
    </row>
    <row r="71" spans="7:8" x14ac:dyDescent="0.25">
      <c r="G71" s="85"/>
      <c r="H71" s="85"/>
    </row>
    <row r="72" spans="7:8" x14ac:dyDescent="0.25">
      <c r="G72" s="85"/>
      <c r="H72" s="85"/>
    </row>
    <row r="73" spans="7:8" x14ac:dyDescent="0.25">
      <c r="G73" s="85"/>
      <c r="H73" s="85"/>
    </row>
    <row r="74" spans="7:8" x14ac:dyDescent="0.25">
      <c r="G74" s="85"/>
      <c r="H74" s="85"/>
    </row>
    <row r="75" spans="7:8" x14ac:dyDescent="0.25">
      <c r="G75" s="85"/>
      <c r="H75" s="85"/>
    </row>
    <row r="76" spans="7:8" x14ac:dyDescent="0.25">
      <c r="G76" s="85"/>
      <c r="H76" s="85"/>
    </row>
    <row r="77" spans="7:8" x14ac:dyDescent="0.25">
      <c r="G77" s="85"/>
      <c r="H77" s="85"/>
    </row>
    <row r="78" spans="7:8" x14ac:dyDescent="0.25">
      <c r="G78" s="85"/>
      <c r="H78" s="85"/>
    </row>
    <row r="79" spans="7:8" x14ac:dyDescent="0.25">
      <c r="G79" s="85"/>
      <c r="H79" s="85"/>
    </row>
    <row r="80" spans="7:8" x14ac:dyDescent="0.25">
      <c r="G80" s="85"/>
      <c r="H80" s="85"/>
    </row>
    <row r="81" spans="7:8" x14ac:dyDescent="0.25">
      <c r="G81" s="85"/>
      <c r="H81" s="85"/>
    </row>
    <row r="82" spans="7:8" x14ac:dyDescent="0.25">
      <c r="G82" s="85"/>
      <c r="H82" s="85"/>
    </row>
    <row r="83" spans="7:8" x14ac:dyDescent="0.25">
      <c r="G83" s="85"/>
      <c r="H83" s="85"/>
    </row>
    <row r="84" spans="7:8" x14ac:dyDescent="0.25">
      <c r="G84" s="85"/>
      <c r="H84" s="85"/>
    </row>
    <row r="85" spans="7:8" x14ac:dyDescent="0.25">
      <c r="G85" s="85"/>
      <c r="H85" s="85"/>
    </row>
    <row r="86" spans="7:8" x14ac:dyDescent="0.25">
      <c r="G86" s="85"/>
      <c r="H86" s="85"/>
    </row>
    <row r="87" spans="7:8" x14ac:dyDescent="0.25">
      <c r="G87" s="85"/>
      <c r="H87" s="85"/>
    </row>
    <row r="88" spans="7:8" x14ac:dyDescent="0.25">
      <c r="G88" s="85"/>
      <c r="H88" s="85"/>
    </row>
    <row r="89" spans="7:8" x14ac:dyDescent="0.25">
      <c r="G89" s="85"/>
      <c r="H89" s="85"/>
    </row>
    <row r="90" spans="7:8" x14ac:dyDescent="0.25">
      <c r="G90" s="85"/>
      <c r="H90" s="85"/>
    </row>
    <row r="91" spans="7:8" x14ac:dyDescent="0.25">
      <c r="G91" s="85"/>
      <c r="H91" s="85"/>
    </row>
    <row r="92" spans="7:8" x14ac:dyDescent="0.25">
      <c r="G92" s="85"/>
      <c r="H92" s="85"/>
    </row>
    <row r="93" spans="7:8" x14ac:dyDescent="0.25">
      <c r="G93" s="85"/>
      <c r="H93" s="85"/>
    </row>
    <row r="94" spans="7:8" x14ac:dyDescent="0.25">
      <c r="G94" s="85"/>
      <c r="H94" s="85"/>
    </row>
    <row r="95" spans="7:8" x14ac:dyDescent="0.25">
      <c r="G95" s="85"/>
      <c r="H95" s="85"/>
    </row>
    <row r="96" spans="7:8" x14ac:dyDescent="0.25">
      <c r="G96" s="85"/>
      <c r="H96" s="85"/>
    </row>
    <row r="97" spans="7:8" x14ac:dyDescent="0.25">
      <c r="G97" s="85"/>
      <c r="H97" s="85"/>
    </row>
    <row r="98" spans="7:8" x14ac:dyDescent="0.25">
      <c r="G98" s="85"/>
      <c r="H98" s="85"/>
    </row>
    <row r="99" spans="7:8" x14ac:dyDescent="0.25">
      <c r="G99" s="85"/>
      <c r="H99" s="85"/>
    </row>
    <row r="100" spans="7:8" x14ac:dyDescent="0.25">
      <c r="G100" s="85"/>
      <c r="H100" s="85"/>
    </row>
    <row r="101" spans="7:8" x14ac:dyDescent="0.25">
      <c r="G101" s="85"/>
      <c r="H101" s="85"/>
    </row>
    <row r="102" spans="7:8" x14ac:dyDescent="0.25">
      <c r="G102" s="85"/>
      <c r="H102" s="85"/>
    </row>
    <row r="103" spans="7:8" x14ac:dyDescent="0.25">
      <c r="G103" s="85"/>
      <c r="H103" s="85"/>
    </row>
    <row r="104" spans="7:8" x14ac:dyDescent="0.25">
      <c r="G104" s="85"/>
      <c r="H104" s="85"/>
    </row>
    <row r="105" spans="7:8" x14ac:dyDescent="0.25">
      <c r="G105" s="85"/>
      <c r="H105" s="85"/>
    </row>
    <row r="106" spans="7:8" x14ac:dyDescent="0.25">
      <c r="G106" s="85"/>
      <c r="H106" s="85"/>
    </row>
    <row r="107" spans="7:8" x14ac:dyDescent="0.25">
      <c r="G107" s="85"/>
      <c r="H107" s="85"/>
    </row>
    <row r="108" spans="7:8" x14ac:dyDescent="0.25">
      <c r="G108" s="85"/>
      <c r="H108" s="85"/>
    </row>
    <row r="109" spans="7:8" x14ac:dyDescent="0.25">
      <c r="G109" s="85"/>
      <c r="H109" s="85"/>
    </row>
    <row r="110" spans="7:8" x14ac:dyDescent="0.25">
      <c r="G110" s="85"/>
      <c r="H110" s="85"/>
    </row>
    <row r="111" spans="7:8" x14ac:dyDescent="0.25">
      <c r="G111" s="85"/>
      <c r="H111" s="85"/>
    </row>
    <row r="112" spans="7:8" x14ac:dyDescent="0.25">
      <c r="G112" s="85"/>
      <c r="H112" s="85"/>
    </row>
    <row r="113" spans="7:8" x14ac:dyDescent="0.25">
      <c r="G113" s="85"/>
      <c r="H113" s="85"/>
    </row>
    <row r="114" spans="7:8" x14ac:dyDescent="0.25">
      <c r="G114" s="85"/>
      <c r="H114" s="85"/>
    </row>
    <row r="115" spans="7:8" x14ac:dyDescent="0.25">
      <c r="G115" s="85"/>
      <c r="H115" s="85"/>
    </row>
    <row r="116" spans="7:8" x14ac:dyDescent="0.25">
      <c r="G116" s="85"/>
      <c r="H116" s="85"/>
    </row>
    <row r="117" spans="7:8" x14ac:dyDescent="0.25">
      <c r="G117" s="85"/>
      <c r="H117" s="85"/>
    </row>
    <row r="118" spans="7:8" x14ac:dyDescent="0.25">
      <c r="G118" s="85"/>
      <c r="H118" s="85"/>
    </row>
    <row r="119" spans="7:8" x14ac:dyDescent="0.25">
      <c r="G119" s="85"/>
      <c r="H119" s="85"/>
    </row>
    <row r="120" spans="7:8" x14ac:dyDescent="0.25">
      <c r="G120" s="85"/>
      <c r="H120" s="85"/>
    </row>
    <row r="121" spans="7:8" x14ac:dyDescent="0.25">
      <c r="G121" s="85"/>
      <c r="H121" s="85"/>
    </row>
    <row r="122" spans="7:8" x14ac:dyDescent="0.25">
      <c r="G122" s="85"/>
      <c r="H122" s="85"/>
    </row>
    <row r="123" spans="7:8" x14ac:dyDescent="0.25">
      <c r="G123" s="85"/>
      <c r="H123" s="85"/>
    </row>
    <row r="124" spans="7:8" x14ac:dyDescent="0.25">
      <c r="G124" s="85"/>
      <c r="H124" s="85"/>
    </row>
    <row r="125" spans="7:8" x14ac:dyDescent="0.25">
      <c r="G125" s="85"/>
      <c r="H125" s="85"/>
    </row>
    <row r="126" spans="7:8" x14ac:dyDescent="0.25">
      <c r="G126" s="85"/>
      <c r="H126" s="85"/>
    </row>
    <row r="127" spans="7:8" x14ac:dyDescent="0.25">
      <c r="G127" s="85"/>
      <c r="H127" s="85"/>
    </row>
    <row r="128" spans="7:8" x14ac:dyDescent="0.25">
      <c r="G128" s="85"/>
      <c r="H128" s="85"/>
    </row>
    <row r="129" spans="7:8" x14ac:dyDescent="0.25">
      <c r="G129" s="85"/>
      <c r="H129" s="85"/>
    </row>
    <row r="130" spans="7:8" x14ac:dyDescent="0.25">
      <c r="G130" s="85"/>
      <c r="H130" s="85"/>
    </row>
    <row r="131" spans="7:8" x14ac:dyDescent="0.25">
      <c r="G131" s="85"/>
      <c r="H131" s="85"/>
    </row>
    <row r="132" spans="7:8" x14ac:dyDescent="0.25">
      <c r="G132" s="85"/>
      <c r="H132" s="85"/>
    </row>
    <row r="133" spans="7:8" x14ac:dyDescent="0.25">
      <c r="G133" s="85"/>
      <c r="H133" s="85"/>
    </row>
    <row r="134" spans="7:8" x14ac:dyDescent="0.25">
      <c r="G134" s="85"/>
      <c r="H134" s="85"/>
    </row>
    <row r="135" spans="7:8" x14ac:dyDescent="0.25">
      <c r="G135" s="85"/>
      <c r="H135" s="85"/>
    </row>
    <row r="136" spans="7:8" x14ac:dyDescent="0.25">
      <c r="G136" s="85"/>
      <c r="H136" s="85"/>
    </row>
    <row r="137" spans="7:8" x14ac:dyDescent="0.25">
      <c r="G137" s="85"/>
      <c r="H137" s="85"/>
    </row>
    <row r="138" spans="7:8" x14ac:dyDescent="0.25">
      <c r="G138" s="85"/>
      <c r="H138" s="85"/>
    </row>
    <row r="139" spans="7:8" x14ac:dyDescent="0.25">
      <c r="G139" s="85"/>
      <c r="H139" s="85"/>
    </row>
    <row r="140" spans="7:8" x14ac:dyDescent="0.25">
      <c r="G140" s="85"/>
      <c r="H140" s="85"/>
    </row>
    <row r="141" spans="7:8" x14ac:dyDescent="0.25">
      <c r="G141" s="85"/>
      <c r="H141" s="85"/>
    </row>
    <row r="142" spans="7:8" x14ac:dyDescent="0.25">
      <c r="G142" s="85"/>
      <c r="H142" s="85"/>
    </row>
    <row r="143" spans="7:8" x14ac:dyDescent="0.25">
      <c r="G143" s="85"/>
      <c r="H143" s="85"/>
    </row>
    <row r="144" spans="7:8" x14ac:dyDescent="0.25">
      <c r="G144" s="85"/>
      <c r="H144" s="85"/>
    </row>
    <row r="145" spans="7:8" x14ac:dyDescent="0.25">
      <c r="G145" s="85"/>
      <c r="H145" s="85"/>
    </row>
    <row r="146" spans="7:8" x14ac:dyDescent="0.25">
      <c r="G146" s="85"/>
      <c r="H146" s="85"/>
    </row>
    <row r="147" spans="7:8" x14ac:dyDescent="0.25">
      <c r="G147" s="85"/>
      <c r="H147" s="85"/>
    </row>
    <row r="148" spans="7:8" x14ac:dyDescent="0.25">
      <c r="G148" s="85"/>
      <c r="H148" s="85"/>
    </row>
    <row r="149" spans="7:8" x14ac:dyDescent="0.25">
      <c r="G149" s="85"/>
      <c r="H149" s="85"/>
    </row>
    <row r="150" spans="7:8" x14ac:dyDescent="0.25">
      <c r="G150" s="85"/>
      <c r="H150" s="85"/>
    </row>
    <row r="151" spans="7:8" x14ac:dyDescent="0.25">
      <c r="G151" s="85"/>
      <c r="H151" s="85"/>
    </row>
    <row r="152" spans="7:8" x14ac:dyDescent="0.25">
      <c r="G152" s="85"/>
      <c r="H152" s="85"/>
    </row>
    <row r="153" spans="7:8" x14ac:dyDescent="0.25">
      <c r="G153" s="85"/>
      <c r="H153" s="85"/>
    </row>
    <row r="154" spans="7:8" x14ac:dyDescent="0.25">
      <c r="G154" s="85"/>
      <c r="H154" s="85"/>
    </row>
    <row r="155" spans="7:8" x14ac:dyDescent="0.25">
      <c r="G155" s="85"/>
      <c r="H155" s="85"/>
    </row>
    <row r="156" spans="7:8" x14ac:dyDescent="0.25">
      <c r="G156" s="85"/>
      <c r="H156" s="85"/>
    </row>
    <row r="157" spans="7:8" x14ac:dyDescent="0.25">
      <c r="G157" s="85"/>
      <c r="H157" s="85"/>
    </row>
    <row r="158" spans="7:8" x14ac:dyDescent="0.25">
      <c r="G158" s="85"/>
      <c r="H158" s="85"/>
    </row>
    <row r="159" spans="7:8" x14ac:dyDescent="0.25">
      <c r="G159" s="85"/>
      <c r="H159" s="85"/>
    </row>
    <row r="160" spans="7:8" x14ac:dyDescent="0.25">
      <c r="G160" s="85"/>
      <c r="H160" s="85"/>
    </row>
    <row r="161" spans="7:8" x14ac:dyDescent="0.25">
      <c r="G161" s="85"/>
      <c r="H161" s="85"/>
    </row>
    <row r="162" spans="7:8" x14ac:dyDescent="0.25">
      <c r="G162" s="85"/>
      <c r="H162" s="85"/>
    </row>
    <row r="163" spans="7:8" x14ac:dyDescent="0.25">
      <c r="G163" s="85"/>
      <c r="H163" s="85"/>
    </row>
    <row r="164" spans="7:8" x14ac:dyDescent="0.25">
      <c r="G164" s="85"/>
      <c r="H164" s="85"/>
    </row>
    <row r="165" spans="7:8" x14ac:dyDescent="0.25">
      <c r="G165" s="85"/>
      <c r="H165" s="85"/>
    </row>
    <row r="166" spans="7:8" x14ac:dyDescent="0.25">
      <c r="G166" s="85"/>
      <c r="H166" s="85"/>
    </row>
    <row r="167" spans="7:8" x14ac:dyDescent="0.25">
      <c r="G167" s="85"/>
      <c r="H167" s="85"/>
    </row>
    <row r="168" spans="7:8" x14ac:dyDescent="0.25">
      <c r="G168" s="85"/>
      <c r="H168" s="85"/>
    </row>
    <row r="169" spans="7:8" x14ac:dyDescent="0.25">
      <c r="G169" s="85"/>
      <c r="H169" s="85"/>
    </row>
    <row r="170" spans="7:8" x14ac:dyDescent="0.25">
      <c r="G170" s="85"/>
      <c r="H170" s="85"/>
    </row>
    <row r="171" spans="7:8" x14ac:dyDescent="0.25">
      <c r="G171" s="85"/>
      <c r="H171" s="85"/>
    </row>
    <row r="172" spans="7:8" x14ac:dyDescent="0.25">
      <c r="G172" s="85"/>
      <c r="H172" s="85"/>
    </row>
    <row r="173" spans="7:8" x14ac:dyDescent="0.25">
      <c r="G173" s="85"/>
      <c r="H173" s="85"/>
    </row>
    <row r="174" spans="7:8" x14ac:dyDescent="0.25">
      <c r="G174" s="85"/>
      <c r="H174" s="85"/>
    </row>
    <row r="175" spans="7:8" x14ac:dyDescent="0.25">
      <c r="G175" s="85"/>
      <c r="H175" s="85"/>
    </row>
    <row r="176" spans="7:8" x14ac:dyDescent="0.25">
      <c r="G176" s="85"/>
      <c r="H176" s="85"/>
    </row>
    <row r="177" spans="7:8" x14ac:dyDescent="0.25">
      <c r="G177" s="85"/>
      <c r="H177" s="85"/>
    </row>
    <row r="178" spans="7:8" x14ac:dyDescent="0.25">
      <c r="G178" s="85"/>
      <c r="H178" s="85"/>
    </row>
    <row r="179" spans="7:8" x14ac:dyDescent="0.25">
      <c r="G179" s="85"/>
      <c r="H179" s="85"/>
    </row>
    <row r="180" spans="7:8" x14ac:dyDescent="0.25">
      <c r="G180" s="85"/>
      <c r="H180" s="85"/>
    </row>
    <row r="181" spans="7:8" x14ac:dyDescent="0.25">
      <c r="G181" s="85"/>
      <c r="H181" s="85"/>
    </row>
    <row r="182" spans="7:8" x14ac:dyDescent="0.25">
      <c r="G182" s="85"/>
      <c r="H182" s="85"/>
    </row>
    <row r="183" spans="7:8" x14ac:dyDescent="0.25">
      <c r="G183" s="85"/>
      <c r="H183" s="85"/>
    </row>
    <row r="184" spans="7:8" x14ac:dyDescent="0.25">
      <c r="G184" s="85"/>
      <c r="H184" s="85"/>
    </row>
    <row r="185" spans="7:8" x14ac:dyDescent="0.25">
      <c r="G185" s="85"/>
      <c r="H185" s="85"/>
    </row>
    <row r="186" spans="7:8" x14ac:dyDescent="0.25">
      <c r="G186" s="85"/>
      <c r="H186" s="85"/>
    </row>
    <row r="187" spans="7:8" x14ac:dyDescent="0.25">
      <c r="G187" s="85"/>
      <c r="H187" s="85"/>
    </row>
    <row r="188" spans="7:8" x14ac:dyDescent="0.25">
      <c r="G188" s="85"/>
      <c r="H188" s="85"/>
    </row>
    <row r="189" spans="7:8" x14ac:dyDescent="0.25">
      <c r="G189" s="85"/>
      <c r="H189" s="85"/>
    </row>
    <row r="190" spans="7:8" x14ac:dyDescent="0.25">
      <c r="G190" s="85"/>
      <c r="H190" s="85"/>
    </row>
    <row r="191" spans="7:8" x14ac:dyDescent="0.25">
      <c r="G191" s="85"/>
      <c r="H191" s="85"/>
    </row>
    <row r="192" spans="7:8" x14ac:dyDescent="0.25">
      <c r="G192" s="85"/>
      <c r="H192" s="85"/>
    </row>
    <row r="193" spans="7:8" x14ac:dyDescent="0.25">
      <c r="G193" s="85"/>
      <c r="H193" s="85"/>
    </row>
    <row r="194" spans="7:8" x14ac:dyDescent="0.25">
      <c r="G194" s="85"/>
      <c r="H194" s="85"/>
    </row>
    <row r="195" spans="7:8" x14ac:dyDescent="0.25">
      <c r="G195" s="85"/>
      <c r="H195" s="85"/>
    </row>
    <row r="196" spans="7:8" x14ac:dyDescent="0.25">
      <c r="G196" s="85"/>
      <c r="H196" s="85"/>
    </row>
    <row r="197" spans="7:8" x14ac:dyDescent="0.25">
      <c r="G197" s="85"/>
      <c r="H197" s="85"/>
    </row>
    <row r="198" spans="7:8" x14ac:dyDescent="0.25">
      <c r="G198" s="85"/>
      <c r="H198" s="85"/>
    </row>
    <row r="199" spans="7:8" x14ac:dyDescent="0.25">
      <c r="G199" s="85"/>
      <c r="H199" s="85"/>
    </row>
    <row r="200" spans="7:8" x14ac:dyDescent="0.25">
      <c r="G200" s="85"/>
      <c r="H200" s="85"/>
    </row>
    <row r="201" spans="7:8" x14ac:dyDescent="0.25">
      <c r="G201" s="85"/>
      <c r="H201" s="85"/>
    </row>
    <row r="202" spans="7:8" x14ac:dyDescent="0.25">
      <c r="G202" s="85"/>
      <c r="H202" s="85"/>
    </row>
    <row r="203" spans="7:8" x14ac:dyDescent="0.25">
      <c r="G203" s="85"/>
      <c r="H203" s="85"/>
    </row>
    <row r="204" spans="7:8" x14ac:dyDescent="0.25">
      <c r="G204" s="85"/>
      <c r="H204" s="85"/>
    </row>
    <row r="205" spans="7:8" x14ac:dyDescent="0.25">
      <c r="G205" s="85"/>
      <c r="H205" s="85"/>
    </row>
    <row r="206" spans="7:8" x14ac:dyDescent="0.25">
      <c r="G206" s="85"/>
      <c r="H206" s="85"/>
    </row>
    <row r="207" spans="7:8" x14ac:dyDescent="0.25">
      <c r="G207" s="85"/>
      <c r="H207" s="85"/>
    </row>
    <row r="208" spans="7:8" x14ac:dyDescent="0.25">
      <c r="G208" s="85"/>
      <c r="H208" s="85"/>
    </row>
    <row r="209" spans="7:8" x14ac:dyDescent="0.25">
      <c r="G209" s="85"/>
      <c r="H209" s="85"/>
    </row>
    <row r="210" spans="7:8" x14ac:dyDescent="0.25">
      <c r="G210" s="85"/>
      <c r="H210" s="85"/>
    </row>
    <row r="211" spans="7:8" x14ac:dyDescent="0.25">
      <c r="G211" s="85"/>
      <c r="H211" s="85"/>
    </row>
    <row r="212" spans="7:8" x14ac:dyDescent="0.25">
      <c r="G212" s="85"/>
      <c r="H212" s="85"/>
    </row>
    <row r="213" spans="7:8" x14ac:dyDescent="0.25">
      <c r="G213" s="85"/>
      <c r="H213" s="85"/>
    </row>
    <row r="214" spans="7:8" x14ac:dyDescent="0.25">
      <c r="G214" s="85"/>
      <c r="H214" s="85"/>
    </row>
    <row r="215" spans="7:8" x14ac:dyDescent="0.25">
      <c r="G215" s="85"/>
      <c r="H215" s="85"/>
    </row>
    <row r="216" spans="7:8" x14ac:dyDescent="0.25">
      <c r="G216" s="85"/>
      <c r="H216" s="85"/>
    </row>
    <row r="217" spans="7:8" x14ac:dyDescent="0.25">
      <c r="G217" s="85"/>
      <c r="H217" s="85"/>
    </row>
    <row r="218" spans="7:8" x14ac:dyDescent="0.25">
      <c r="G218" s="85"/>
      <c r="H218" s="85"/>
    </row>
    <row r="219" spans="7:8" x14ac:dyDescent="0.25">
      <c r="G219" s="85"/>
      <c r="H219" s="85"/>
    </row>
    <row r="220" spans="7:8" x14ac:dyDescent="0.25">
      <c r="G220" s="85"/>
      <c r="H220" s="85"/>
    </row>
    <row r="221" spans="7:8" x14ac:dyDescent="0.25">
      <c r="G221" s="85"/>
      <c r="H221" s="85"/>
    </row>
    <row r="222" spans="7:8" x14ac:dyDescent="0.25">
      <c r="G222" s="85"/>
      <c r="H222" s="85"/>
    </row>
    <row r="223" spans="7:8" x14ac:dyDescent="0.25">
      <c r="G223" s="85"/>
      <c r="H223" s="85"/>
    </row>
    <row r="224" spans="7:8" x14ac:dyDescent="0.25">
      <c r="G224" s="85"/>
      <c r="H224" s="85"/>
    </row>
    <row r="225" spans="7:8" x14ac:dyDescent="0.25">
      <c r="G225" s="85"/>
      <c r="H225" s="85"/>
    </row>
    <row r="226" spans="7:8" x14ac:dyDescent="0.25">
      <c r="G226" s="85"/>
      <c r="H226" s="85"/>
    </row>
    <row r="227" spans="7:8" x14ac:dyDescent="0.25">
      <c r="G227" s="85"/>
      <c r="H227" s="85"/>
    </row>
    <row r="228" spans="7:8" x14ac:dyDescent="0.25">
      <c r="G228" s="85"/>
      <c r="H228" s="85"/>
    </row>
    <row r="229" spans="7:8" x14ac:dyDescent="0.25">
      <c r="G229" s="85"/>
      <c r="H229" s="85"/>
    </row>
    <row r="230" spans="7:8" x14ac:dyDescent="0.25">
      <c r="G230" s="85"/>
      <c r="H230" s="85"/>
    </row>
    <row r="231" spans="7:8" x14ac:dyDescent="0.25">
      <c r="G231" s="85"/>
      <c r="H231" s="85"/>
    </row>
    <row r="232" spans="7:8" x14ac:dyDescent="0.25">
      <c r="G232" s="85"/>
      <c r="H232" s="85"/>
    </row>
    <row r="233" spans="7:8" x14ac:dyDescent="0.25">
      <c r="G233" s="85"/>
      <c r="H233" s="85"/>
    </row>
    <row r="234" spans="7:8" x14ac:dyDescent="0.25">
      <c r="G234" s="85"/>
      <c r="H234" s="85"/>
    </row>
    <row r="235" spans="7:8" x14ac:dyDescent="0.25">
      <c r="G235" s="85"/>
      <c r="H235" s="85"/>
    </row>
    <row r="236" spans="7:8" x14ac:dyDescent="0.25">
      <c r="G236" s="85"/>
      <c r="H236" s="85"/>
    </row>
    <row r="237" spans="7:8" x14ac:dyDescent="0.25">
      <c r="G237" s="85"/>
      <c r="H237" s="85"/>
    </row>
    <row r="238" spans="7:8" x14ac:dyDescent="0.25">
      <c r="G238" s="85"/>
      <c r="H238" s="85"/>
    </row>
    <row r="239" spans="7:8" x14ac:dyDescent="0.25">
      <c r="G239" s="85"/>
      <c r="H239" s="85"/>
    </row>
    <row r="240" spans="7:8" x14ac:dyDescent="0.25">
      <c r="G240" s="85"/>
      <c r="H240" s="85"/>
    </row>
    <row r="241" spans="7:8" x14ac:dyDescent="0.25">
      <c r="G241" s="85"/>
      <c r="H241" s="85"/>
    </row>
    <row r="242" spans="7:8" x14ac:dyDescent="0.25">
      <c r="G242" s="85"/>
      <c r="H242" s="85"/>
    </row>
    <row r="243" spans="7:8" x14ac:dyDescent="0.25">
      <c r="G243" s="85"/>
      <c r="H243" s="85"/>
    </row>
    <row r="244" spans="7:8" x14ac:dyDescent="0.25">
      <c r="G244" s="85"/>
      <c r="H244" s="85"/>
    </row>
    <row r="245" spans="7:8" x14ac:dyDescent="0.25">
      <c r="G245" s="85"/>
      <c r="H245" s="85"/>
    </row>
    <row r="246" spans="7:8" x14ac:dyDescent="0.25">
      <c r="G246" s="85"/>
      <c r="H246" s="85"/>
    </row>
    <row r="247" spans="7:8" x14ac:dyDescent="0.25">
      <c r="G247" s="85"/>
      <c r="H247" s="85"/>
    </row>
    <row r="248" spans="7:8" x14ac:dyDescent="0.25">
      <c r="G248" s="85"/>
      <c r="H248" s="85"/>
    </row>
    <row r="249" spans="7:8" x14ac:dyDescent="0.25">
      <c r="G249" s="85"/>
      <c r="H249" s="85"/>
    </row>
    <row r="250" spans="7:8" x14ac:dyDescent="0.25">
      <c r="G250" s="85"/>
      <c r="H250" s="85"/>
    </row>
    <row r="251" spans="7:8" x14ac:dyDescent="0.25">
      <c r="G251" s="85"/>
      <c r="H251" s="85"/>
    </row>
    <row r="252" spans="7:8" x14ac:dyDescent="0.25">
      <c r="G252" s="85"/>
      <c r="H252" s="85"/>
    </row>
    <row r="253" spans="7:8" x14ac:dyDescent="0.25">
      <c r="G253" s="85"/>
      <c r="H253" s="85"/>
    </row>
    <row r="254" spans="7:8" x14ac:dyDescent="0.25">
      <c r="G254" s="85"/>
      <c r="H254" s="85"/>
    </row>
    <row r="255" spans="7:8" x14ac:dyDescent="0.25">
      <c r="G255" s="85"/>
      <c r="H255" s="85"/>
    </row>
    <row r="256" spans="7:8" x14ac:dyDescent="0.25">
      <c r="G256" s="85"/>
      <c r="H256" s="85"/>
    </row>
    <row r="257" spans="7:8" x14ac:dyDescent="0.25">
      <c r="G257" s="85"/>
      <c r="H257" s="85"/>
    </row>
    <row r="258" spans="7:8" x14ac:dyDescent="0.25">
      <c r="G258" s="85"/>
      <c r="H258" s="85"/>
    </row>
    <row r="259" spans="7:8" x14ac:dyDescent="0.25">
      <c r="G259" s="85"/>
      <c r="H259" s="85"/>
    </row>
    <row r="260" spans="7:8" x14ac:dyDescent="0.25">
      <c r="G260" s="85"/>
      <c r="H260" s="85"/>
    </row>
    <row r="261" spans="7:8" x14ac:dyDescent="0.25">
      <c r="G261" s="85"/>
      <c r="H261" s="85"/>
    </row>
    <row r="262" spans="7:8" x14ac:dyDescent="0.25">
      <c r="G262" s="85"/>
      <c r="H262" s="85"/>
    </row>
    <row r="263" spans="7:8" x14ac:dyDescent="0.25">
      <c r="G263" s="85"/>
      <c r="H263" s="85"/>
    </row>
    <row r="264" spans="7:8" x14ac:dyDescent="0.25">
      <c r="G264" s="85"/>
      <c r="H264" s="85"/>
    </row>
    <row r="265" spans="7:8" x14ac:dyDescent="0.25">
      <c r="G265" s="85"/>
      <c r="H265" s="85"/>
    </row>
    <row r="266" spans="7:8" x14ac:dyDescent="0.25">
      <c r="G266" s="85"/>
      <c r="H266" s="85"/>
    </row>
    <row r="267" spans="7:8" x14ac:dyDescent="0.25">
      <c r="G267" s="85"/>
      <c r="H267" s="85"/>
    </row>
    <row r="268" spans="7:8" x14ac:dyDescent="0.25">
      <c r="G268" s="85"/>
      <c r="H268" s="85"/>
    </row>
    <row r="269" spans="7:8" x14ac:dyDescent="0.25">
      <c r="G269" s="85"/>
      <c r="H269" s="85"/>
    </row>
    <row r="270" spans="7:8" x14ac:dyDescent="0.25">
      <c r="G270" s="85"/>
      <c r="H270" s="85"/>
    </row>
    <row r="271" spans="7:8" x14ac:dyDescent="0.25">
      <c r="G271" s="85"/>
      <c r="H271" s="85"/>
    </row>
    <row r="272" spans="7:8" x14ac:dyDescent="0.25">
      <c r="G272" s="85"/>
      <c r="H272" s="85"/>
    </row>
    <row r="273" spans="7:8" x14ac:dyDescent="0.25">
      <c r="G273" s="85"/>
      <c r="H273" s="85"/>
    </row>
    <row r="274" spans="7:8" x14ac:dyDescent="0.25">
      <c r="G274" s="85"/>
      <c r="H274" s="85"/>
    </row>
    <row r="275" spans="7:8" x14ac:dyDescent="0.25">
      <c r="G275" s="85"/>
      <c r="H275" s="85"/>
    </row>
    <row r="276" spans="7:8" x14ac:dyDescent="0.25">
      <c r="G276" s="85"/>
      <c r="H276" s="85"/>
    </row>
    <row r="277" spans="7:8" x14ac:dyDescent="0.25">
      <c r="G277" s="85"/>
      <c r="H277" s="85"/>
    </row>
    <row r="278" spans="7:8" x14ac:dyDescent="0.25">
      <c r="G278" s="85"/>
      <c r="H278" s="85"/>
    </row>
    <row r="279" spans="7:8" x14ac:dyDescent="0.25">
      <c r="G279" s="85"/>
      <c r="H279" s="85"/>
    </row>
    <row r="280" spans="7:8" x14ac:dyDescent="0.25">
      <c r="G280" s="85"/>
      <c r="H280" s="85"/>
    </row>
    <row r="281" spans="7:8" x14ac:dyDescent="0.25">
      <c r="G281" s="85"/>
      <c r="H281" s="85"/>
    </row>
    <row r="282" spans="7:8" x14ac:dyDescent="0.25">
      <c r="G282" s="85"/>
      <c r="H282" s="85"/>
    </row>
    <row r="283" spans="7:8" x14ac:dyDescent="0.25">
      <c r="G283" s="85"/>
      <c r="H283" s="85"/>
    </row>
    <row r="284" spans="7:8" x14ac:dyDescent="0.25">
      <c r="G284" s="85"/>
      <c r="H284" s="85"/>
    </row>
    <row r="285" spans="7:8" x14ac:dyDescent="0.25">
      <c r="G285" s="85"/>
      <c r="H285" s="85"/>
    </row>
    <row r="286" spans="7:8" x14ac:dyDescent="0.25">
      <c r="G286" s="85"/>
      <c r="H286" s="85"/>
    </row>
    <row r="287" spans="7:8" x14ac:dyDescent="0.25">
      <c r="G287" s="85"/>
      <c r="H287" s="85"/>
    </row>
    <row r="288" spans="7:8" x14ac:dyDescent="0.25">
      <c r="G288" s="85"/>
      <c r="H288" s="85"/>
    </row>
    <row r="289" spans="7:8" x14ac:dyDescent="0.25">
      <c r="G289" s="85"/>
      <c r="H289" s="85"/>
    </row>
    <row r="290" spans="7:8" x14ac:dyDescent="0.25">
      <c r="G290" s="85"/>
      <c r="H290" s="85"/>
    </row>
    <row r="291" spans="7:8" x14ac:dyDescent="0.25">
      <c r="G291" s="85"/>
      <c r="H291" s="85"/>
    </row>
    <row r="292" spans="7:8" x14ac:dyDescent="0.25">
      <c r="G292" s="85"/>
      <c r="H292" s="85"/>
    </row>
    <row r="293" spans="7:8" x14ac:dyDescent="0.25">
      <c r="G293" s="85"/>
      <c r="H293" s="85"/>
    </row>
    <row r="294" spans="7:8" x14ac:dyDescent="0.25">
      <c r="G294" s="85"/>
      <c r="H294" s="85"/>
    </row>
    <row r="295" spans="7:8" x14ac:dyDescent="0.25">
      <c r="G295" s="85"/>
      <c r="H295" s="85"/>
    </row>
    <row r="296" spans="7:8" x14ac:dyDescent="0.25">
      <c r="G296" s="85"/>
      <c r="H296" s="85"/>
    </row>
    <row r="297" spans="7:8" x14ac:dyDescent="0.25">
      <c r="G297" s="85"/>
      <c r="H297" s="85"/>
    </row>
    <row r="298" spans="7:8" x14ac:dyDescent="0.25">
      <c r="G298" s="85"/>
      <c r="H298" s="85"/>
    </row>
    <row r="299" spans="7:8" x14ac:dyDescent="0.25">
      <c r="G299" s="85"/>
      <c r="H299" s="85"/>
    </row>
    <row r="300" spans="7:8" x14ac:dyDescent="0.25">
      <c r="G300" s="85"/>
      <c r="H300" s="85"/>
    </row>
    <row r="301" spans="7:8" x14ac:dyDescent="0.25">
      <c r="G301" s="85"/>
      <c r="H301" s="85"/>
    </row>
    <row r="302" spans="7:8" x14ac:dyDescent="0.25">
      <c r="G302" s="85"/>
      <c r="H302" s="85"/>
    </row>
    <row r="303" spans="7:8" x14ac:dyDescent="0.25">
      <c r="G303" s="85"/>
      <c r="H303" s="85"/>
    </row>
    <row r="304" spans="7:8" x14ac:dyDescent="0.25">
      <c r="G304" s="85"/>
      <c r="H304" s="85"/>
    </row>
    <row r="305" spans="7:8" x14ac:dyDescent="0.25">
      <c r="G305" s="85"/>
      <c r="H305" s="85"/>
    </row>
    <row r="306" spans="7:8" x14ac:dyDescent="0.25">
      <c r="G306" s="85"/>
      <c r="H306" s="85"/>
    </row>
    <row r="307" spans="7:8" x14ac:dyDescent="0.25">
      <c r="G307" s="85"/>
      <c r="H307" s="85"/>
    </row>
    <row r="308" spans="7:8" x14ac:dyDescent="0.25">
      <c r="G308" s="85"/>
      <c r="H308" s="85"/>
    </row>
    <row r="309" spans="7:8" x14ac:dyDescent="0.25">
      <c r="G309" s="85"/>
      <c r="H309" s="85"/>
    </row>
    <row r="310" spans="7:8" x14ac:dyDescent="0.25">
      <c r="G310" s="85"/>
      <c r="H310" s="85"/>
    </row>
    <row r="311" spans="7:8" x14ac:dyDescent="0.25">
      <c r="G311" s="85"/>
      <c r="H311" s="85"/>
    </row>
    <row r="312" spans="7:8" x14ac:dyDescent="0.25">
      <c r="G312" s="85"/>
      <c r="H312" s="85"/>
    </row>
    <row r="313" spans="7:8" x14ac:dyDescent="0.25">
      <c r="G313" s="85"/>
      <c r="H313" s="85"/>
    </row>
    <row r="314" spans="7:8" x14ac:dyDescent="0.25">
      <c r="G314" s="85"/>
      <c r="H314" s="85"/>
    </row>
    <row r="315" spans="7:8" x14ac:dyDescent="0.25">
      <c r="G315" s="85"/>
      <c r="H315" s="85"/>
    </row>
    <row r="316" spans="7:8" x14ac:dyDescent="0.25">
      <c r="G316" s="85"/>
      <c r="H316" s="85"/>
    </row>
    <row r="317" spans="7:8" x14ac:dyDescent="0.25">
      <c r="G317" s="85"/>
      <c r="H317" s="85"/>
    </row>
    <row r="318" spans="7:8" x14ac:dyDescent="0.25">
      <c r="G318" s="85"/>
      <c r="H318" s="85"/>
    </row>
    <row r="319" spans="7:8" x14ac:dyDescent="0.25">
      <c r="G319" s="85"/>
      <c r="H319" s="85"/>
    </row>
    <row r="320" spans="7:8" x14ac:dyDescent="0.25">
      <c r="G320" s="85"/>
      <c r="H320" s="85"/>
    </row>
    <row r="321" spans="7:8" x14ac:dyDescent="0.25">
      <c r="G321" s="85"/>
      <c r="H321" s="85"/>
    </row>
    <row r="322" spans="7:8" x14ac:dyDescent="0.25">
      <c r="G322" s="85"/>
      <c r="H322" s="85"/>
    </row>
    <row r="323" spans="7:8" x14ac:dyDescent="0.25">
      <c r="G323" s="85"/>
      <c r="H323" s="85"/>
    </row>
    <row r="324" spans="7:8" x14ac:dyDescent="0.25">
      <c r="G324" s="85"/>
      <c r="H324" s="85"/>
    </row>
    <row r="325" spans="7:8" x14ac:dyDescent="0.25">
      <c r="G325" s="85"/>
      <c r="H325" s="85"/>
    </row>
    <row r="326" spans="7:8" x14ac:dyDescent="0.25">
      <c r="G326" s="85"/>
      <c r="H326" s="85"/>
    </row>
    <row r="327" spans="7:8" x14ac:dyDescent="0.25">
      <c r="G327" s="85"/>
      <c r="H327" s="85"/>
    </row>
    <row r="328" spans="7:8" x14ac:dyDescent="0.25">
      <c r="G328" s="85"/>
      <c r="H328" s="85"/>
    </row>
    <row r="329" spans="7:8" x14ac:dyDescent="0.25">
      <c r="G329" s="85"/>
      <c r="H329" s="85"/>
    </row>
    <row r="330" spans="7:8" x14ac:dyDescent="0.25">
      <c r="G330" s="85"/>
      <c r="H330" s="85"/>
    </row>
    <row r="331" spans="7:8" x14ac:dyDescent="0.25">
      <c r="G331" s="85"/>
      <c r="H331" s="85"/>
    </row>
    <row r="332" spans="7:8" x14ac:dyDescent="0.25">
      <c r="G332" s="85"/>
      <c r="H332" s="85"/>
    </row>
    <row r="333" spans="7:8" x14ac:dyDescent="0.25">
      <c r="G333" s="85"/>
      <c r="H333" s="85"/>
    </row>
    <row r="334" spans="7:8" x14ac:dyDescent="0.25">
      <c r="G334" s="85"/>
      <c r="H334" s="85"/>
    </row>
    <row r="335" spans="7:8" x14ac:dyDescent="0.25">
      <c r="G335" s="85"/>
      <c r="H335" s="85"/>
    </row>
    <row r="336" spans="7:8" x14ac:dyDescent="0.25">
      <c r="G336" s="85"/>
      <c r="H336" s="85"/>
    </row>
    <row r="337" spans="7:8" x14ac:dyDescent="0.25">
      <c r="G337" s="85"/>
      <c r="H337" s="85"/>
    </row>
    <row r="338" spans="7:8" x14ac:dyDescent="0.25">
      <c r="G338" s="85"/>
      <c r="H338" s="85"/>
    </row>
    <row r="339" spans="7:8" x14ac:dyDescent="0.25">
      <c r="G339" s="85"/>
      <c r="H339" s="85"/>
    </row>
    <row r="340" spans="7:8" x14ac:dyDescent="0.25">
      <c r="G340" s="85"/>
      <c r="H340" s="85"/>
    </row>
    <row r="341" spans="7:8" x14ac:dyDescent="0.25">
      <c r="G341" s="85"/>
      <c r="H341" s="85"/>
    </row>
    <row r="342" spans="7:8" x14ac:dyDescent="0.25">
      <c r="G342" s="85"/>
      <c r="H342" s="85"/>
    </row>
    <row r="343" spans="7:8" x14ac:dyDescent="0.25">
      <c r="G343" s="85"/>
      <c r="H343" s="85"/>
    </row>
    <row r="344" spans="7:8" x14ac:dyDescent="0.25">
      <c r="G344" s="85"/>
      <c r="H344" s="85"/>
    </row>
    <row r="345" spans="7:8" x14ac:dyDescent="0.25">
      <c r="G345" s="85"/>
      <c r="H345" s="85"/>
    </row>
    <row r="346" spans="7:8" x14ac:dyDescent="0.25">
      <c r="G346" s="85"/>
      <c r="H346" s="85"/>
    </row>
    <row r="347" spans="7:8" x14ac:dyDescent="0.25">
      <c r="G347" s="85"/>
      <c r="H347" s="85"/>
    </row>
    <row r="348" spans="7:8" x14ac:dyDescent="0.25">
      <c r="G348" s="85"/>
      <c r="H348" s="85"/>
    </row>
    <row r="349" spans="7:8" x14ac:dyDescent="0.25">
      <c r="G349" s="85"/>
      <c r="H349" s="85"/>
    </row>
    <row r="350" spans="7:8" x14ac:dyDescent="0.25">
      <c r="G350" s="85"/>
      <c r="H350" s="85"/>
    </row>
    <row r="351" spans="7:8" x14ac:dyDescent="0.25">
      <c r="G351" s="85"/>
      <c r="H351" s="85"/>
    </row>
    <row r="352" spans="7:8" x14ac:dyDescent="0.25">
      <c r="G352" s="85"/>
      <c r="H352" s="85"/>
    </row>
    <row r="353" spans="7:8" x14ac:dyDescent="0.25">
      <c r="G353" s="85"/>
      <c r="H353" s="85"/>
    </row>
    <row r="354" spans="7:8" x14ac:dyDescent="0.25">
      <c r="G354" s="85"/>
      <c r="H354" s="85"/>
    </row>
    <row r="355" spans="7:8" x14ac:dyDescent="0.25">
      <c r="G355" s="85"/>
      <c r="H355" s="85"/>
    </row>
    <row r="356" spans="7:8" x14ac:dyDescent="0.25">
      <c r="G356" s="85"/>
      <c r="H356" s="85"/>
    </row>
    <row r="357" spans="7:8" x14ac:dyDescent="0.25">
      <c r="G357" s="85"/>
      <c r="H357" s="85"/>
    </row>
    <row r="358" spans="7:8" x14ac:dyDescent="0.25">
      <c r="G358" s="85"/>
      <c r="H358" s="85"/>
    </row>
    <row r="359" spans="7:8" x14ac:dyDescent="0.25">
      <c r="G359" s="85"/>
      <c r="H359" s="85"/>
    </row>
    <row r="360" spans="7:8" x14ac:dyDescent="0.25">
      <c r="G360" s="85"/>
      <c r="H360" s="85"/>
    </row>
    <row r="361" spans="7:8" x14ac:dyDescent="0.25">
      <c r="G361" s="85"/>
      <c r="H361" s="85"/>
    </row>
    <row r="362" spans="7:8" x14ac:dyDescent="0.25">
      <c r="G362" s="85"/>
      <c r="H362" s="85"/>
    </row>
    <row r="363" spans="7:8" x14ac:dyDescent="0.25">
      <c r="G363" s="85"/>
      <c r="H363" s="85"/>
    </row>
    <row r="364" spans="7:8" x14ac:dyDescent="0.25">
      <c r="G364" s="85"/>
      <c r="H364" s="85"/>
    </row>
    <row r="365" spans="7:8" x14ac:dyDescent="0.25">
      <c r="G365" s="85"/>
      <c r="H365" s="85"/>
    </row>
    <row r="366" spans="7:8" x14ac:dyDescent="0.25">
      <c r="G366" s="85"/>
      <c r="H366" s="85"/>
    </row>
    <row r="367" spans="7:8" x14ac:dyDescent="0.25">
      <c r="G367" s="85"/>
      <c r="H367" s="85"/>
    </row>
    <row r="368" spans="7:8" x14ac:dyDescent="0.25">
      <c r="G368" s="85"/>
      <c r="H368" s="85"/>
    </row>
    <row r="369" spans="7:8" x14ac:dyDescent="0.25">
      <c r="G369" s="85"/>
      <c r="H369" s="85"/>
    </row>
    <row r="370" spans="7:8" x14ac:dyDescent="0.25">
      <c r="G370" s="85"/>
      <c r="H370" s="85"/>
    </row>
    <row r="371" spans="7:8" x14ac:dyDescent="0.25">
      <c r="G371" s="85"/>
      <c r="H371" s="85"/>
    </row>
    <row r="372" spans="7:8" x14ac:dyDescent="0.25">
      <c r="G372" s="85"/>
      <c r="H372" s="85"/>
    </row>
    <row r="373" spans="7:8" x14ac:dyDescent="0.25">
      <c r="G373" s="85"/>
      <c r="H373" s="85"/>
    </row>
    <row r="374" spans="7:8" x14ac:dyDescent="0.25">
      <c r="G374" s="85"/>
      <c r="H374" s="85"/>
    </row>
    <row r="375" spans="7:8" x14ac:dyDescent="0.25">
      <c r="G375" s="85"/>
      <c r="H375" s="85"/>
    </row>
    <row r="376" spans="7:8" x14ac:dyDescent="0.25">
      <c r="G376" s="85"/>
      <c r="H376" s="85"/>
    </row>
    <row r="377" spans="7:8" x14ac:dyDescent="0.25">
      <c r="G377" s="85"/>
      <c r="H377" s="85"/>
    </row>
    <row r="378" spans="7:8" x14ac:dyDescent="0.25">
      <c r="G378" s="85"/>
      <c r="H378" s="85"/>
    </row>
    <row r="379" spans="7:8" x14ac:dyDescent="0.25">
      <c r="G379" s="85"/>
      <c r="H379" s="85"/>
    </row>
    <row r="380" spans="7:8" x14ac:dyDescent="0.25">
      <c r="G380" s="85"/>
      <c r="H380" s="85"/>
    </row>
    <row r="381" spans="7:8" x14ac:dyDescent="0.25">
      <c r="G381" s="85"/>
      <c r="H381" s="85"/>
    </row>
    <row r="382" spans="7:8" x14ac:dyDescent="0.25">
      <c r="G382" s="85"/>
      <c r="H382" s="85"/>
    </row>
    <row r="383" spans="7:8" x14ac:dyDescent="0.25">
      <c r="G383" s="85"/>
      <c r="H383" s="85"/>
    </row>
    <row r="384" spans="7:8" x14ac:dyDescent="0.25">
      <c r="G384" s="85"/>
      <c r="H384" s="85"/>
    </row>
    <row r="385" spans="7:8" x14ac:dyDescent="0.25">
      <c r="G385" s="85"/>
      <c r="H385" s="85"/>
    </row>
    <row r="386" spans="7:8" x14ac:dyDescent="0.25">
      <c r="G386" s="85"/>
      <c r="H386" s="85"/>
    </row>
    <row r="387" spans="7:8" x14ac:dyDescent="0.25">
      <c r="G387" s="85"/>
      <c r="H387" s="85"/>
    </row>
    <row r="388" spans="7:8" x14ac:dyDescent="0.25">
      <c r="G388" s="85"/>
      <c r="H388" s="85"/>
    </row>
    <row r="389" spans="7:8" x14ac:dyDescent="0.25">
      <c r="G389" s="85"/>
      <c r="H389" s="85"/>
    </row>
    <row r="390" spans="7:8" x14ac:dyDescent="0.25">
      <c r="G390" s="85"/>
      <c r="H390" s="85"/>
    </row>
    <row r="391" spans="7:8" x14ac:dyDescent="0.25">
      <c r="G391" s="85"/>
      <c r="H391" s="85"/>
    </row>
    <row r="392" spans="7:8" x14ac:dyDescent="0.25">
      <c r="G392" s="85"/>
      <c r="H392" s="85"/>
    </row>
    <row r="393" spans="7:8" x14ac:dyDescent="0.25">
      <c r="G393" s="85"/>
      <c r="H393" s="85"/>
    </row>
    <row r="394" spans="7:8" x14ac:dyDescent="0.25">
      <c r="G394" s="85"/>
      <c r="H394" s="85"/>
    </row>
    <row r="395" spans="7:8" x14ac:dyDescent="0.25">
      <c r="G395" s="85"/>
      <c r="H395" s="85"/>
    </row>
    <row r="396" spans="7:8" x14ac:dyDescent="0.25">
      <c r="G396" s="85"/>
      <c r="H396" s="85"/>
    </row>
    <row r="397" spans="7:8" x14ac:dyDescent="0.25">
      <c r="G397" s="85"/>
      <c r="H397" s="85"/>
    </row>
    <row r="398" spans="7:8" x14ac:dyDescent="0.25">
      <c r="G398" s="85"/>
      <c r="H398" s="85"/>
    </row>
    <row r="399" spans="7:8" x14ac:dyDescent="0.25">
      <c r="G399" s="85"/>
      <c r="H399" s="85"/>
    </row>
    <row r="400" spans="7:8" x14ac:dyDescent="0.25">
      <c r="G400" s="85"/>
      <c r="H400" s="85"/>
    </row>
    <row r="401" spans="7:8" x14ac:dyDescent="0.25">
      <c r="G401" s="85"/>
      <c r="H401" s="85"/>
    </row>
    <row r="402" spans="7:8" x14ac:dyDescent="0.25">
      <c r="G402" s="85"/>
      <c r="H402" s="85"/>
    </row>
    <row r="403" spans="7:8" x14ac:dyDescent="0.25">
      <c r="G403" s="85"/>
      <c r="H403" s="85"/>
    </row>
    <row r="404" spans="7:8" x14ac:dyDescent="0.25">
      <c r="G404" s="85"/>
      <c r="H404" s="85"/>
    </row>
    <row r="405" spans="7:8" x14ac:dyDescent="0.25">
      <c r="G405" s="85"/>
      <c r="H405" s="85"/>
    </row>
    <row r="406" spans="7:8" x14ac:dyDescent="0.25">
      <c r="G406" s="85"/>
      <c r="H406" s="85"/>
    </row>
    <row r="407" spans="7:8" x14ac:dyDescent="0.25">
      <c r="G407" s="85"/>
      <c r="H407" s="85"/>
    </row>
    <row r="408" spans="7:8" x14ac:dyDescent="0.25">
      <c r="G408" s="85"/>
      <c r="H408" s="85"/>
    </row>
    <row r="409" spans="7:8" x14ac:dyDescent="0.25">
      <c r="G409" s="85"/>
      <c r="H409" s="85"/>
    </row>
    <row r="410" spans="7:8" x14ac:dyDescent="0.25">
      <c r="G410" s="85"/>
      <c r="H410" s="85"/>
    </row>
    <row r="411" spans="7:8" x14ac:dyDescent="0.25">
      <c r="G411" s="85"/>
      <c r="H411" s="85"/>
    </row>
    <row r="412" spans="7:8" x14ac:dyDescent="0.25">
      <c r="G412" s="85"/>
      <c r="H412" s="85"/>
    </row>
    <row r="413" spans="7:8" x14ac:dyDescent="0.25">
      <c r="G413" s="85"/>
      <c r="H413" s="85"/>
    </row>
    <row r="414" spans="7:8" x14ac:dyDescent="0.25">
      <c r="G414" s="85"/>
      <c r="H414" s="85"/>
    </row>
    <row r="415" spans="7:8" x14ac:dyDescent="0.25">
      <c r="G415" s="85"/>
      <c r="H415" s="85"/>
    </row>
    <row r="416" spans="7:8" x14ac:dyDescent="0.25">
      <c r="G416" s="85"/>
      <c r="H416" s="85"/>
    </row>
    <row r="417" spans="7:8" x14ac:dyDescent="0.25">
      <c r="G417" s="85"/>
      <c r="H417" s="85"/>
    </row>
    <row r="418" spans="7:8" x14ac:dyDescent="0.25">
      <c r="G418" s="85"/>
      <c r="H418" s="85"/>
    </row>
    <row r="419" spans="7:8" x14ac:dyDescent="0.25">
      <c r="G419" s="85"/>
      <c r="H419" s="85"/>
    </row>
    <row r="420" spans="7:8" x14ac:dyDescent="0.25">
      <c r="G420" s="85"/>
      <c r="H420" s="85"/>
    </row>
    <row r="421" spans="7:8" x14ac:dyDescent="0.25">
      <c r="G421" s="85"/>
      <c r="H421" s="85"/>
    </row>
    <row r="422" spans="7:8" x14ac:dyDescent="0.25">
      <c r="G422" s="85"/>
      <c r="H422" s="85"/>
    </row>
    <row r="423" spans="7:8" x14ac:dyDescent="0.25">
      <c r="G423" s="85"/>
      <c r="H423" s="85"/>
    </row>
    <row r="424" spans="7:8" x14ac:dyDescent="0.25">
      <c r="G424" s="85"/>
      <c r="H424" s="85"/>
    </row>
    <row r="425" spans="7:8" x14ac:dyDescent="0.25">
      <c r="G425" s="85"/>
      <c r="H425" s="85"/>
    </row>
    <row r="426" spans="7:8" x14ac:dyDescent="0.25">
      <c r="G426" s="85"/>
      <c r="H426" s="85"/>
    </row>
    <row r="427" spans="7:8" x14ac:dyDescent="0.25">
      <c r="G427" s="85"/>
      <c r="H427" s="85"/>
    </row>
    <row r="428" spans="7:8" x14ac:dyDescent="0.25">
      <c r="G428" s="85"/>
      <c r="H428" s="85"/>
    </row>
    <row r="429" spans="7:8" x14ac:dyDescent="0.25">
      <c r="G429" s="85"/>
      <c r="H429" s="85"/>
    </row>
    <row r="430" spans="7:8" x14ac:dyDescent="0.25">
      <c r="G430" s="85"/>
      <c r="H430" s="85"/>
    </row>
    <row r="431" spans="7:8" x14ac:dyDescent="0.25">
      <c r="G431" s="85"/>
      <c r="H431" s="85"/>
    </row>
    <row r="432" spans="7:8" x14ac:dyDescent="0.25">
      <c r="G432" s="85"/>
      <c r="H432" s="85"/>
    </row>
    <row r="433" spans="7:8" x14ac:dyDescent="0.25">
      <c r="G433" s="85"/>
      <c r="H433" s="85"/>
    </row>
    <row r="434" spans="7:8" x14ac:dyDescent="0.25">
      <c r="G434" s="85"/>
      <c r="H434" s="85"/>
    </row>
    <row r="435" spans="7:8" x14ac:dyDescent="0.25">
      <c r="G435" s="85"/>
      <c r="H435" s="85"/>
    </row>
    <row r="436" spans="7:8" x14ac:dyDescent="0.25">
      <c r="G436" s="85"/>
      <c r="H436" s="85"/>
    </row>
    <row r="437" spans="7:8" x14ac:dyDescent="0.25">
      <c r="G437" s="85"/>
      <c r="H437" s="85"/>
    </row>
    <row r="438" spans="7:8" x14ac:dyDescent="0.25">
      <c r="G438" s="85"/>
      <c r="H438" s="85"/>
    </row>
    <row r="439" spans="7:8" x14ac:dyDescent="0.25">
      <c r="G439" s="85"/>
      <c r="H439" s="85"/>
    </row>
    <row r="440" spans="7:8" x14ac:dyDescent="0.25">
      <c r="G440" s="85"/>
      <c r="H440" s="85"/>
    </row>
    <row r="441" spans="7:8" x14ac:dyDescent="0.25">
      <c r="G441" s="85"/>
      <c r="H441" s="85"/>
    </row>
    <row r="442" spans="7:8" x14ac:dyDescent="0.25">
      <c r="G442" s="85"/>
      <c r="H442" s="85"/>
    </row>
    <row r="443" spans="7:8" x14ac:dyDescent="0.25">
      <c r="G443" s="85"/>
      <c r="H443" s="85"/>
    </row>
    <row r="444" spans="7:8" x14ac:dyDescent="0.25">
      <c r="G444" s="85"/>
      <c r="H444" s="85"/>
    </row>
    <row r="445" spans="7:8" x14ac:dyDescent="0.25">
      <c r="G445" s="85"/>
      <c r="H445" s="85"/>
    </row>
    <row r="446" spans="7:8" x14ac:dyDescent="0.25">
      <c r="G446" s="85"/>
      <c r="H446" s="85"/>
    </row>
    <row r="447" spans="7:8" x14ac:dyDescent="0.25">
      <c r="G447" s="85"/>
      <c r="H447" s="85"/>
    </row>
    <row r="448" spans="7:8" x14ac:dyDescent="0.25">
      <c r="G448" s="85"/>
      <c r="H448" s="85"/>
    </row>
    <row r="449" spans="7:8" x14ac:dyDescent="0.25">
      <c r="G449" s="85"/>
      <c r="H449" s="85"/>
    </row>
    <row r="450" spans="7:8" x14ac:dyDescent="0.25">
      <c r="G450" s="85"/>
      <c r="H450" s="85"/>
    </row>
    <row r="451" spans="7:8" x14ac:dyDescent="0.25">
      <c r="G451" s="85"/>
      <c r="H451" s="85"/>
    </row>
    <row r="452" spans="7:8" x14ac:dyDescent="0.25">
      <c r="G452" s="85"/>
      <c r="H452" s="85"/>
    </row>
    <row r="453" spans="7:8" x14ac:dyDescent="0.25">
      <c r="G453" s="85"/>
      <c r="H453" s="85"/>
    </row>
    <row r="454" spans="7:8" x14ac:dyDescent="0.25">
      <c r="G454" s="85"/>
      <c r="H454" s="85"/>
    </row>
    <row r="455" spans="7:8" x14ac:dyDescent="0.25">
      <c r="G455" s="85"/>
      <c r="H455" s="85"/>
    </row>
    <row r="456" spans="7:8" x14ac:dyDescent="0.25">
      <c r="G456" s="85"/>
      <c r="H456" s="85"/>
    </row>
    <row r="457" spans="7:8" x14ac:dyDescent="0.25">
      <c r="G457" s="85"/>
      <c r="H457" s="85"/>
    </row>
    <row r="458" spans="7:8" x14ac:dyDescent="0.25">
      <c r="G458" s="85"/>
      <c r="H458" s="85"/>
    </row>
    <row r="459" spans="7:8" x14ac:dyDescent="0.25">
      <c r="G459" s="85"/>
      <c r="H459" s="85"/>
    </row>
    <row r="460" spans="7:8" x14ac:dyDescent="0.25">
      <c r="G460" s="85"/>
      <c r="H460" s="85"/>
    </row>
    <row r="461" spans="7:8" x14ac:dyDescent="0.25">
      <c r="G461" s="85"/>
      <c r="H461" s="85"/>
    </row>
    <row r="462" spans="7:8" x14ac:dyDescent="0.25">
      <c r="G462" s="85"/>
      <c r="H462" s="85"/>
    </row>
    <row r="463" spans="7:8" x14ac:dyDescent="0.25">
      <c r="G463" s="85"/>
      <c r="H463" s="85"/>
    </row>
    <row r="464" spans="7:8" x14ac:dyDescent="0.25">
      <c r="G464" s="85"/>
      <c r="H464" s="85"/>
    </row>
    <row r="465" spans="7:8" x14ac:dyDescent="0.25">
      <c r="G465" s="85"/>
      <c r="H465" s="85"/>
    </row>
    <row r="466" spans="7:8" x14ac:dyDescent="0.25">
      <c r="G466" s="85"/>
      <c r="H466" s="85"/>
    </row>
    <row r="467" spans="7:8" x14ac:dyDescent="0.25">
      <c r="G467" s="85"/>
      <c r="H467" s="85"/>
    </row>
    <row r="468" spans="7:8" x14ac:dyDescent="0.25">
      <c r="G468" s="85"/>
      <c r="H468" s="85"/>
    </row>
    <row r="469" spans="7:8" x14ac:dyDescent="0.25">
      <c r="G469" s="85"/>
      <c r="H469" s="85"/>
    </row>
    <row r="470" spans="7:8" x14ac:dyDescent="0.25">
      <c r="G470" s="85"/>
      <c r="H470" s="85"/>
    </row>
    <row r="471" spans="7:8" x14ac:dyDescent="0.25">
      <c r="G471" s="85"/>
      <c r="H471" s="85"/>
    </row>
    <row r="472" spans="7:8" x14ac:dyDescent="0.25">
      <c r="G472" s="85"/>
      <c r="H472" s="85"/>
    </row>
    <row r="473" spans="7:8" x14ac:dyDescent="0.25">
      <c r="G473" s="85"/>
      <c r="H473" s="85"/>
    </row>
    <row r="474" spans="7:8" x14ac:dyDescent="0.25">
      <c r="G474" s="85"/>
      <c r="H474" s="85"/>
    </row>
    <row r="475" spans="7:8" x14ac:dyDescent="0.25">
      <c r="G475" s="85"/>
      <c r="H475" s="85"/>
    </row>
    <row r="476" spans="7:8" x14ac:dyDescent="0.25">
      <c r="G476" s="85"/>
      <c r="H476" s="85"/>
    </row>
    <row r="477" spans="7:8" x14ac:dyDescent="0.25">
      <c r="G477" s="85"/>
      <c r="H477" s="85"/>
    </row>
    <row r="478" spans="7:8" x14ac:dyDescent="0.25">
      <c r="G478" s="85"/>
      <c r="H478" s="85"/>
    </row>
    <row r="479" spans="7:8" x14ac:dyDescent="0.25">
      <c r="G479" s="85"/>
      <c r="H479" s="85"/>
    </row>
    <row r="480" spans="7:8" x14ac:dyDescent="0.25">
      <c r="G480" s="85"/>
      <c r="H480" s="85"/>
    </row>
    <row r="481" spans="7:8" x14ac:dyDescent="0.25">
      <c r="G481" s="85"/>
      <c r="H481" s="85"/>
    </row>
    <row r="482" spans="7:8" x14ac:dyDescent="0.25">
      <c r="G482" s="85"/>
      <c r="H482" s="85"/>
    </row>
    <row r="483" spans="7:8" x14ac:dyDescent="0.25">
      <c r="G483" s="85"/>
      <c r="H483" s="85"/>
    </row>
    <row r="484" spans="7:8" x14ac:dyDescent="0.25">
      <c r="G484" s="85"/>
      <c r="H484" s="85"/>
    </row>
    <row r="485" spans="7:8" x14ac:dyDescent="0.25">
      <c r="G485" s="85"/>
      <c r="H485" s="85"/>
    </row>
    <row r="486" spans="7:8" x14ac:dyDescent="0.25">
      <c r="G486" s="85"/>
      <c r="H486" s="85"/>
    </row>
    <row r="487" spans="7:8" x14ac:dyDescent="0.25">
      <c r="G487" s="85"/>
      <c r="H487" s="85"/>
    </row>
    <row r="488" spans="7:8" x14ac:dyDescent="0.25">
      <c r="G488" s="85"/>
      <c r="H488" s="85"/>
    </row>
    <row r="489" spans="7:8" x14ac:dyDescent="0.25">
      <c r="G489" s="85"/>
      <c r="H489" s="85"/>
    </row>
    <row r="490" spans="7:8" x14ac:dyDescent="0.25">
      <c r="G490" s="85"/>
      <c r="H490" s="85"/>
    </row>
    <row r="491" spans="7:8" x14ac:dyDescent="0.25">
      <c r="G491" s="85"/>
      <c r="H491" s="85"/>
    </row>
    <row r="492" spans="7:8" x14ac:dyDescent="0.25">
      <c r="G492" s="85"/>
      <c r="H492" s="85"/>
    </row>
    <row r="493" spans="7:8" x14ac:dyDescent="0.25">
      <c r="G493" s="85"/>
      <c r="H493" s="85"/>
    </row>
    <row r="494" spans="7:8" x14ac:dyDescent="0.25">
      <c r="G494" s="85"/>
      <c r="H494" s="85"/>
    </row>
    <row r="495" spans="7:8" x14ac:dyDescent="0.25">
      <c r="G495" s="85"/>
      <c r="H495" s="85"/>
    </row>
    <row r="496" spans="7:8" x14ac:dyDescent="0.25">
      <c r="G496" s="85"/>
      <c r="H496" s="85"/>
    </row>
    <row r="497" spans="7:8" x14ac:dyDescent="0.25">
      <c r="G497" s="85"/>
      <c r="H497" s="85"/>
    </row>
    <row r="498" spans="7:8" x14ac:dyDescent="0.25">
      <c r="G498" s="85"/>
      <c r="H498" s="85"/>
    </row>
    <row r="499" spans="7:8" x14ac:dyDescent="0.25">
      <c r="G499" s="85"/>
      <c r="H499" s="85"/>
    </row>
    <row r="500" spans="7:8" x14ac:dyDescent="0.25">
      <c r="G500" s="85"/>
      <c r="H500" s="85"/>
    </row>
    <row r="501" spans="7:8" x14ac:dyDescent="0.25">
      <c r="G501" s="85"/>
      <c r="H501" s="85"/>
    </row>
    <row r="502" spans="7:8" x14ac:dyDescent="0.25">
      <c r="G502" s="85"/>
      <c r="H502" s="85"/>
    </row>
    <row r="503" spans="7:8" x14ac:dyDescent="0.25">
      <c r="G503" s="85"/>
      <c r="H503" s="85"/>
    </row>
    <row r="504" spans="7:8" x14ac:dyDescent="0.25">
      <c r="G504" s="85"/>
      <c r="H504" s="85"/>
    </row>
    <row r="505" spans="7:8" x14ac:dyDescent="0.25">
      <c r="G505" s="85"/>
      <c r="H505" s="85"/>
    </row>
    <row r="506" spans="7:8" x14ac:dyDescent="0.25">
      <c r="G506" s="85"/>
      <c r="H506" s="85"/>
    </row>
    <row r="507" spans="7:8" x14ac:dyDescent="0.25">
      <c r="G507" s="85"/>
      <c r="H507" s="85"/>
    </row>
    <row r="508" spans="7:8" x14ac:dyDescent="0.25">
      <c r="G508" s="85"/>
      <c r="H508" s="85"/>
    </row>
    <row r="509" spans="7:8" x14ac:dyDescent="0.25">
      <c r="G509" s="85"/>
      <c r="H509" s="85"/>
    </row>
    <row r="510" spans="7:8" x14ac:dyDescent="0.25">
      <c r="G510" s="85"/>
      <c r="H510" s="85"/>
    </row>
    <row r="511" spans="7:8" x14ac:dyDescent="0.25">
      <c r="G511" s="85"/>
      <c r="H511" s="85"/>
    </row>
    <row r="512" spans="7:8" x14ac:dyDescent="0.25">
      <c r="G512" s="85"/>
      <c r="H512" s="85"/>
    </row>
    <row r="513" spans="7:8" x14ac:dyDescent="0.25">
      <c r="G513" s="85"/>
      <c r="H513" s="85"/>
    </row>
    <row r="514" spans="7:8" x14ac:dyDescent="0.25">
      <c r="G514" s="85"/>
      <c r="H514" s="85"/>
    </row>
    <row r="515" spans="7:8" x14ac:dyDescent="0.25">
      <c r="G515" s="85"/>
      <c r="H515" s="85"/>
    </row>
    <row r="516" spans="7:8" x14ac:dyDescent="0.25">
      <c r="G516" s="85"/>
      <c r="H516" s="85"/>
    </row>
    <row r="517" spans="7:8" x14ac:dyDescent="0.25">
      <c r="G517" s="85"/>
      <c r="H517" s="85"/>
    </row>
    <row r="518" spans="7:8" x14ac:dyDescent="0.25">
      <c r="G518" s="85"/>
      <c r="H518" s="85"/>
    </row>
    <row r="519" spans="7:8" x14ac:dyDescent="0.25">
      <c r="G519" s="85"/>
      <c r="H519" s="85"/>
    </row>
    <row r="520" spans="7:8" x14ac:dyDescent="0.25">
      <c r="G520" s="85"/>
      <c r="H520" s="85"/>
    </row>
    <row r="521" spans="7:8" x14ac:dyDescent="0.25">
      <c r="G521" s="85"/>
      <c r="H521" s="85"/>
    </row>
    <row r="522" spans="7:8" x14ac:dyDescent="0.25">
      <c r="G522" s="85"/>
      <c r="H522" s="85"/>
    </row>
    <row r="523" spans="7:8" x14ac:dyDescent="0.25">
      <c r="G523" s="85"/>
      <c r="H523" s="85"/>
    </row>
    <row r="524" spans="7:8" x14ac:dyDescent="0.25">
      <c r="G524" s="85"/>
      <c r="H524" s="85"/>
    </row>
    <row r="525" spans="7:8" x14ac:dyDescent="0.25">
      <c r="G525" s="85"/>
      <c r="H525" s="85"/>
    </row>
    <row r="526" spans="7:8" x14ac:dyDescent="0.25">
      <c r="G526" s="85"/>
      <c r="H526" s="85"/>
    </row>
    <row r="527" spans="7:8" x14ac:dyDescent="0.25">
      <c r="G527" s="85"/>
      <c r="H527" s="85"/>
    </row>
    <row r="528" spans="7:8" x14ac:dyDescent="0.25">
      <c r="G528" s="85"/>
      <c r="H528" s="85"/>
    </row>
    <row r="529" spans="7:8" x14ac:dyDescent="0.25">
      <c r="G529" s="85"/>
      <c r="H529" s="85"/>
    </row>
    <row r="530" spans="7:8" x14ac:dyDescent="0.25">
      <c r="G530" s="85"/>
      <c r="H530" s="85"/>
    </row>
    <row r="531" spans="7:8" x14ac:dyDescent="0.25">
      <c r="G531" s="85"/>
      <c r="H531" s="85"/>
    </row>
    <row r="532" spans="7:8" x14ac:dyDescent="0.25">
      <c r="G532" s="85"/>
      <c r="H532" s="85"/>
    </row>
    <row r="533" spans="7:8" x14ac:dyDescent="0.25">
      <c r="G533" s="85"/>
      <c r="H533" s="85"/>
    </row>
    <row r="534" spans="7:8" x14ac:dyDescent="0.25">
      <c r="G534" s="85"/>
      <c r="H534" s="85"/>
    </row>
    <row r="535" spans="7:8" x14ac:dyDescent="0.25">
      <c r="G535" s="85"/>
      <c r="H535" s="85"/>
    </row>
    <row r="536" spans="7:8" x14ac:dyDescent="0.25">
      <c r="G536" s="85"/>
      <c r="H536" s="85"/>
    </row>
    <row r="537" spans="7:8" x14ac:dyDescent="0.25">
      <c r="G537" s="85"/>
      <c r="H537" s="85"/>
    </row>
    <row r="538" spans="7:8" x14ac:dyDescent="0.25">
      <c r="G538" s="85"/>
      <c r="H538" s="85"/>
    </row>
    <row r="539" spans="7:8" x14ac:dyDescent="0.25">
      <c r="G539" s="85"/>
      <c r="H539" s="85"/>
    </row>
    <row r="540" spans="7:8" x14ac:dyDescent="0.25">
      <c r="G540" s="85"/>
      <c r="H540" s="85"/>
    </row>
    <row r="541" spans="7:8" x14ac:dyDescent="0.25">
      <c r="G541" s="85"/>
      <c r="H541" s="85"/>
    </row>
    <row r="542" spans="7:8" x14ac:dyDescent="0.25">
      <c r="G542" s="85"/>
      <c r="H542" s="85"/>
    </row>
    <row r="543" spans="7:8" x14ac:dyDescent="0.25">
      <c r="G543" s="85"/>
      <c r="H543" s="85"/>
    </row>
    <row r="544" spans="7:8" x14ac:dyDescent="0.25">
      <c r="G544" s="85"/>
      <c r="H544" s="85"/>
    </row>
    <row r="545" spans="7:8" x14ac:dyDescent="0.25">
      <c r="G545" s="85"/>
      <c r="H545" s="85"/>
    </row>
    <row r="546" spans="7:8" x14ac:dyDescent="0.25">
      <c r="G546" s="85"/>
      <c r="H546" s="85"/>
    </row>
    <row r="547" spans="7:8" x14ac:dyDescent="0.25">
      <c r="G547" s="85"/>
      <c r="H547" s="85"/>
    </row>
    <row r="548" spans="7:8" x14ac:dyDescent="0.25">
      <c r="G548" s="85"/>
      <c r="H548" s="85"/>
    </row>
    <row r="549" spans="7:8" x14ac:dyDescent="0.25">
      <c r="G549" s="85"/>
      <c r="H549" s="85"/>
    </row>
    <row r="550" spans="7:8" x14ac:dyDescent="0.25">
      <c r="G550" s="85"/>
      <c r="H550" s="85"/>
    </row>
    <row r="551" spans="7:8" x14ac:dyDescent="0.25">
      <c r="G551" s="85"/>
      <c r="H551" s="85"/>
    </row>
    <row r="552" spans="7:8" x14ac:dyDescent="0.25">
      <c r="G552" s="85"/>
      <c r="H552" s="85"/>
    </row>
    <row r="553" spans="7:8" x14ac:dyDescent="0.25">
      <c r="G553" s="85"/>
      <c r="H553" s="85"/>
    </row>
    <row r="554" spans="7:8" x14ac:dyDescent="0.25">
      <c r="G554" s="85"/>
      <c r="H554" s="85"/>
    </row>
    <row r="555" spans="7:8" x14ac:dyDescent="0.25">
      <c r="G555" s="85"/>
      <c r="H555" s="85"/>
    </row>
    <row r="556" spans="7:8" x14ac:dyDescent="0.25">
      <c r="G556" s="85"/>
      <c r="H556" s="85"/>
    </row>
    <row r="557" spans="7:8" x14ac:dyDescent="0.25">
      <c r="G557" s="85"/>
      <c r="H557" s="85"/>
    </row>
    <row r="558" spans="7:8" x14ac:dyDescent="0.25">
      <c r="G558" s="85"/>
      <c r="H558" s="85"/>
    </row>
    <row r="559" spans="7:8" x14ac:dyDescent="0.25">
      <c r="G559" s="85"/>
      <c r="H559" s="85"/>
    </row>
    <row r="560" spans="7:8" x14ac:dyDescent="0.25">
      <c r="G560" s="85"/>
      <c r="H560" s="85"/>
    </row>
    <row r="561" spans="7:8" x14ac:dyDescent="0.25">
      <c r="G561" s="85"/>
      <c r="H561" s="85"/>
    </row>
    <row r="562" spans="7:8" x14ac:dyDescent="0.25">
      <c r="G562" s="85"/>
      <c r="H562" s="85"/>
    </row>
    <row r="563" spans="7:8" x14ac:dyDescent="0.25">
      <c r="G563" s="85"/>
      <c r="H563" s="85"/>
    </row>
    <row r="564" spans="7:8" x14ac:dyDescent="0.25">
      <c r="G564" s="85"/>
      <c r="H564" s="85"/>
    </row>
    <row r="565" spans="7:8" x14ac:dyDescent="0.25">
      <c r="G565" s="85"/>
      <c r="H565" s="85"/>
    </row>
    <row r="566" spans="7:8" x14ac:dyDescent="0.25">
      <c r="G566" s="85"/>
      <c r="H566" s="85"/>
    </row>
    <row r="567" spans="7:8" x14ac:dyDescent="0.25">
      <c r="G567" s="85"/>
      <c r="H567" s="85"/>
    </row>
    <row r="568" spans="7:8" x14ac:dyDescent="0.25">
      <c r="G568" s="85"/>
      <c r="H568" s="85"/>
    </row>
    <row r="569" spans="7:8" x14ac:dyDescent="0.25">
      <c r="G569" s="85"/>
      <c r="H569" s="85"/>
    </row>
    <row r="570" spans="7:8" x14ac:dyDescent="0.25">
      <c r="G570" s="85"/>
      <c r="H570" s="85"/>
    </row>
    <row r="571" spans="7:8" x14ac:dyDescent="0.25">
      <c r="G571" s="85"/>
      <c r="H571" s="85"/>
    </row>
    <row r="572" spans="7:8" x14ac:dyDescent="0.25">
      <c r="G572" s="85"/>
      <c r="H572" s="85"/>
    </row>
    <row r="573" spans="7:8" x14ac:dyDescent="0.25">
      <c r="G573" s="85"/>
      <c r="H573" s="85"/>
    </row>
    <row r="574" spans="7:8" x14ac:dyDescent="0.25">
      <c r="G574" s="85"/>
      <c r="H574" s="85"/>
    </row>
    <row r="575" spans="7:8" x14ac:dyDescent="0.25">
      <c r="G575" s="85"/>
      <c r="H575" s="85"/>
    </row>
    <row r="576" spans="7:8" x14ac:dyDescent="0.25">
      <c r="G576" s="85"/>
      <c r="H576" s="85"/>
    </row>
    <row r="577" spans="7:8" x14ac:dyDescent="0.25">
      <c r="G577" s="85"/>
      <c r="H577" s="85"/>
    </row>
    <row r="578" spans="7:8" x14ac:dyDescent="0.25">
      <c r="G578" s="85"/>
      <c r="H578" s="85"/>
    </row>
    <row r="579" spans="7:8" x14ac:dyDescent="0.25">
      <c r="G579" s="85"/>
      <c r="H579" s="85"/>
    </row>
    <row r="580" spans="7:8" x14ac:dyDescent="0.25">
      <c r="G580" s="85"/>
      <c r="H580" s="85"/>
    </row>
    <row r="581" spans="7:8" x14ac:dyDescent="0.25">
      <c r="G581" s="85"/>
      <c r="H581" s="85"/>
    </row>
    <row r="582" spans="7:8" x14ac:dyDescent="0.25">
      <c r="G582" s="85"/>
      <c r="H582" s="85"/>
    </row>
    <row r="583" spans="7:8" x14ac:dyDescent="0.25">
      <c r="G583" s="85"/>
      <c r="H583" s="85"/>
    </row>
    <row r="584" spans="7:8" x14ac:dyDescent="0.25">
      <c r="G584" s="85"/>
      <c r="H584" s="85"/>
    </row>
    <row r="585" spans="7:8" x14ac:dyDescent="0.25">
      <c r="G585" s="85"/>
      <c r="H585" s="85"/>
    </row>
    <row r="586" spans="7:8" x14ac:dyDescent="0.25">
      <c r="G586" s="85"/>
      <c r="H586" s="85"/>
    </row>
    <row r="587" spans="7:8" x14ac:dyDescent="0.25">
      <c r="G587" s="85"/>
      <c r="H587" s="85"/>
    </row>
    <row r="588" spans="7:8" x14ac:dyDescent="0.25">
      <c r="G588" s="85"/>
      <c r="H588" s="85"/>
    </row>
    <row r="589" spans="7:8" x14ac:dyDescent="0.25">
      <c r="G589" s="85"/>
      <c r="H589" s="85"/>
    </row>
    <row r="590" spans="7:8" x14ac:dyDescent="0.25">
      <c r="G590" s="85"/>
      <c r="H590" s="85"/>
    </row>
    <row r="591" spans="7:8" x14ac:dyDescent="0.25">
      <c r="G591" s="85"/>
      <c r="H591" s="85"/>
    </row>
    <row r="592" spans="7:8" x14ac:dyDescent="0.25">
      <c r="G592" s="85"/>
      <c r="H592" s="85"/>
    </row>
    <row r="593" spans="7:8" x14ac:dyDescent="0.25">
      <c r="G593" s="85"/>
      <c r="H593" s="85"/>
    </row>
    <row r="594" spans="7:8" x14ac:dyDescent="0.25">
      <c r="G594" s="85"/>
      <c r="H594" s="85"/>
    </row>
    <row r="595" spans="7:8" x14ac:dyDescent="0.25">
      <c r="G595" s="85"/>
      <c r="H595" s="85"/>
    </row>
    <row r="596" spans="7:8" x14ac:dyDescent="0.25">
      <c r="G596" s="85"/>
      <c r="H596" s="85"/>
    </row>
    <row r="597" spans="7:8" x14ac:dyDescent="0.25">
      <c r="G597" s="85"/>
      <c r="H597" s="85"/>
    </row>
    <row r="598" spans="7:8" x14ac:dyDescent="0.25">
      <c r="G598" s="85"/>
      <c r="H598" s="85"/>
    </row>
    <row r="599" spans="7:8" x14ac:dyDescent="0.25">
      <c r="G599" s="85"/>
      <c r="H599" s="85"/>
    </row>
    <row r="600" spans="7:8" x14ac:dyDescent="0.25">
      <c r="G600" s="85"/>
      <c r="H600" s="85"/>
    </row>
    <row r="601" spans="7:8" x14ac:dyDescent="0.25">
      <c r="G601" s="85"/>
      <c r="H601" s="85"/>
    </row>
    <row r="602" spans="7:8" x14ac:dyDescent="0.25">
      <c r="G602" s="85"/>
      <c r="H602" s="85"/>
    </row>
    <row r="603" spans="7:8" x14ac:dyDescent="0.25">
      <c r="G603" s="85"/>
      <c r="H603" s="85"/>
    </row>
    <row r="604" spans="7:8" x14ac:dyDescent="0.25">
      <c r="G604" s="85"/>
      <c r="H604" s="85"/>
    </row>
    <row r="605" spans="7:8" x14ac:dyDescent="0.25">
      <c r="G605" s="85"/>
      <c r="H605" s="85"/>
    </row>
    <row r="606" spans="7:8" x14ac:dyDescent="0.25">
      <c r="G606" s="85"/>
      <c r="H606" s="85"/>
    </row>
    <row r="607" spans="7:8" x14ac:dyDescent="0.25">
      <c r="G607" s="85"/>
      <c r="H607" s="85"/>
    </row>
    <row r="608" spans="7:8" x14ac:dyDescent="0.25">
      <c r="G608" s="85"/>
      <c r="H608" s="85"/>
    </row>
    <row r="609" spans="7:8" x14ac:dyDescent="0.25">
      <c r="G609" s="85"/>
      <c r="H609" s="85"/>
    </row>
    <row r="610" spans="7:8" x14ac:dyDescent="0.25">
      <c r="G610" s="85"/>
      <c r="H610" s="85"/>
    </row>
    <row r="611" spans="7:8" x14ac:dyDescent="0.25">
      <c r="G611" s="85"/>
      <c r="H611" s="85"/>
    </row>
    <row r="612" spans="7:8" x14ac:dyDescent="0.25">
      <c r="G612" s="85"/>
      <c r="H612" s="85"/>
    </row>
    <row r="613" spans="7:8" x14ac:dyDescent="0.25">
      <c r="G613" s="85"/>
      <c r="H613" s="85"/>
    </row>
    <row r="614" spans="7:8" x14ac:dyDescent="0.25">
      <c r="G614" s="85"/>
      <c r="H614" s="85"/>
    </row>
    <row r="615" spans="7:8" x14ac:dyDescent="0.25">
      <c r="G615" s="85"/>
      <c r="H615" s="85"/>
    </row>
    <row r="616" spans="7:8" x14ac:dyDescent="0.25">
      <c r="G616" s="85"/>
      <c r="H616" s="85"/>
    </row>
    <row r="617" spans="7:8" x14ac:dyDescent="0.25">
      <c r="G617" s="85"/>
      <c r="H617" s="85"/>
    </row>
    <row r="618" spans="7:8" x14ac:dyDescent="0.25">
      <c r="G618" s="85"/>
      <c r="H618" s="85"/>
    </row>
    <row r="619" spans="7:8" x14ac:dyDescent="0.25">
      <c r="G619" s="85"/>
      <c r="H619" s="85"/>
    </row>
    <row r="620" spans="7:8" x14ac:dyDescent="0.25">
      <c r="G620" s="85"/>
      <c r="H620" s="85"/>
    </row>
    <row r="621" spans="7:8" x14ac:dyDescent="0.25">
      <c r="G621" s="85"/>
      <c r="H621" s="85"/>
    </row>
    <row r="622" spans="7:8" x14ac:dyDescent="0.25">
      <c r="G622" s="85"/>
      <c r="H622" s="85"/>
    </row>
    <row r="623" spans="7:8" x14ac:dyDescent="0.25">
      <c r="G623" s="85"/>
      <c r="H623" s="85"/>
    </row>
    <row r="624" spans="7:8" x14ac:dyDescent="0.25">
      <c r="G624" s="85"/>
      <c r="H624" s="85"/>
    </row>
    <row r="625" spans="7:8" x14ac:dyDescent="0.25">
      <c r="G625" s="85"/>
      <c r="H625" s="85"/>
    </row>
    <row r="626" spans="7:8" x14ac:dyDescent="0.25">
      <c r="G626" s="85"/>
      <c r="H626" s="85"/>
    </row>
    <row r="627" spans="7:8" x14ac:dyDescent="0.25">
      <c r="G627" s="85"/>
      <c r="H627" s="85"/>
    </row>
    <row r="628" spans="7:8" x14ac:dyDescent="0.25">
      <c r="G628" s="85"/>
      <c r="H628" s="85"/>
    </row>
    <row r="629" spans="7:8" x14ac:dyDescent="0.25">
      <c r="G629" s="85"/>
      <c r="H629" s="85"/>
    </row>
    <row r="630" spans="7:8" x14ac:dyDescent="0.25">
      <c r="G630" s="85"/>
      <c r="H630" s="85"/>
    </row>
    <row r="631" spans="7:8" x14ac:dyDescent="0.25">
      <c r="G631" s="85"/>
      <c r="H631" s="85"/>
    </row>
    <row r="632" spans="7:8" x14ac:dyDescent="0.25">
      <c r="G632" s="85"/>
      <c r="H632" s="85"/>
    </row>
    <row r="633" spans="7:8" x14ac:dyDescent="0.25">
      <c r="G633" s="85"/>
      <c r="H633" s="85"/>
    </row>
    <row r="634" spans="7:8" x14ac:dyDescent="0.25">
      <c r="G634" s="85"/>
      <c r="H634" s="85"/>
    </row>
    <row r="635" spans="7:8" x14ac:dyDescent="0.25">
      <c r="G635" s="85"/>
      <c r="H635" s="85"/>
    </row>
    <row r="636" spans="7:8" x14ac:dyDescent="0.25">
      <c r="G636" s="85"/>
      <c r="H636" s="85"/>
    </row>
    <row r="637" spans="7:8" x14ac:dyDescent="0.25">
      <c r="G637" s="85"/>
      <c r="H637" s="85"/>
    </row>
    <row r="638" spans="7:8" x14ac:dyDescent="0.25">
      <c r="G638" s="85"/>
      <c r="H638" s="85"/>
    </row>
    <row r="639" spans="7:8" x14ac:dyDescent="0.25">
      <c r="G639" s="85"/>
      <c r="H639" s="85"/>
    </row>
    <row r="640" spans="7:8" x14ac:dyDescent="0.25">
      <c r="G640" s="85"/>
      <c r="H640" s="85"/>
    </row>
    <row r="641" spans="7:8" x14ac:dyDescent="0.25">
      <c r="G641" s="85"/>
      <c r="H641" s="85"/>
    </row>
    <row r="642" spans="7:8" x14ac:dyDescent="0.25">
      <c r="G642" s="85"/>
      <c r="H642" s="85"/>
    </row>
    <row r="643" spans="7:8" x14ac:dyDescent="0.25">
      <c r="G643" s="85"/>
      <c r="H643" s="85"/>
    </row>
    <row r="644" spans="7:8" x14ac:dyDescent="0.25">
      <c r="G644" s="85"/>
      <c r="H644" s="85"/>
    </row>
    <row r="645" spans="7:8" x14ac:dyDescent="0.25">
      <c r="G645" s="85"/>
      <c r="H645" s="85"/>
    </row>
    <row r="646" spans="7:8" x14ac:dyDescent="0.25">
      <c r="G646" s="85"/>
      <c r="H646" s="85"/>
    </row>
    <row r="647" spans="7:8" x14ac:dyDescent="0.25">
      <c r="G647" s="85"/>
      <c r="H647" s="85"/>
    </row>
    <row r="648" spans="7:8" x14ac:dyDescent="0.25">
      <c r="G648" s="85"/>
      <c r="H648" s="85"/>
    </row>
    <row r="649" spans="7:8" x14ac:dyDescent="0.25">
      <c r="G649" s="85"/>
      <c r="H649" s="85"/>
    </row>
    <row r="650" spans="7:8" x14ac:dyDescent="0.25">
      <c r="G650" s="85"/>
      <c r="H650" s="85"/>
    </row>
    <row r="651" spans="7:8" x14ac:dyDescent="0.25">
      <c r="G651" s="85"/>
      <c r="H651" s="85"/>
    </row>
    <row r="652" spans="7:8" x14ac:dyDescent="0.25">
      <c r="G652" s="85"/>
      <c r="H652" s="85"/>
    </row>
    <row r="653" spans="7:8" x14ac:dyDescent="0.25">
      <c r="G653" s="85"/>
      <c r="H653" s="85"/>
    </row>
    <row r="654" spans="7:8" x14ac:dyDescent="0.25">
      <c r="G654" s="85"/>
      <c r="H654" s="85"/>
    </row>
    <row r="655" spans="7:8" x14ac:dyDescent="0.25">
      <c r="G655" s="85"/>
      <c r="H655" s="85"/>
    </row>
    <row r="656" spans="7:8" x14ac:dyDescent="0.25">
      <c r="G656" s="85"/>
      <c r="H656" s="85"/>
    </row>
    <row r="657" spans="7:8" x14ac:dyDescent="0.25">
      <c r="G657" s="85"/>
      <c r="H657" s="85"/>
    </row>
    <row r="658" spans="7:8" x14ac:dyDescent="0.25">
      <c r="G658" s="85"/>
      <c r="H658" s="85"/>
    </row>
    <row r="659" spans="7:8" x14ac:dyDescent="0.25">
      <c r="G659" s="85"/>
      <c r="H659" s="85"/>
    </row>
    <row r="660" spans="7:8" x14ac:dyDescent="0.25">
      <c r="G660" s="85"/>
      <c r="H660" s="85"/>
    </row>
    <row r="661" spans="7:8" x14ac:dyDescent="0.25">
      <c r="G661" s="85"/>
      <c r="H661" s="85"/>
    </row>
    <row r="662" spans="7:8" x14ac:dyDescent="0.25">
      <c r="G662" s="85"/>
      <c r="H662" s="85"/>
    </row>
    <row r="663" spans="7:8" x14ac:dyDescent="0.25">
      <c r="G663" s="85"/>
      <c r="H663" s="85"/>
    </row>
    <row r="664" spans="7:8" x14ac:dyDescent="0.25">
      <c r="G664" s="85"/>
      <c r="H664" s="85"/>
    </row>
    <row r="665" spans="7:8" x14ac:dyDescent="0.25">
      <c r="G665" s="85"/>
      <c r="H665" s="85"/>
    </row>
    <row r="666" spans="7:8" x14ac:dyDescent="0.25">
      <c r="G666" s="85"/>
      <c r="H666" s="85"/>
    </row>
    <row r="667" spans="7:8" x14ac:dyDescent="0.25">
      <c r="G667" s="85"/>
      <c r="H667" s="85"/>
    </row>
    <row r="668" spans="7:8" x14ac:dyDescent="0.25">
      <c r="G668" s="85"/>
      <c r="H668" s="85"/>
    </row>
    <row r="669" spans="7:8" x14ac:dyDescent="0.25">
      <c r="G669" s="85"/>
      <c r="H669" s="85"/>
    </row>
    <row r="670" spans="7:8" x14ac:dyDescent="0.25">
      <c r="G670" s="85"/>
      <c r="H670" s="85"/>
    </row>
    <row r="671" spans="7:8" x14ac:dyDescent="0.25">
      <c r="G671" s="85"/>
      <c r="H671" s="85"/>
    </row>
    <row r="672" spans="7:8" x14ac:dyDescent="0.25">
      <c r="G672" s="85"/>
      <c r="H672" s="85"/>
    </row>
    <row r="673" spans="7:8" x14ac:dyDescent="0.25">
      <c r="G673" s="85"/>
      <c r="H673" s="85"/>
    </row>
    <row r="674" spans="7:8" x14ac:dyDescent="0.25">
      <c r="G674" s="85"/>
      <c r="H674" s="85"/>
    </row>
    <row r="675" spans="7:8" x14ac:dyDescent="0.25">
      <c r="G675" s="85"/>
      <c r="H675" s="85"/>
    </row>
    <row r="676" spans="7:8" x14ac:dyDescent="0.25">
      <c r="G676" s="85"/>
      <c r="H676" s="85"/>
    </row>
    <row r="677" spans="7:8" x14ac:dyDescent="0.25">
      <c r="G677" s="85"/>
      <c r="H677" s="85"/>
    </row>
    <row r="678" spans="7:8" x14ac:dyDescent="0.25">
      <c r="G678" s="85"/>
      <c r="H678" s="85"/>
    </row>
    <row r="679" spans="7:8" x14ac:dyDescent="0.25">
      <c r="G679" s="85"/>
      <c r="H679" s="85"/>
    </row>
    <row r="680" spans="7:8" x14ac:dyDescent="0.25">
      <c r="G680" s="85"/>
      <c r="H680" s="85"/>
    </row>
    <row r="681" spans="7:8" x14ac:dyDescent="0.25">
      <c r="G681" s="85"/>
      <c r="H681" s="85"/>
    </row>
    <row r="682" spans="7:8" x14ac:dyDescent="0.25">
      <c r="G682" s="85"/>
      <c r="H682" s="85"/>
    </row>
    <row r="683" spans="7:8" x14ac:dyDescent="0.25">
      <c r="G683" s="85"/>
      <c r="H683" s="85"/>
    </row>
    <row r="684" spans="7:8" x14ac:dyDescent="0.25">
      <c r="G684" s="85"/>
      <c r="H684" s="85"/>
    </row>
    <row r="685" spans="7:8" x14ac:dyDescent="0.25">
      <c r="G685" s="85"/>
      <c r="H685" s="85"/>
    </row>
    <row r="686" spans="7:8" x14ac:dyDescent="0.25">
      <c r="G686" s="85"/>
      <c r="H686" s="85"/>
    </row>
    <row r="687" spans="7:8" x14ac:dyDescent="0.25">
      <c r="G687" s="85"/>
      <c r="H687" s="85"/>
    </row>
    <row r="688" spans="7:8" x14ac:dyDescent="0.25">
      <c r="G688" s="85"/>
      <c r="H688" s="85"/>
    </row>
    <row r="689" spans="7:8" x14ac:dyDescent="0.25">
      <c r="G689" s="85"/>
      <c r="H689" s="85"/>
    </row>
    <row r="690" spans="7:8" x14ac:dyDescent="0.25">
      <c r="G690" s="85"/>
      <c r="H690" s="85"/>
    </row>
    <row r="691" spans="7:8" x14ac:dyDescent="0.25">
      <c r="G691" s="85"/>
      <c r="H691" s="85"/>
    </row>
    <row r="692" spans="7:8" x14ac:dyDescent="0.25">
      <c r="G692" s="85"/>
      <c r="H692" s="85"/>
    </row>
    <row r="693" spans="7:8" x14ac:dyDescent="0.25">
      <c r="G693" s="85"/>
      <c r="H693" s="85"/>
    </row>
    <row r="694" spans="7:8" x14ac:dyDescent="0.25">
      <c r="G694" s="85"/>
      <c r="H694" s="85"/>
    </row>
    <row r="695" spans="7:8" x14ac:dyDescent="0.25">
      <c r="G695" s="85"/>
      <c r="H695" s="85"/>
    </row>
    <row r="696" spans="7:8" x14ac:dyDescent="0.25">
      <c r="G696" s="85"/>
      <c r="H696" s="85"/>
    </row>
    <row r="697" spans="7:8" x14ac:dyDescent="0.25">
      <c r="G697" s="85"/>
      <c r="H697" s="85"/>
    </row>
    <row r="698" spans="7:8" x14ac:dyDescent="0.25">
      <c r="G698" s="85"/>
      <c r="H698" s="85"/>
    </row>
    <row r="699" spans="7:8" x14ac:dyDescent="0.25">
      <c r="G699" s="85"/>
      <c r="H699" s="85"/>
    </row>
    <row r="700" spans="7:8" x14ac:dyDescent="0.25">
      <c r="G700" s="85"/>
      <c r="H700" s="85"/>
    </row>
    <row r="701" spans="7:8" x14ac:dyDescent="0.25">
      <c r="G701" s="85"/>
      <c r="H701" s="85"/>
    </row>
    <row r="702" spans="7:8" x14ac:dyDescent="0.25">
      <c r="G702" s="85"/>
      <c r="H702" s="85"/>
    </row>
    <row r="703" spans="7:8" x14ac:dyDescent="0.25">
      <c r="G703" s="85"/>
      <c r="H703" s="85"/>
    </row>
    <row r="704" spans="7:8" x14ac:dyDescent="0.25">
      <c r="G704" s="85"/>
      <c r="H704" s="85"/>
    </row>
    <row r="705" spans="7:8" x14ac:dyDescent="0.25">
      <c r="G705" s="85"/>
      <c r="H705" s="85"/>
    </row>
    <row r="706" spans="7:8" x14ac:dyDescent="0.25">
      <c r="G706" s="85"/>
      <c r="H706" s="85"/>
    </row>
    <row r="707" spans="7:8" x14ac:dyDescent="0.25">
      <c r="G707" s="85"/>
      <c r="H707" s="85"/>
    </row>
    <row r="708" spans="7:8" x14ac:dyDescent="0.25">
      <c r="G708" s="85"/>
      <c r="H708" s="85"/>
    </row>
    <row r="709" spans="7:8" x14ac:dyDescent="0.25">
      <c r="G709" s="85"/>
      <c r="H709" s="85"/>
    </row>
    <row r="710" spans="7:8" x14ac:dyDescent="0.25">
      <c r="G710" s="85"/>
      <c r="H710" s="85"/>
    </row>
    <row r="711" spans="7:8" x14ac:dyDescent="0.25">
      <c r="G711" s="85"/>
      <c r="H711" s="85"/>
    </row>
    <row r="712" spans="7:8" x14ac:dyDescent="0.25">
      <c r="G712" s="85"/>
      <c r="H712" s="85"/>
    </row>
    <row r="713" spans="7:8" x14ac:dyDescent="0.25">
      <c r="G713" s="85"/>
      <c r="H713" s="85"/>
    </row>
    <row r="714" spans="7:8" x14ac:dyDescent="0.25">
      <c r="G714" s="85"/>
      <c r="H714" s="85"/>
    </row>
    <row r="715" spans="7:8" x14ac:dyDescent="0.25">
      <c r="G715" s="85"/>
      <c r="H715" s="85"/>
    </row>
    <row r="716" spans="7:8" x14ac:dyDescent="0.25">
      <c r="G716" s="85"/>
      <c r="H716" s="85"/>
    </row>
    <row r="717" spans="7:8" x14ac:dyDescent="0.25">
      <c r="G717" s="85"/>
      <c r="H717" s="85"/>
    </row>
    <row r="718" spans="7:8" x14ac:dyDescent="0.25">
      <c r="G718" s="85"/>
      <c r="H718" s="85"/>
    </row>
    <row r="719" spans="7:8" x14ac:dyDescent="0.25">
      <c r="G719" s="85"/>
      <c r="H719" s="85"/>
    </row>
    <row r="720" spans="7:8" x14ac:dyDescent="0.25">
      <c r="G720" s="85"/>
      <c r="H720" s="85"/>
    </row>
    <row r="721" spans="7:8" x14ac:dyDescent="0.25">
      <c r="G721" s="85"/>
      <c r="H721" s="85"/>
    </row>
    <row r="722" spans="7:8" x14ac:dyDescent="0.25">
      <c r="G722" s="85"/>
      <c r="H722" s="85"/>
    </row>
    <row r="723" spans="7:8" x14ac:dyDescent="0.25">
      <c r="G723" s="85"/>
      <c r="H723" s="85"/>
    </row>
    <row r="724" spans="7:8" x14ac:dyDescent="0.25">
      <c r="G724" s="85"/>
      <c r="H724" s="85"/>
    </row>
    <row r="725" spans="7:8" x14ac:dyDescent="0.25">
      <c r="G725" s="85"/>
      <c r="H725" s="85"/>
    </row>
    <row r="726" spans="7:8" x14ac:dyDescent="0.25">
      <c r="G726" s="85"/>
      <c r="H726" s="85"/>
    </row>
    <row r="727" spans="7:8" x14ac:dyDescent="0.25">
      <c r="G727" s="85"/>
      <c r="H727" s="85"/>
    </row>
    <row r="728" spans="7:8" x14ac:dyDescent="0.25">
      <c r="G728" s="85"/>
      <c r="H728" s="85"/>
    </row>
    <row r="729" spans="7:8" x14ac:dyDescent="0.25">
      <c r="G729" s="85"/>
      <c r="H729" s="85"/>
    </row>
    <row r="730" spans="7:8" x14ac:dyDescent="0.25">
      <c r="G730" s="85"/>
      <c r="H730" s="85"/>
    </row>
    <row r="731" spans="7:8" x14ac:dyDescent="0.25">
      <c r="G731" s="85"/>
      <c r="H731" s="85"/>
    </row>
    <row r="732" spans="7:8" x14ac:dyDescent="0.25">
      <c r="G732" s="85"/>
      <c r="H732" s="85"/>
    </row>
    <row r="733" spans="7:8" x14ac:dyDescent="0.25">
      <c r="G733" s="85"/>
      <c r="H733" s="85"/>
    </row>
    <row r="734" spans="7:8" x14ac:dyDescent="0.25">
      <c r="G734" s="85"/>
      <c r="H734" s="85"/>
    </row>
    <row r="735" spans="7:8" x14ac:dyDescent="0.25">
      <c r="G735" s="85"/>
      <c r="H735" s="85"/>
    </row>
    <row r="736" spans="7:8" x14ac:dyDescent="0.25">
      <c r="G736" s="85"/>
      <c r="H736" s="85"/>
    </row>
    <row r="737" spans="7:8" x14ac:dyDescent="0.25">
      <c r="G737" s="85"/>
      <c r="H737" s="85"/>
    </row>
    <row r="738" spans="7:8" x14ac:dyDescent="0.25">
      <c r="G738" s="85"/>
      <c r="H738" s="85"/>
    </row>
    <row r="739" spans="7:8" x14ac:dyDescent="0.25">
      <c r="G739" s="85"/>
      <c r="H739" s="85"/>
    </row>
    <row r="740" spans="7:8" x14ac:dyDescent="0.25">
      <c r="G740" s="85"/>
      <c r="H740" s="85"/>
    </row>
    <row r="741" spans="7:8" x14ac:dyDescent="0.25">
      <c r="G741" s="85"/>
      <c r="H741" s="85"/>
    </row>
    <row r="742" spans="7:8" x14ac:dyDescent="0.25">
      <c r="G742" s="85"/>
      <c r="H742" s="85"/>
    </row>
    <row r="743" spans="7:8" x14ac:dyDescent="0.25">
      <c r="G743" s="85"/>
      <c r="H743" s="85"/>
    </row>
    <row r="744" spans="7:8" x14ac:dyDescent="0.25">
      <c r="G744" s="85"/>
      <c r="H744" s="85"/>
    </row>
    <row r="745" spans="7:8" x14ac:dyDescent="0.25">
      <c r="G745" s="85"/>
      <c r="H745" s="85"/>
    </row>
    <row r="746" spans="7:8" x14ac:dyDescent="0.25">
      <c r="G746" s="85"/>
      <c r="H746" s="85"/>
    </row>
    <row r="747" spans="7:8" x14ac:dyDescent="0.25">
      <c r="G747" s="85"/>
      <c r="H747" s="85"/>
    </row>
    <row r="748" spans="7:8" x14ac:dyDescent="0.25">
      <c r="G748" s="85"/>
      <c r="H748" s="85"/>
    </row>
    <row r="749" spans="7:8" x14ac:dyDescent="0.25">
      <c r="G749" s="85"/>
      <c r="H749" s="85"/>
    </row>
    <row r="750" spans="7:8" x14ac:dyDescent="0.25">
      <c r="G750" s="85"/>
      <c r="H750" s="85"/>
    </row>
    <row r="751" spans="7:8" x14ac:dyDescent="0.25">
      <c r="G751" s="85"/>
      <c r="H751" s="85"/>
    </row>
    <row r="752" spans="7:8" x14ac:dyDescent="0.25">
      <c r="G752" s="85"/>
      <c r="H752" s="85"/>
    </row>
    <row r="753" spans="7:8" x14ac:dyDescent="0.25">
      <c r="G753" s="85"/>
      <c r="H753" s="85"/>
    </row>
    <row r="754" spans="7:8" x14ac:dyDescent="0.25">
      <c r="G754" s="85"/>
      <c r="H754" s="85"/>
    </row>
    <row r="755" spans="7:8" x14ac:dyDescent="0.25">
      <c r="G755" s="85"/>
      <c r="H755" s="85"/>
    </row>
    <row r="756" spans="7:8" x14ac:dyDescent="0.25">
      <c r="G756" s="85"/>
      <c r="H756" s="85"/>
    </row>
    <row r="757" spans="7:8" x14ac:dyDescent="0.25">
      <c r="G757" s="85"/>
      <c r="H757" s="85"/>
    </row>
    <row r="758" spans="7:8" x14ac:dyDescent="0.25">
      <c r="G758" s="85"/>
      <c r="H758" s="85"/>
    </row>
    <row r="759" spans="7:8" x14ac:dyDescent="0.25">
      <c r="G759" s="85"/>
      <c r="H759" s="85"/>
    </row>
    <row r="760" spans="7:8" x14ac:dyDescent="0.25">
      <c r="G760" s="85"/>
      <c r="H760" s="85"/>
    </row>
    <row r="761" spans="7:8" x14ac:dyDescent="0.25">
      <c r="G761" s="85"/>
      <c r="H761" s="85"/>
    </row>
    <row r="762" spans="7:8" x14ac:dyDescent="0.25">
      <c r="G762" s="85"/>
      <c r="H762" s="85"/>
    </row>
    <row r="763" spans="7:8" x14ac:dyDescent="0.25">
      <c r="G763" s="85"/>
      <c r="H763" s="85"/>
    </row>
    <row r="764" spans="7:8" x14ac:dyDescent="0.25">
      <c r="G764" s="85"/>
      <c r="H764" s="85"/>
    </row>
    <row r="765" spans="7:8" x14ac:dyDescent="0.25">
      <c r="G765" s="85"/>
      <c r="H765" s="85"/>
    </row>
    <row r="766" spans="7:8" x14ac:dyDescent="0.25">
      <c r="G766" s="85"/>
      <c r="H766" s="85"/>
    </row>
    <row r="767" spans="7:8" x14ac:dyDescent="0.25">
      <c r="G767" s="85"/>
      <c r="H767" s="85"/>
    </row>
    <row r="768" spans="7:8" x14ac:dyDescent="0.25">
      <c r="G768" s="85"/>
      <c r="H768" s="85"/>
    </row>
    <row r="769" spans="7:8" x14ac:dyDescent="0.25">
      <c r="G769" s="85"/>
      <c r="H769" s="85"/>
    </row>
    <row r="770" spans="7:8" x14ac:dyDescent="0.25">
      <c r="G770" s="85"/>
      <c r="H770" s="85"/>
    </row>
    <row r="771" spans="7:8" x14ac:dyDescent="0.25">
      <c r="G771" s="85"/>
      <c r="H771" s="85"/>
    </row>
    <row r="772" spans="7:8" x14ac:dyDescent="0.25">
      <c r="G772" s="85"/>
      <c r="H772" s="85"/>
    </row>
    <row r="773" spans="7:8" x14ac:dyDescent="0.25">
      <c r="G773" s="85"/>
      <c r="H773" s="85"/>
    </row>
    <row r="774" spans="7:8" x14ac:dyDescent="0.25">
      <c r="G774" s="85"/>
      <c r="H774" s="85"/>
    </row>
    <row r="775" spans="7:8" x14ac:dyDescent="0.25">
      <c r="G775" s="85"/>
      <c r="H775" s="85"/>
    </row>
    <row r="776" spans="7:8" x14ac:dyDescent="0.25">
      <c r="G776" s="85"/>
      <c r="H776" s="85"/>
    </row>
    <row r="777" spans="7:8" x14ac:dyDescent="0.25">
      <c r="G777" s="85"/>
      <c r="H777" s="85"/>
    </row>
    <row r="778" spans="7:8" x14ac:dyDescent="0.25">
      <c r="G778" s="85"/>
      <c r="H778" s="85"/>
    </row>
    <row r="779" spans="7:8" x14ac:dyDescent="0.25">
      <c r="G779" s="85"/>
      <c r="H779" s="85"/>
    </row>
    <row r="780" spans="7:8" x14ac:dyDescent="0.25">
      <c r="G780" s="85"/>
      <c r="H780" s="85"/>
    </row>
    <row r="781" spans="7:8" x14ac:dyDescent="0.25">
      <c r="G781" s="85"/>
      <c r="H781" s="85"/>
    </row>
    <row r="782" spans="7:8" x14ac:dyDescent="0.25">
      <c r="G782" s="85"/>
      <c r="H782" s="85"/>
    </row>
    <row r="783" spans="7:8" x14ac:dyDescent="0.25">
      <c r="G783" s="85"/>
      <c r="H783" s="85"/>
    </row>
    <row r="784" spans="7:8" x14ac:dyDescent="0.25">
      <c r="G784" s="85"/>
      <c r="H784" s="85"/>
    </row>
    <row r="785" spans="7:8" x14ac:dyDescent="0.25">
      <c r="G785" s="85"/>
      <c r="H785" s="85"/>
    </row>
    <row r="786" spans="7:8" x14ac:dyDescent="0.25">
      <c r="G786" s="85"/>
      <c r="H786" s="85"/>
    </row>
    <row r="787" spans="7:8" x14ac:dyDescent="0.25">
      <c r="G787" s="85"/>
      <c r="H787" s="85"/>
    </row>
    <row r="788" spans="7:8" x14ac:dyDescent="0.25">
      <c r="G788" s="85"/>
      <c r="H788" s="85"/>
    </row>
    <row r="789" spans="7:8" x14ac:dyDescent="0.25">
      <c r="G789" s="85"/>
      <c r="H789" s="85"/>
    </row>
    <row r="790" spans="7:8" x14ac:dyDescent="0.25">
      <c r="G790" s="85"/>
      <c r="H790" s="85"/>
    </row>
    <row r="791" spans="7:8" x14ac:dyDescent="0.25">
      <c r="G791" s="85"/>
      <c r="H791" s="85"/>
    </row>
    <row r="792" spans="7:8" x14ac:dyDescent="0.25">
      <c r="G792" s="85"/>
      <c r="H792" s="85"/>
    </row>
    <row r="793" spans="7:8" x14ac:dyDescent="0.25">
      <c r="G793" s="85"/>
      <c r="H793" s="85"/>
    </row>
    <row r="794" spans="7:8" x14ac:dyDescent="0.25">
      <c r="G794" s="85"/>
      <c r="H794" s="85"/>
    </row>
    <row r="795" spans="7:8" x14ac:dyDescent="0.25">
      <c r="G795" s="85"/>
      <c r="H795" s="85"/>
    </row>
    <row r="796" spans="7:8" x14ac:dyDescent="0.25">
      <c r="G796" s="85"/>
      <c r="H796" s="85"/>
    </row>
    <row r="797" spans="7:8" x14ac:dyDescent="0.25">
      <c r="G797" s="85"/>
      <c r="H797" s="85"/>
    </row>
    <row r="798" spans="7:8" x14ac:dyDescent="0.25">
      <c r="G798" s="85"/>
      <c r="H798" s="85"/>
    </row>
    <row r="799" spans="7:8" x14ac:dyDescent="0.25">
      <c r="G799" s="85"/>
      <c r="H799" s="85"/>
    </row>
    <row r="800" spans="7:8" x14ac:dyDescent="0.25">
      <c r="G800" s="85"/>
      <c r="H800" s="85"/>
    </row>
    <row r="801" spans="7:8" x14ac:dyDescent="0.25">
      <c r="G801" s="85"/>
      <c r="H801" s="85"/>
    </row>
    <row r="802" spans="7:8" x14ac:dyDescent="0.25">
      <c r="G802" s="85"/>
      <c r="H802" s="85"/>
    </row>
    <row r="803" spans="7:8" x14ac:dyDescent="0.25">
      <c r="G803" s="85"/>
      <c r="H803" s="85"/>
    </row>
    <row r="804" spans="7:8" x14ac:dyDescent="0.25">
      <c r="G804" s="85"/>
      <c r="H804" s="85"/>
    </row>
    <row r="805" spans="7:8" x14ac:dyDescent="0.25">
      <c r="G805" s="85"/>
      <c r="H805" s="85"/>
    </row>
    <row r="806" spans="7:8" x14ac:dyDescent="0.25">
      <c r="G806" s="85"/>
      <c r="H806" s="85"/>
    </row>
    <row r="807" spans="7:8" x14ac:dyDescent="0.25">
      <c r="G807" s="85"/>
      <c r="H807" s="85"/>
    </row>
    <row r="808" spans="7:8" x14ac:dyDescent="0.25">
      <c r="G808" s="85"/>
      <c r="H808" s="85"/>
    </row>
    <row r="809" spans="7:8" x14ac:dyDescent="0.25">
      <c r="G809" s="85"/>
      <c r="H809" s="85"/>
    </row>
    <row r="810" spans="7:8" x14ac:dyDescent="0.25">
      <c r="G810" s="85"/>
      <c r="H810" s="85"/>
    </row>
    <row r="811" spans="7:8" x14ac:dyDescent="0.25">
      <c r="G811" s="85"/>
      <c r="H811" s="85"/>
    </row>
    <row r="812" spans="7:8" x14ac:dyDescent="0.25">
      <c r="G812" s="85"/>
      <c r="H812" s="85"/>
    </row>
    <row r="813" spans="7:8" x14ac:dyDescent="0.25">
      <c r="G813" s="85"/>
      <c r="H813" s="85"/>
    </row>
    <row r="814" spans="7:8" x14ac:dyDescent="0.25">
      <c r="G814" s="85"/>
      <c r="H814" s="85"/>
    </row>
    <row r="815" spans="7:8" x14ac:dyDescent="0.25">
      <c r="G815" s="85"/>
      <c r="H815" s="85"/>
    </row>
    <row r="816" spans="7:8" x14ac:dyDescent="0.25">
      <c r="G816" s="85"/>
      <c r="H816" s="85"/>
    </row>
    <row r="817" spans="7:8" x14ac:dyDescent="0.25">
      <c r="G817" s="85"/>
      <c r="H817" s="85"/>
    </row>
    <row r="818" spans="7:8" x14ac:dyDescent="0.25">
      <c r="G818" s="85"/>
      <c r="H818" s="85"/>
    </row>
    <row r="819" spans="7:8" x14ac:dyDescent="0.25">
      <c r="G819" s="85"/>
      <c r="H819" s="85"/>
    </row>
    <row r="820" spans="7:8" x14ac:dyDescent="0.25">
      <c r="G820" s="85"/>
      <c r="H820" s="85"/>
    </row>
    <row r="821" spans="7:8" x14ac:dyDescent="0.25">
      <c r="G821" s="85"/>
      <c r="H821" s="85"/>
    </row>
    <row r="822" spans="7:8" x14ac:dyDescent="0.25">
      <c r="G822" s="85"/>
      <c r="H822" s="85"/>
    </row>
    <row r="823" spans="7:8" x14ac:dyDescent="0.25">
      <c r="G823" s="85"/>
      <c r="H823" s="85"/>
    </row>
    <row r="824" spans="7:8" x14ac:dyDescent="0.25">
      <c r="G824" s="85"/>
      <c r="H824" s="85"/>
    </row>
    <row r="825" spans="7:8" x14ac:dyDescent="0.25">
      <c r="G825" s="85"/>
      <c r="H825" s="85"/>
    </row>
    <row r="826" spans="7:8" x14ac:dyDescent="0.25">
      <c r="G826" s="85"/>
      <c r="H826" s="85"/>
    </row>
    <row r="827" spans="7:8" x14ac:dyDescent="0.25">
      <c r="G827" s="85"/>
      <c r="H827" s="85"/>
    </row>
    <row r="828" spans="7:8" x14ac:dyDescent="0.25">
      <c r="G828" s="85"/>
      <c r="H828" s="85"/>
    </row>
    <row r="829" spans="7:8" x14ac:dyDescent="0.25">
      <c r="G829" s="85"/>
      <c r="H829" s="85"/>
    </row>
    <row r="830" spans="7:8" x14ac:dyDescent="0.25">
      <c r="G830" s="85"/>
      <c r="H830" s="85"/>
    </row>
    <row r="831" spans="7:8" x14ac:dyDescent="0.25">
      <c r="G831" s="85"/>
      <c r="H831" s="85"/>
    </row>
    <row r="832" spans="7:8" x14ac:dyDescent="0.25">
      <c r="G832" s="85"/>
      <c r="H832" s="85"/>
    </row>
    <row r="833" spans="7:8" x14ac:dyDescent="0.25">
      <c r="G833" s="85"/>
      <c r="H833" s="85"/>
    </row>
    <row r="834" spans="7:8" x14ac:dyDescent="0.25">
      <c r="G834" s="85"/>
      <c r="H834" s="85"/>
    </row>
    <row r="835" spans="7:8" x14ac:dyDescent="0.25">
      <c r="G835" s="85"/>
      <c r="H835" s="85"/>
    </row>
    <row r="836" spans="7:8" x14ac:dyDescent="0.25">
      <c r="G836" s="85"/>
      <c r="H836" s="85"/>
    </row>
    <row r="837" spans="7:8" x14ac:dyDescent="0.25">
      <c r="G837" s="85"/>
      <c r="H837" s="85"/>
    </row>
    <row r="838" spans="7:8" x14ac:dyDescent="0.25">
      <c r="G838" s="85"/>
      <c r="H838" s="85"/>
    </row>
    <row r="839" spans="7:8" x14ac:dyDescent="0.25">
      <c r="G839" s="85"/>
      <c r="H839" s="85"/>
    </row>
    <row r="840" spans="7:8" x14ac:dyDescent="0.25">
      <c r="G840" s="85"/>
      <c r="H840" s="85"/>
    </row>
    <row r="841" spans="7:8" x14ac:dyDescent="0.25">
      <c r="G841" s="85"/>
      <c r="H841" s="85"/>
    </row>
    <row r="842" spans="7:8" x14ac:dyDescent="0.25">
      <c r="G842" s="85"/>
      <c r="H842" s="85"/>
    </row>
    <row r="843" spans="7:8" x14ac:dyDescent="0.25">
      <c r="G843" s="85"/>
      <c r="H843" s="85"/>
    </row>
    <row r="844" spans="7:8" x14ac:dyDescent="0.25">
      <c r="G844" s="85"/>
      <c r="H844" s="85"/>
    </row>
    <row r="845" spans="7:8" x14ac:dyDescent="0.25">
      <c r="G845" s="85"/>
      <c r="H845" s="85"/>
    </row>
    <row r="846" spans="7:8" x14ac:dyDescent="0.25">
      <c r="G846" s="85"/>
      <c r="H846" s="85"/>
    </row>
    <row r="847" spans="7:8" x14ac:dyDescent="0.25">
      <c r="G847" s="85"/>
      <c r="H847" s="85"/>
    </row>
    <row r="848" spans="7:8" x14ac:dyDescent="0.25">
      <c r="G848" s="85"/>
      <c r="H848" s="85"/>
    </row>
    <row r="849" spans="7:8" x14ac:dyDescent="0.25">
      <c r="G849" s="85"/>
      <c r="H849" s="85"/>
    </row>
    <row r="850" spans="7:8" x14ac:dyDescent="0.25">
      <c r="G850" s="85"/>
      <c r="H850" s="85"/>
    </row>
    <row r="851" spans="7:8" x14ac:dyDescent="0.25">
      <c r="G851" s="85"/>
      <c r="H851" s="85"/>
    </row>
    <row r="852" spans="7:8" x14ac:dyDescent="0.25">
      <c r="G852" s="85"/>
      <c r="H852" s="85"/>
    </row>
    <row r="853" spans="7:8" x14ac:dyDescent="0.25">
      <c r="G853" s="85"/>
      <c r="H853" s="85"/>
    </row>
    <row r="854" spans="7:8" x14ac:dyDescent="0.25">
      <c r="G854" s="85"/>
      <c r="H854" s="85"/>
    </row>
    <row r="855" spans="7:8" x14ac:dyDescent="0.25">
      <c r="G855" s="85"/>
      <c r="H855" s="85"/>
    </row>
    <row r="856" spans="7:8" x14ac:dyDescent="0.25">
      <c r="G856" s="85"/>
      <c r="H856" s="85"/>
    </row>
    <row r="857" spans="7:8" x14ac:dyDescent="0.25">
      <c r="G857" s="85"/>
      <c r="H857" s="85"/>
    </row>
    <row r="858" spans="7:8" x14ac:dyDescent="0.25">
      <c r="G858" s="85"/>
      <c r="H858" s="85"/>
    </row>
    <row r="859" spans="7:8" x14ac:dyDescent="0.25">
      <c r="G859" s="85"/>
      <c r="H859" s="85"/>
    </row>
    <row r="860" spans="7:8" x14ac:dyDescent="0.25">
      <c r="G860" s="85"/>
      <c r="H860" s="85"/>
    </row>
    <row r="861" spans="7:8" x14ac:dyDescent="0.25">
      <c r="G861" s="85"/>
      <c r="H861" s="85"/>
    </row>
    <row r="862" spans="7:8" x14ac:dyDescent="0.25">
      <c r="G862" s="85"/>
      <c r="H862" s="85"/>
    </row>
    <row r="863" spans="7:8" x14ac:dyDescent="0.25">
      <c r="G863" s="85"/>
      <c r="H863" s="85"/>
    </row>
    <row r="864" spans="7:8" x14ac:dyDescent="0.25">
      <c r="G864" s="85"/>
      <c r="H864" s="85"/>
    </row>
    <row r="865" spans="7:8" x14ac:dyDescent="0.25">
      <c r="G865" s="85"/>
      <c r="H865" s="85"/>
    </row>
    <row r="866" spans="7:8" x14ac:dyDescent="0.25">
      <c r="G866" s="85"/>
      <c r="H866" s="85"/>
    </row>
    <row r="867" spans="7:8" x14ac:dyDescent="0.25">
      <c r="G867" s="85"/>
      <c r="H867" s="85"/>
    </row>
    <row r="868" spans="7:8" x14ac:dyDescent="0.25">
      <c r="G868" s="85"/>
      <c r="H868" s="85"/>
    </row>
    <row r="869" spans="7:8" x14ac:dyDescent="0.25">
      <c r="G869" s="85"/>
      <c r="H869" s="85"/>
    </row>
    <row r="870" spans="7:8" x14ac:dyDescent="0.25">
      <c r="G870" s="85"/>
      <c r="H870" s="85"/>
    </row>
    <row r="871" spans="7:8" x14ac:dyDescent="0.25">
      <c r="G871" s="85"/>
      <c r="H871" s="85"/>
    </row>
    <row r="872" spans="7:8" x14ac:dyDescent="0.25">
      <c r="G872" s="85"/>
      <c r="H872" s="85"/>
    </row>
    <row r="873" spans="7:8" x14ac:dyDescent="0.25">
      <c r="G873" s="85"/>
      <c r="H873" s="85"/>
    </row>
    <row r="874" spans="7:8" x14ac:dyDescent="0.25">
      <c r="G874" s="85"/>
      <c r="H874" s="85"/>
    </row>
    <row r="875" spans="7:8" x14ac:dyDescent="0.25">
      <c r="G875" s="85"/>
      <c r="H875" s="85"/>
    </row>
    <row r="876" spans="7:8" x14ac:dyDescent="0.25">
      <c r="G876" s="85"/>
      <c r="H876" s="85"/>
    </row>
    <row r="877" spans="7:8" x14ac:dyDescent="0.25">
      <c r="G877" s="85"/>
      <c r="H877" s="85"/>
    </row>
    <row r="878" spans="7:8" x14ac:dyDescent="0.25">
      <c r="G878" s="85"/>
      <c r="H878" s="85"/>
    </row>
    <row r="879" spans="7:8" x14ac:dyDescent="0.25">
      <c r="G879" s="85"/>
      <c r="H879" s="85"/>
    </row>
    <row r="880" spans="7:8" x14ac:dyDescent="0.25">
      <c r="G880" s="85"/>
      <c r="H880" s="85"/>
    </row>
    <row r="881" spans="7:8" x14ac:dyDescent="0.25">
      <c r="G881" s="85"/>
      <c r="H881" s="85"/>
    </row>
    <row r="882" spans="7:8" x14ac:dyDescent="0.25">
      <c r="G882" s="85"/>
      <c r="H882" s="85"/>
    </row>
    <row r="883" spans="7:8" x14ac:dyDescent="0.25">
      <c r="G883" s="85"/>
      <c r="H883" s="85"/>
    </row>
    <row r="884" spans="7:8" x14ac:dyDescent="0.25">
      <c r="G884" s="85"/>
      <c r="H884" s="85"/>
    </row>
    <row r="885" spans="7:8" x14ac:dyDescent="0.25">
      <c r="G885" s="85"/>
      <c r="H885" s="85"/>
    </row>
    <row r="886" spans="7:8" x14ac:dyDescent="0.25">
      <c r="G886" s="85"/>
      <c r="H886" s="85"/>
    </row>
    <row r="887" spans="7:8" x14ac:dyDescent="0.25">
      <c r="G887" s="85"/>
      <c r="H887" s="85"/>
    </row>
    <row r="888" spans="7:8" x14ac:dyDescent="0.25">
      <c r="G888" s="85"/>
      <c r="H888" s="85"/>
    </row>
    <row r="889" spans="7:8" x14ac:dyDescent="0.25">
      <c r="G889" s="85"/>
      <c r="H889" s="85"/>
    </row>
    <row r="890" spans="7:8" x14ac:dyDescent="0.25">
      <c r="G890" s="85"/>
      <c r="H890" s="85"/>
    </row>
    <row r="891" spans="7:8" x14ac:dyDescent="0.25">
      <c r="G891" s="85"/>
      <c r="H891" s="85"/>
    </row>
    <row r="892" spans="7:8" x14ac:dyDescent="0.25">
      <c r="G892" s="85"/>
      <c r="H892" s="85"/>
    </row>
    <row r="893" spans="7:8" x14ac:dyDescent="0.25">
      <c r="G893" s="85"/>
      <c r="H893" s="85"/>
    </row>
    <row r="894" spans="7:8" x14ac:dyDescent="0.25">
      <c r="G894" s="85"/>
      <c r="H894" s="85"/>
    </row>
    <row r="895" spans="7:8" x14ac:dyDescent="0.25">
      <c r="G895" s="85"/>
      <c r="H895" s="85"/>
    </row>
    <row r="896" spans="7:8" x14ac:dyDescent="0.25">
      <c r="G896" s="85"/>
      <c r="H896" s="85"/>
    </row>
    <row r="897" spans="7:8" x14ac:dyDescent="0.25">
      <c r="G897" s="85"/>
      <c r="H897" s="85"/>
    </row>
    <row r="898" spans="7:8" x14ac:dyDescent="0.25">
      <c r="G898" s="85"/>
      <c r="H898" s="85"/>
    </row>
    <row r="899" spans="7:8" x14ac:dyDescent="0.25">
      <c r="G899" s="85"/>
      <c r="H899" s="85"/>
    </row>
    <row r="900" spans="7:8" x14ac:dyDescent="0.25">
      <c r="G900" s="85"/>
      <c r="H900" s="85"/>
    </row>
    <row r="901" spans="7:8" x14ac:dyDescent="0.25">
      <c r="G901" s="85"/>
      <c r="H901" s="85"/>
    </row>
    <row r="902" spans="7:8" x14ac:dyDescent="0.25">
      <c r="G902" s="85"/>
      <c r="H902" s="85"/>
    </row>
    <row r="903" spans="7:8" x14ac:dyDescent="0.25">
      <c r="G903" s="85"/>
      <c r="H903" s="85"/>
    </row>
    <row r="904" spans="7:8" x14ac:dyDescent="0.25">
      <c r="G904" s="85"/>
      <c r="H904" s="85"/>
    </row>
    <row r="905" spans="7:8" x14ac:dyDescent="0.25">
      <c r="G905" s="85"/>
      <c r="H905" s="85"/>
    </row>
    <row r="906" spans="7:8" x14ac:dyDescent="0.25">
      <c r="G906" s="85"/>
      <c r="H906" s="85"/>
    </row>
    <row r="907" spans="7:8" x14ac:dyDescent="0.25">
      <c r="G907" s="85"/>
      <c r="H907" s="85"/>
    </row>
    <row r="908" spans="7:8" x14ac:dyDescent="0.25">
      <c r="G908" s="85"/>
      <c r="H908" s="85"/>
    </row>
    <row r="909" spans="7:8" x14ac:dyDescent="0.25">
      <c r="G909" s="85"/>
      <c r="H909" s="85"/>
    </row>
    <row r="910" spans="7:8" x14ac:dyDescent="0.25">
      <c r="G910" s="85"/>
      <c r="H910" s="85"/>
    </row>
    <row r="911" spans="7:8" x14ac:dyDescent="0.25">
      <c r="G911" s="85"/>
      <c r="H911" s="85"/>
    </row>
    <row r="912" spans="7:8" x14ac:dyDescent="0.25">
      <c r="G912" s="85"/>
      <c r="H912" s="85"/>
    </row>
    <row r="913" spans="7:8" x14ac:dyDescent="0.25">
      <c r="G913" s="85"/>
      <c r="H913" s="85"/>
    </row>
    <row r="914" spans="7:8" x14ac:dyDescent="0.25">
      <c r="G914" s="85"/>
      <c r="H914" s="85"/>
    </row>
    <row r="915" spans="7:8" x14ac:dyDescent="0.25">
      <c r="G915" s="85"/>
      <c r="H915" s="85"/>
    </row>
    <row r="916" spans="7:8" x14ac:dyDescent="0.25">
      <c r="G916" s="85"/>
      <c r="H916" s="85"/>
    </row>
    <row r="917" spans="7:8" x14ac:dyDescent="0.25">
      <c r="G917" s="85"/>
      <c r="H917" s="85"/>
    </row>
    <row r="918" spans="7:8" x14ac:dyDescent="0.25">
      <c r="G918" s="85"/>
      <c r="H918" s="85"/>
    </row>
    <row r="919" spans="7:8" x14ac:dyDescent="0.25">
      <c r="G919" s="85"/>
      <c r="H919" s="85"/>
    </row>
    <row r="920" spans="7:8" x14ac:dyDescent="0.25">
      <c r="G920" s="85"/>
      <c r="H920" s="85"/>
    </row>
    <row r="921" spans="7:8" x14ac:dyDescent="0.25">
      <c r="G921" s="85"/>
      <c r="H921" s="85"/>
    </row>
    <row r="922" spans="7:8" x14ac:dyDescent="0.25">
      <c r="G922" s="85"/>
      <c r="H922" s="85"/>
    </row>
    <row r="923" spans="7:8" x14ac:dyDescent="0.25">
      <c r="G923" s="85"/>
      <c r="H923" s="85"/>
    </row>
    <row r="924" spans="7:8" x14ac:dyDescent="0.25">
      <c r="G924" s="85"/>
      <c r="H924" s="85"/>
    </row>
    <row r="925" spans="7:8" x14ac:dyDescent="0.25">
      <c r="G925" s="85"/>
      <c r="H925" s="85"/>
    </row>
    <row r="926" spans="7:8" x14ac:dyDescent="0.25">
      <c r="G926" s="85"/>
      <c r="H926" s="85"/>
    </row>
    <row r="927" spans="7:8" x14ac:dyDescent="0.25">
      <c r="G927" s="85"/>
      <c r="H927" s="85"/>
    </row>
    <row r="928" spans="7:8" x14ac:dyDescent="0.25">
      <c r="G928" s="85"/>
      <c r="H928" s="85"/>
    </row>
    <row r="929" spans="7:8" x14ac:dyDescent="0.25">
      <c r="G929" s="85"/>
      <c r="H929" s="85"/>
    </row>
    <row r="930" spans="7:8" x14ac:dyDescent="0.25">
      <c r="G930" s="85"/>
      <c r="H930" s="85"/>
    </row>
    <row r="931" spans="7:8" x14ac:dyDescent="0.25">
      <c r="G931" s="85"/>
      <c r="H931" s="85"/>
    </row>
    <row r="932" spans="7:8" x14ac:dyDescent="0.25">
      <c r="G932" s="85"/>
      <c r="H932" s="85"/>
    </row>
    <row r="933" spans="7:8" x14ac:dyDescent="0.25">
      <c r="G933" s="85"/>
      <c r="H933" s="85"/>
    </row>
    <row r="934" spans="7:8" x14ac:dyDescent="0.25">
      <c r="G934" s="85"/>
      <c r="H934" s="85"/>
    </row>
    <row r="935" spans="7:8" x14ac:dyDescent="0.25">
      <c r="G935" s="85"/>
      <c r="H935" s="85"/>
    </row>
    <row r="936" spans="7:8" x14ac:dyDescent="0.25">
      <c r="G936" s="85"/>
      <c r="H936" s="85"/>
    </row>
    <row r="937" spans="7:8" x14ac:dyDescent="0.25">
      <c r="G937" s="85"/>
      <c r="H937" s="85"/>
    </row>
    <row r="938" spans="7:8" x14ac:dyDescent="0.25">
      <c r="G938" s="85"/>
      <c r="H938" s="85"/>
    </row>
    <row r="939" spans="7:8" x14ac:dyDescent="0.25">
      <c r="G939" s="85"/>
      <c r="H939" s="85"/>
    </row>
    <row r="940" spans="7:8" x14ac:dyDescent="0.25">
      <c r="G940" s="85"/>
      <c r="H940" s="85"/>
    </row>
    <row r="941" spans="7:8" x14ac:dyDescent="0.25">
      <c r="G941" s="85"/>
      <c r="H941" s="85"/>
    </row>
    <row r="942" spans="7:8" x14ac:dyDescent="0.25">
      <c r="G942" s="85"/>
      <c r="H942" s="85"/>
    </row>
    <row r="943" spans="7:8" x14ac:dyDescent="0.25">
      <c r="G943" s="85"/>
      <c r="H943" s="85"/>
    </row>
    <row r="944" spans="7:8" x14ac:dyDescent="0.25">
      <c r="G944" s="85"/>
      <c r="H944" s="85"/>
    </row>
    <row r="945" spans="7:8" x14ac:dyDescent="0.25">
      <c r="G945" s="85"/>
      <c r="H945" s="85"/>
    </row>
    <row r="946" spans="7:8" x14ac:dyDescent="0.25">
      <c r="G946" s="85"/>
      <c r="H946" s="85"/>
    </row>
    <row r="947" spans="7:8" x14ac:dyDescent="0.25">
      <c r="G947" s="85"/>
      <c r="H947" s="85"/>
    </row>
    <row r="948" spans="7:8" x14ac:dyDescent="0.25">
      <c r="G948" s="85"/>
      <c r="H948" s="85"/>
    </row>
    <row r="949" spans="7:8" x14ac:dyDescent="0.25">
      <c r="G949" s="85"/>
      <c r="H949" s="85"/>
    </row>
    <row r="950" spans="7:8" x14ac:dyDescent="0.25">
      <c r="G950" s="85"/>
      <c r="H950" s="85"/>
    </row>
    <row r="951" spans="7:8" x14ac:dyDescent="0.25">
      <c r="G951" s="85"/>
      <c r="H951" s="85"/>
    </row>
    <row r="952" spans="7:8" x14ac:dyDescent="0.25">
      <c r="G952" s="85"/>
      <c r="H952" s="85"/>
    </row>
    <row r="953" spans="7:8" x14ac:dyDescent="0.25">
      <c r="G953" s="85"/>
      <c r="H953" s="85"/>
    </row>
    <row r="954" spans="7:8" x14ac:dyDescent="0.25">
      <c r="G954" s="85"/>
      <c r="H954" s="85"/>
    </row>
    <row r="955" spans="7:8" x14ac:dyDescent="0.25">
      <c r="G955" s="85"/>
      <c r="H955" s="85"/>
    </row>
    <row r="956" spans="7:8" x14ac:dyDescent="0.25">
      <c r="G956" s="85"/>
      <c r="H956" s="85"/>
    </row>
    <row r="957" spans="7:8" x14ac:dyDescent="0.25">
      <c r="G957" s="85"/>
      <c r="H957" s="85"/>
    </row>
    <row r="958" spans="7:8" x14ac:dyDescent="0.25">
      <c r="G958" s="85"/>
      <c r="H958" s="85"/>
    </row>
    <row r="959" spans="7:8" x14ac:dyDescent="0.25">
      <c r="G959" s="85"/>
      <c r="H959" s="85"/>
    </row>
    <row r="960" spans="7:8" x14ac:dyDescent="0.25">
      <c r="G960" s="85"/>
      <c r="H960" s="85"/>
    </row>
    <row r="961" spans="7:8" x14ac:dyDescent="0.25">
      <c r="G961" s="85"/>
      <c r="H961" s="85"/>
    </row>
    <row r="962" spans="7:8" x14ac:dyDescent="0.25">
      <c r="G962" s="85"/>
      <c r="H962" s="85"/>
    </row>
    <row r="963" spans="7:8" x14ac:dyDescent="0.25">
      <c r="G963" s="85"/>
      <c r="H963" s="85"/>
    </row>
    <row r="964" spans="7:8" x14ac:dyDescent="0.25">
      <c r="G964" s="85"/>
      <c r="H964" s="85"/>
    </row>
    <row r="965" spans="7:8" x14ac:dyDescent="0.25">
      <c r="G965" s="85"/>
      <c r="H965" s="85"/>
    </row>
    <row r="966" spans="7:8" x14ac:dyDescent="0.25">
      <c r="G966" s="85"/>
      <c r="H966" s="85"/>
    </row>
    <row r="967" spans="7:8" x14ac:dyDescent="0.25">
      <c r="G967" s="85"/>
      <c r="H967" s="85"/>
    </row>
    <row r="968" spans="7:8" x14ac:dyDescent="0.25">
      <c r="G968" s="85"/>
      <c r="H968" s="85"/>
    </row>
    <row r="969" spans="7:8" x14ac:dyDescent="0.25">
      <c r="G969" s="85"/>
      <c r="H969" s="85"/>
    </row>
    <row r="970" spans="7:8" x14ac:dyDescent="0.25">
      <c r="G970" s="85"/>
      <c r="H970" s="85"/>
    </row>
    <row r="971" spans="7:8" x14ac:dyDescent="0.25">
      <c r="G971" s="85"/>
      <c r="H971" s="85"/>
    </row>
    <row r="972" spans="7:8" x14ac:dyDescent="0.25">
      <c r="G972" s="85"/>
      <c r="H972" s="85"/>
    </row>
    <row r="973" spans="7:8" x14ac:dyDescent="0.25">
      <c r="G973" s="85"/>
      <c r="H973" s="85"/>
    </row>
    <row r="974" spans="7:8" x14ac:dyDescent="0.25">
      <c r="G974" s="85"/>
      <c r="H974" s="85"/>
    </row>
    <row r="975" spans="7:8" x14ac:dyDescent="0.25">
      <c r="G975" s="85"/>
      <c r="H975" s="85"/>
    </row>
    <row r="976" spans="7:8" x14ac:dyDescent="0.25">
      <c r="G976" s="85"/>
      <c r="H976" s="85"/>
    </row>
    <row r="977" spans="7:8" x14ac:dyDescent="0.25">
      <c r="G977" s="85"/>
      <c r="H977" s="85"/>
    </row>
    <row r="978" spans="7:8" x14ac:dyDescent="0.25">
      <c r="G978" s="85"/>
      <c r="H978" s="85"/>
    </row>
    <row r="979" spans="7:8" x14ac:dyDescent="0.25">
      <c r="G979" s="85"/>
      <c r="H979" s="85"/>
    </row>
    <row r="980" spans="7:8" x14ac:dyDescent="0.25">
      <c r="G980" s="85"/>
      <c r="H980" s="85"/>
    </row>
    <row r="981" spans="7:8" x14ac:dyDescent="0.25">
      <c r="G981" s="85"/>
      <c r="H981" s="85"/>
    </row>
    <row r="982" spans="7:8" x14ac:dyDescent="0.25">
      <c r="G982" s="85"/>
      <c r="H982" s="85"/>
    </row>
    <row r="983" spans="7:8" x14ac:dyDescent="0.25">
      <c r="G983" s="85"/>
      <c r="H983" s="85"/>
    </row>
    <row r="984" spans="7:8" x14ac:dyDescent="0.25">
      <c r="G984" s="85"/>
      <c r="H984" s="85"/>
    </row>
    <row r="985" spans="7:8" x14ac:dyDescent="0.25">
      <c r="G985" s="85"/>
      <c r="H985" s="85"/>
    </row>
    <row r="986" spans="7:8" x14ac:dyDescent="0.25">
      <c r="G986" s="85"/>
      <c r="H986" s="85"/>
    </row>
    <row r="987" spans="7:8" x14ac:dyDescent="0.25">
      <c r="G987" s="85"/>
      <c r="H987" s="85"/>
    </row>
    <row r="988" spans="7:8" x14ac:dyDescent="0.25">
      <c r="G988" s="85"/>
      <c r="H988" s="85"/>
    </row>
    <row r="989" spans="7:8" x14ac:dyDescent="0.25">
      <c r="G989" s="85"/>
      <c r="H989" s="85"/>
    </row>
    <row r="990" spans="7:8" x14ac:dyDescent="0.25">
      <c r="G990" s="85"/>
      <c r="H990" s="85"/>
    </row>
    <row r="991" spans="7:8" x14ac:dyDescent="0.25">
      <c r="G991" s="85"/>
      <c r="H991" s="85"/>
    </row>
    <row r="992" spans="7:8" x14ac:dyDescent="0.25">
      <c r="G992" s="85"/>
      <c r="H992" s="85"/>
    </row>
    <row r="993" spans="7:8" x14ac:dyDescent="0.25">
      <c r="G993" s="85"/>
      <c r="H993" s="85"/>
    </row>
    <row r="994" spans="7:8" x14ac:dyDescent="0.25">
      <c r="G994" s="85"/>
      <c r="H994" s="85"/>
    </row>
    <row r="995" spans="7:8" x14ac:dyDescent="0.25">
      <c r="G995" s="85"/>
      <c r="H995" s="85"/>
    </row>
    <row r="996" spans="7:8" x14ac:dyDescent="0.25">
      <c r="G996" s="85"/>
      <c r="H996" s="85"/>
    </row>
    <row r="997" spans="7:8" x14ac:dyDescent="0.25">
      <c r="G997" s="85"/>
      <c r="H997" s="85"/>
    </row>
    <row r="998" spans="7:8" x14ac:dyDescent="0.25">
      <c r="G998" s="85"/>
      <c r="H998" s="85"/>
    </row>
    <row r="999" spans="7:8" x14ac:dyDescent="0.25">
      <c r="G999" s="85"/>
      <c r="H999" s="85"/>
    </row>
    <row r="1000" spans="7:8" x14ac:dyDescent="0.25">
      <c r="G1000" s="85"/>
      <c r="H1000" s="85"/>
    </row>
    <row r="1001" spans="7:8" x14ac:dyDescent="0.25">
      <c r="G1001" s="85"/>
      <c r="H1001" s="85"/>
    </row>
    <row r="1002" spans="7:8" x14ac:dyDescent="0.25">
      <c r="G1002" s="85"/>
      <c r="H1002" s="85"/>
    </row>
    <row r="1003" spans="7:8" x14ac:dyDescent="0.25">
      <c r="G1003" s="85"/>
      <c r="H1003" s="85"/>
    </row>
    <row r="1004" spans="7:8" x14ac:dyDescent="0.25">
      <c r="G1004" s="85"/>
      <c r="H1004" s="85"/>
    </row>
    <row r="1005" spans="7:8" x14ac:dyDescent="0.25">
      <c r="G1005" s="85"/>
      <c r="H1005" s="85"/>
    </row>
    <row r="1006" spans="7:8" x14ac:dyDescent="0.25">
      <c r="G1006" s="85"/>
      <c r="H1006" s="85"/>
    </row>
    <row r="1007" spans="7:8" x14ac:dyDescent="0.25">
      <c r="G1007" s="85"/>
      <c r="H1007" s="85"/>
    </row>
    <row r="1008" spans="7:8" x14ac:dyDescent="0.25">
      <c r="G1008" s="85"/>
      <c r="H1008" s="85"/>
    </row>
    <row r="1009" spans="7:8" x14ac:dyDescent="0.25">
      <c r="G1009" s="85"/>
      <c r="H1009" s="85"/>
    </row>
    <row r="1010" spans="7:8" x14ac:dyDescent="0.25">
      <c r="G1010" s="85"/>
      <c r="H1010" s="85"/>
    </row>
    <row r="1011" spans="7:8" x14ac:dyDescent="0.25">
      <c r="G1011" s="85"/>
      <c r="H1011" s="85"/>
    </row>
    <row r="1012" spans="7:8" x14ac:dyDescent="0.25">
      <c r="G1012" s="85"/>
      <c r="H1012" s="85"/>
    </row>
    <row r="1013" spans="7:8" x14ac:dyDescent="0.25">
      <c r="G1013" s="85"/>
      <c r="H1013" s="85"/>
    </row>
    <row r="1014" spans="7:8" x14ac:dyDescent="0.25">
      <c r="G1014" s="85"/>
      <c r="H1014" s="85"/>
    </row>
    <row r="1015" spans="7:8" x14ac:dyDescent="0.25">
      <c r="G1015" s="85"/>
      <c r="H1015" s="85"/>
    </row>
    <row r="1016" spans="7:8" x14ac:dyDescent="0.25">
      <c r="G1016" s="85"/>
      <c r="H1016" s="85"/>
    </row>
    <row r="1017" spans="7:8" x14ac:dyDescent="0.25">
      <c r="G1017" s="85"/>
      <c r="H1017" s="85"/>
    </row>
    <row r="1018" spans="7:8" x14ac:dyDescent="0.25">
      <c r="G1018" s="85"/>
      <c r="H1018" s="85"/>
    </row>
    <row r="1019" spans="7:8" x14ac:dyDescent="0.25">
      <c r="G1019" s="85"/>
      <c r="H1019" s="85"/>
    </row>
    <row r="1020" spans="7:8" x14ac:dyDescent="0.25">
      <c r="G1020" s="85"/>
      <c r="H1020" s="85"/>
    </row>
    <row r="1021" spans="7:8" x14ac:dyDescent="0.25">
      <c r="G1021" s="85"/>
      <c r="H1021" s="85"/>
    </row>
    <row r="1022" spans="7:8" x14ac:dyDescent="0.25">
      <c r="G1022" s="85"/>
      <c r="H1022" s="85"/>
    </row>
    <row r="1023" spans="7:8" x14ac:dyDescent="0.25">
      <c r="G1023" s="85"/>
      <c r="H1023" s="85"/>
    </row>
    <row r="1024" spans="7:8" x14ac:dyDescent="0.25">
      <c r="G1024" s="85"/>
      <c r="H1024" s="85"/>
    </row>
    <row r="1025" spans="7:8" x14ac:dyDescent="0.25">
      <c r="G1025" s="85"/>
      <c r="H1025" s="85"/>
    </row>
    <row r="1026" spans="7:8" x14ac:dyDescent="0.25">
      <c r="G1026" s="85"/>
      <c r="H1026" s="85"/>
    </row>
    <row r="1027" spans="7:8" x14ac:dyDescent="0.25">
      <c r="G1027" s="85"/>
      <c r="H1027" s="85"/>
    </row>
    <row r="1028" spans="7:8" x14ac:dyDescent="0.25">
      <c r="G1028" s="85"/>
      <c r="H1028" s="85"/>
    </row>
    <row r="1029" spans="7:8" x14ac:dyDescent="0.25">
      <c r="G1029" s="85"/>
      <c r="H1029" s="85"/>
    </row>
    <row r="1030" spans="7:8" x14ac:dyDescent="0.25">
      <c r="G1030" s="85"/>
      <c r="H1030" s="85"/>
    </row>
    <row r="1031" spans="7:8" x14ac:dyDescent="0.25">
      <c r="G1031" s="85"/>
      <c r="H1031" s="85"/>
    </row>
    <row r="1032" spans="7:8" x14ac:dyDescent="0.25">
      <c r="G1032" s="85"/>
      <c r="H1032" s="85"/>
    </row>
    <row r="1033" spans="7:8" x14ac:dyDescent="0.25">
      <c r="G1033" s="85"/>
      <c r="H1033" s="85"/>
    </row>
    <row r="1034" spans="7:8" x14ac:dyDescent="0.25">
      <c r="G1034" s="85"/>
      <c r="H1034" s="85"/>
    </row>
    <row r="1035" spans="7:8" x14ac:dyDescent="0.25">
      <c r="G1035" s="85"/>
      <c r="H1035" s="85"/>
    </row>
    <row r="1036" spans="7:8" x14ac:dyDescent="0.25">
      <c r="G1036" s="85"/>
      <c r="H1036" s="85"/>
    </row>
    <row r="1037" spans="7:8" x14ac:dyDescent="0.25">
      <c r="G1037" s="85"/>
      <c r="H1037" s="85"/>
    </row>
    <row r="1038" spans="7:8" x14ac:dyDescent="0.25">
      <c r="G1038" s="85"/>
      <c r="H1038" s="85"/>
    </row>
    <row r="1039" spans="7:8" x14ac:dyDescent="0.25">
      <c r="G1039" s="85"/>
      <c r="H1039" s="85"/>
    </row>
    <row r="1040" spans="7:8" x14ac:dyDescent="0.25">
      <c r="G1040" s="85"/>
      <c r="H1040" s="85"/>
    </row>
    <row r="1041" spans="7:8" x14ac:dyDescent="0.25">
      <c r="G1041" s="85"/>
      <c r="H1041" s="85"/>
    </row>
    <row r="1042" spans="7:8" x14ac:dyDescent="0.25">
      <c r="G1042" s="85"/>
      <c r="H1042" s="85"/>
    </row>
    <row r="1043" spans="7:8" x14ac:dyDescent="0.25">
      <c r="G1043" s="85"/>
      <c r="H1043" s="85"/>
    </row>
    <row r="1044" spans="7:8" x14ac:dyDescent="0.25">
      <c r="G1044" s="85"/>
      <c r="H1044" s="85"/>
    </row>
    <row r="1045" spans="7:8" x14ac:dyDescent="0.25">
      <c r="G1045" s="85"/>
      <c r="H1045" s="85"/>
    </row>
    <row r="1046" spans="7:8" x14ac:dyDescent="0.25">
      <c r="G1046" s="85"/>
      <c r="H1046" s="85"/>
    </row>
    <row r="1047" spans="7:8" x14ac:dyDescent="0.25">
      <c r="G1047" s="85"/>
      <c r="H1047" s="85"/>
    </row>
    <row r="1048" spans="7:8" x14ac:dyDescent="0.25">
      <c r="G1048" s="85"/>
      <c r="H1048" s="85"/>
    </row>
    <row r="1049" spans="7:8" x14ac:dyDescent="0.25">
      <c r="G1049" s="85"/>
      <c r="H1049" s="85"/>
    </row>
    <row r="1050" spans="7:8" x14ac:dyDescent="0.25">
      <c r="G1050" s="85"/>
      <c r="H1050" s="85"/>
    </row>
    <row r="1051" spans="7:8" x14ac:dyDescent="0.25">
      <c r="G1051" s="85"/>
      <c r="H1051" s="85"/>
    </row>
    <row r="1052" spans="7:8" x14ac:dyDescent="0.25">
      <c r="G1052" s="85"/>
      <c r="H1052" s="85"/>
    </row>
    <row r="1053" spans="7:8" x14ac:dyDescent="0.25">
      <c r="G1053" s="85"/>
      <c r="H1053" s="85"/>
    </row>
    <row r="1054" spans="7:8" x14ac:dyDescent="0.25">
      <c r="G1054" s="85"/>
      <c r="H1054" s="85"/>
    </row>
    <row r="1055" spans="7:8" x14ac:dyDescent="0.25">
      <c r="G1055" s="85"/>
      <c r="H1055" s="85"/>
    </row>
    <row r="1056" spans="7:8" x14ac:dyDescent="0.25">
      <c r="G1056" s="85"/>
      <c r="H1056" s="85"/>
    </row>
    <row r="1057" spans="7:8" x14ac:dyDescent="0.25">
      <c r="G1057" s="85"/>
      <c r="H1057" s="85"/>
    </row>
    <row r="1058" spans="7:8" x14ac:dyDescent="0.25">
      <c r="G1058" s="85"/>
      <c r="H1058" s="85"/>
    </row>
    <row r="1059" spans="7:8" x14ac:dyDescent="0.25">
      <c r="G1059" s="85"/>
      <c r="H1059" s="85"/>
    </row>
    <row r="1060" spans="7:8" x14ac:dyDescent="0.25">
      <c r="G1060" s="85"/>
      <c r="H1060" s="85"/>
    </row>
    <row r="1061" spans="7:8" x14ac:dyDescent="0.25">
      <c r="G1061" s="85"/>
      <c r="H1061" s="85"/>
    </row>
    <row r="1062" spans="7:8" x14ac:dyDescent="0.25">
      <c r="G1062" s="85"/>
      <c r="H1062" s="85"/>
    </row>
    <row r="1063" spans="7:8" x14ac:dyDescent="0.25">
      <c r="G1063" s="85"/>
      <c r="H1063" s="85"/>
    </row>
    <row r="1064" spans="7:8" x14ac:dyDescent="0.25">
      <c r="G1064" s="85"/>
      <c r="H1064" s="85"/>
    </row>
    <row r="1065" spans="7:8" x14ac:dyDescent="0.25">
      <c r="G1065" s="85"/>
      <c r="H1065" s="85"/>
    </row>
    <row r="1066" spans="7:8" x14ac:dyDescent="0.25">
      <c r="G1066" s="85"/>
      <c r="H1066" s="85"/>
    </row>
    <row r="1067" spans="7:8" x14ac:dyDescent="0.25">
      <c r="G1067" s="85"/>
      <c r="H1067" s="85"/>
    </row>
    <row r="1068" spans="7:8" x14ac:dyDescent="0.25">
      <c r="G1068" s="85"/>
      <c r="H1068" s="85"/>
    </row>
    <row r="1069" spans="7:8" x14ac:dyDescent="0.25">
      <c r="G1069" s="85"/>
      <c r="H1069" s="85"/>
    </row>
    <row r="1070" spans="7:8" x14ac:dyDescent="0.25">
      <c r="G1070" s="85"/>
      <c r="H1070" s="85"/>
    </row>
    <row r="1071" spans="7:8" x14ac:dyDescent="0.25">
      <c r="G1071" s="85"/>
      <c r="H1071" s="85"/>
    </row>
    <row r="1072" spans="7:8" x14ac:dyDescent="0.25">
      <c r="G1072" s="85"/>
      <c r="H1072" s="85"/>
    </row>
    <row r="1073" spans="7:8" x14ac:dyDescent="0.25">
      <c r="G1073" s="85"/>
      <c r="H1073" s="85"/>
    </row>
    <row r="1074" spans="7:8" x14ac:dyDescent="0.25">
      <c r="G1074" s="85"/>
      <c r="H1074" s="85"/>
    </row>
    <row r="1075" spans="7:8" x14ac:dyDescent="0.25">
      <c r="G1075" s="85"/>
      <c r="H1075" s="85"/>
    </row>
    <row r="1076" spans="7:8" x14ac:dyDescent="0.25">
      <c r="G1076" s="85"/>
      <c r="H1076" s="85"/>
    </row>
    <row r="1077" spans="7:8" x14ac:dyDescent="0.25">
      <c r="G1077" s="85"/>
      <c r="H1077" s="85"/>
    </row>
    <row r="1078" spans="7:8" x14ac:dyDescent="0.25">
      <c r="G1078" s="85"/>
      <c r="H1078" s="85"/>
    </row>
    <row r="1079" spans="7:8" x14ac:dyDescent="0.25">
      <c r="G1079" s="85"/>
      <c r="H1079" s="85"/>
    </row>
    <row r="1080" spans="7:8" x14ac:dyDescent="0.25">
      <c r="G1080" s="85"/>
      <c r="H1080" s="85"/>
    </row>
    <row r="1081" spans="7:8" x14ac:dyDescent="0.25">
      <c r="G1081" s="85"/>
      <c r="H1081" s="85"/>
    </row>
    <row r="1082" spans="7:8" x14ac:dyDescent="0.25">
      <c r="G1082" s="85"/>
      <c r="H1082" s="85"/>
    </row>
    <row r="1083" spans="7:8" x14ac:dyDescent="0.25">
      <c r="G1083" s="85"/>
      <c r="H1083" s="85"/>
    </row>
    <row r="1084" spans="7:8" x14ac:dyDescent="0.25">
      <c r="G1084" s="85"/>
      <c r="H1084" s="85"/>
    </row>
    <row r="1085" spans="7:8" x14ac:dyDescent="0.25">
      <c r="G1085" s="85"/>
      <c r="H1085" s="85"/>
    </row>
    <row r="1086" spans="7:8" x14ac:dyDescent="0.25">
      <c r="G1086" s="85"/>
      <c r="H1086" s="85"/>
    </row>
    <row r="1087" spans="7:8" x14ac:dyDescent="0.25">
      <c r="G1087" s="85"/>
      <c r="H1087" s="85"/>
    </row>
    <row r="1088" spans="7:8" x14ac:dyDescent="0.25">
      <c r="G1088" s="85"/>
      <c r="H1088" s="85"/>
    </row>
    <row r="1089" spans="7:8" x14ac:dyDescent="0.25">
      <c r="G1089" s="85"/>
      <c r="H1089" s="85"/>
    </row>
    <row r="1090" spans="7:8" x14ac:dyDescent="0.25">
      <c r="G1090" s="85"/>
      <c r="H1090" s="85"/>
    </row>
    <row r="1091" spans="7:8" x14ac:dyDescent="0.25">
      <c r="G1091" s="85"/>
      <c r="H1091" s="85"/>
    </row>
    <row r="1092" spans="7:8" x14ac:dyDescent="0.25">
      <c r="G1092" s="85"/>
      <c r="H1092" s="85"/>
    </row>
    <row r="1093" spans="7:8" x14ac:dyDescent="0.25">
      <c r="G1093" s="85"/>
      <c r="H1093" s="85"/>
    </row>
    <row r="1094" spans="7:8" x14ac:dyDescent="0.25">
      <c r="G1094" s="85"/>
      <c r="H1094" s="85"/>
    </row>
    <row r="1095" spans="7:8" x14ac:dyDescent="0.25">
      <c r="G1095" s="85"/>
      <c r="H1095" s="85"/>
    </row>
    <row r="1096" spans="7:8" x14ac:dyDescent="0.25">
      <c r="G1096" s="85"/>
      <c r="H1096" s="85"/>
    </row>
    <row r="1097" spans="7:8" x14ac:dyDescent="0.25">
      <c r="G1097" s="85"/>
      <c r="H1097" s="85"/>
    </row>
    <row r="1098" spans="7:8" x14ac:dyDescent="0.25">
      <c r="G1098" s="85"/>
      <c r="H1098" s="85"/>
    </row>
    <row r="1099" spans="7:8" x14ac:dyDescent="0.25">
      <c r="G1099" s="85"/>
      <c r="H1099" s="85"/>
    </row>
    <row r="1100" spans="7:8" x14ac:dyDescent="0.25">
      <c r="G1100" s="85"/>
      <c r="H1100" s="85"/>
    </row>
    <row r="1101" spans="7:8" x14ac:dyDescent="0.25">
      <c r="G1101" s="85"/>
      <c r="H1101" s="85"/>
    </row>
    <row r="1102" spans="7:8" x14ac:dyDescent="0.25">
      <c r="G1102" s="85"/>
      <c r="H1102" s="85"/>
    </row>
    <row r="1103" spans="7:8" x14ac:dyDescent="0.25">
      <c r="G1103" s="85"/>
      <c r="H1103" s="85"/>
    </row>
    <row r="1104" spans="7:8" x14ac:dyDescent="0.25">
      <c r="G1104" s="85"/>
      <c r="H1104" s="85"/>
    </row>
    <row r="1105" spans="7:8" x14ac:dyDescent="0.25">
      <c r="G1105" s="85"/>
      <c r="H1105" s="85"/>
    </row>
    <row r="1106" spans="7:8" x14ac:dyDescent="0.25">
      <c r="G1106" s="85"/>
      <c r="H1106" s="85"/>
    </row>
    <row r="1107" spans="7:8" x14ac:dyDescent="0.25">
      <c r="G1107" s="85"/>
      <c r="H1107" s="85"/>
    </row>
    <row r="1108" spans="7:8" x14ac:dyDescent="0.25">
      <c r="G1108" s="85"/>
      <c r="H1108" s="85"/>
    </row>
    <row r="1109" spans="7:8" x14ac:dyDescent="0.25">
      <c r="G1109" s="85"/>
      <c r="H1109" s="85"/>
    </row>
    <row r="1110" spans="7:8" x14ac:dyDescent="0.25">
      <c r="G1110" s="85"/>
      <c r="H1110" s="85"/>
    </row>
    <row r="1111" spans="7:8" x14ac:dyDescent="0.25">
      <c r="G1111" s="85"/>
      <c r="H1111" s="85"/>
    </row>
    <row r="1112" spans="7:8" x14ac:dyDescent="0.25">
      <c r="G1112" s="85"/>
      <c r="H1112" s="85"/>
    </row>
    <row r="1113" spans="7:8" x14ac:dyDescent="0.25">
      <c r="G1113" s="85"/>
      <c r="H1113" s="85"/>
    </row>
    <row r="1114" spans="7:8" x14ac:dyDescent="0.25">
      <c r="G1114" s="85"/>
      <c r="H1114" s="85"/>
    </row>
    <row r="1115" spans="7:8" x14ac:dyDescent="0.25">
      <c r="G1115" s="85"/>
      <c r="H1115" s="85"/>
    </row>
    <row r="1116" spans="7:8" x14ac:dyDescent="0.25">
      <c r="G1116" s="85"/>
      <c r="H1116" s="85"/>
    </row>
    <row r="1117" spans="7:8" x14ac:dyDescent="0.25">
      <c r="G1117" s="85"/>
      <c r="H1117" s="85"/>
    </row>
    <row r="1118" spans="7:8" x14ac:dyDescent="0.25">
      <c r="G1118" s="85"/>
      <c r="H1118" s="85"/>
    </row>
    <row r="1119" spans="7:8" x14ac:dyDescent="0.25">
      <c r="G1119" s="85"/>
      <c r="H1119" s="85"/>
    </row>
    <row r="1120" spans="7:8" x14ac:dyDescent="0.25">
      <c r="G1120" s="85"/>
      <c r="H1120" s="85"/>
    </row>
    <row r="1121" spans="7:8" x14ac:dyDescent="0.25">
      <c r="G1121" s="85"/>
      <c r="H1121" s="85"/>
    </row>
    <row r="1122" spans="7:8" x14ac:dyDescent="0.25">
      <c r="G1122" s="85"/>
      <c r="H1122" s="85"/>
    </row>
    <row r="1123" spans="7:8" x14ac:dyDescent="0.25">
      <c r="G1123" s="85"/>
      <c r="H1123" s="85"/>
    </row>
    <row r="1124" spans="7:8" x14ac:dyDescent="0.25">
      <c r="G1124" s="85"/>
      <c r="H1124" s="85"/>
    </row>
    <row r="1125" spans="7:8" x14ac:dyDescent="0.25">
      <c r="G1125" s="85"/>
      <c r="H1125" s="85"/>
    </row>
    <row r="1126" spans="7:8" x14ac:dyDescent="0.25">
      <c r="G1126" s="85"/>
      <c r="H1126" s="85"/>
    </row>
    <row r="1127" spans="7:8" x14ac:dyDescent="0.25">
      <c r="G1127" s="85"/>
      <c r="H1127" s="85"/>
    </row>
    <row r="1128" spans="7:8" x14ac:dyDescent="0.25">
      <c r="G1128" s="85"/>
      <c r="H1128" s="85"/>
    </row>
    <row r="1129" spans="7:8" x14ac:dyDescent="0.25">
      <c r="G1129" s="85"/>
      <c r="H1129" s="85"/>
    </row>
    <row r="1130" spans="7:8" x14ac:dyDescent="0.25">
      <c r="G1130" s="85"/>
      <c r="H1130" s="85"/>
    </row>
    <row r="1131" spans="7:8" x14ac:dyDescent="0.25">
      <c r="G1131" s="85"/>
      <c r="H1131" s="85"/>
    </row>
    <row r="1132" spans="7:8" x14ac:dyDescent="0.25">
      <c r="G1132" s="85"/>
      <c r="H1132" s="85"/>
    </row>
    <row r="1133" spans="7:8" x14ac:dyDescent="0.25">
      <c r="G1133" s="85"/>
      <c r="H1133" s="85"/>
    </row>
    <row r="1134" spans="7:8" x14ac:dyDescent="0.25">
      <c r="G1134" s="85"/>
      <c r="H1134" s="85"/>
    </row>
    <row r="1135" spans="7:8" x14ac:dyDescent="0.25">
      <c r="G1135" s="85"/>
      <c r="H1135" s="85"/>
    </row>
    <row r="1136" spans="7:8" x14ac:dyDescent="0.25">
      <c r="G1136" s="85"/>
      <c r="H1136" s="85"/>
    </row>
    <row r="1137" spans="7:8" x14ac:dyDescent="0.25">
      <c r="G1137" s="85"/>
      <c r="H1137" s="85"/>
    </row>
    <row r="1138" spans="7:8" x14ac:dyDescent="0.25">
      <c r="G1138" s="85"/>
      <c r="H1138" s="85"/>
    </row>
    <row r="1139" spans="7:8" x14ac:dyDescent="0.25">
      <c r="G1139" s="85"/>
      <c r="H1139" s="85"/>
    </row>
    <row r="1140" spans="7:8" x14ac:dyDescent="0.25">
      <c r="G1140" s="85"/>
      <c r="H1140" s="85"/>
    </row>
    <row r="1141" spans="7:8" x14ac:dyDescent="0.25">
      <c r="G1141" s="85"/>
      <c r="H1141" s="85"/>
    </row>
    <row r="1142" spans="7:8" x14ac:dyDescent="0.25">
      <c r="G1142" s="85"/>
      <c r="H1142" s="85"/>
    </row>
    <row r="1143" spans="7:8" x14ac:dyDescent="0.25">
      <c r="G1143" s="85"/>
      <c r="H1143" s="85"/>
    </row>
    <row r="1144" spans="7:8" x14ac:dyDescent="0.25">
      <c r="G1144" s="85"/>
      <c r="H1144" s="85"/>
    </row>
    <row r="1145" spans="7:8" x14ac:dyDescent="0.25">
      <c r="G1145" s="85"/>
      <c r="H1145" s="85"/>
    </row>
    <row r="1146" spans="7:8" x14ac:dyDescent="0.25">
      <c r="G1146" s="85"/>
      <c r="H1146" s="85"/>
    </row>
    <row r="1147" spans="7:8" x14ac:dyDescent="0.25">
      <c r="G1147" s="85"/>
      <c r="H1147" s="85"/>
    </row>
    <row r="1148" spans="7:8" x14ac:dyDescent="0.25">
      <c r="G1148" s="85"/>
      <c r="H1148" s="85"/>
    </row>
    <row r="1149" spans="7:8" x14ac:dyDescent="0.25">
      <c r="G1149" s="85"/>
      <c r="H1149" s="85"/>
    </row>
    <row r="1150" spans="7:8" x14ac:dyDescent="0.25">
      <c r="G1150" s="85"/>
      <c r="H1150" s="85"/>
    </row>
    <row r="1151" spans="7:8" x14ac:dyDescent="0.25">
      <c r="G1151" s="85"/>
      <c r="H1151" s="85"/>
    </row>
    <row r="1152" spans="7:8" x14ac:dyDescent="0.25">
      <c r="G1152" s="85"/>
      <c r="H1152" s="85"/>
    </row>
    <row r="1153" spans="7:8" x14ac:dyDescent="0.25">
      <c r="G1153" s="85"/>
      <c r="H1153" s="85"/>
    </row>
    <row r="1154" spans="7:8" x14ac:dyDescent="0.25">
      <c r="G1154" s="85"/>
      <c r="H1154" s="85"/>
    </row>
    <row r="1155" spans="7:8" x14ac:dyDescent="0.25">
      <c r="G1155" s="85"/>
      <c r="H1155" s="85"/>
    </row>
    <row r="1156" spans="7:8" x14ac:dyDescent="0.25">
      <c r="G1156" s="85"/>
      <c r="H1156" s="85"/>
    </row>
    <row r="1157" spans="7:8" x14ac:dyDescent="0.25">
      <c r="G1157" s="85"/>
      <c r="H1157" s="85"/>
    </row>
    <row r="1158" spans="7:8" x14ac:dyDescent="0.25">
      <c r="G1158" s="85"/>
      <c r="H1158" s="85"/>
    </row>
    <row r="1159" spans="7:8" x14ac:dyDescent="0.25">
      <c r="G1159" s="85"/>
      <c r="H1159" s="85"/>
    </row>
    <row r="1160" spans="7:8" x14ac:dyDescent="0.25">
      <c r="G1160" s="85"/>
      <c r="H1160" s="85"/>
    </row>
    <row r="1161" spans="7:8" x14ac:dyDescent="0.25">
      <c r="G1161" s="85"/>
      <c r="H1161" s="85"/>
    </row>
    <row r="1162" spans="7:8" x14ac:dyDescent="0.25">
      <c r="G1162" s="85"/>
      <c r="H1162" s="85"/>
    </row>
    <row r="1163" spans="7:8" x14ac:dyDescent="0.25">
      <c r="G1163" s="85"/>
      <c r="H1163" s="85"/>
    </row>
    <row r="1164" spans="7:8" x14ac:dyDescent="0.25">
      <c r="G1164" s="85"/>
      <c r="H1164" s="85"/>
    </row>
    <row r="1165" spans="7:8" x14ac:dyDescent="0.25">
      <c r="G1165" s="85"/>
      <c r="H1165" s="85"/>
    </row>
    <row r="1166" spans="7:8" x14ac:dyDescent="0.25">
      <c r="G1166" s="85"/>
      <c r="H1166" s="85"/>
    </row>
    <row r="1167" spans="7:8" x14ac:dyDescent="0.25">
      <c r="G1167" s="85"/>
      <c r="H1167" s="85"/>
    </row>
    <row r="1168" spans="7:8" x14ac:dyDescent="0.25">
      <c r="G1168" s="85"/>
      <c r="H1168" s="85"/>
    </row>
    <row r="1169" spans="7:8" x14ac:dyDescent="0.25">
      <c r="G1169" s="85"/>
      <c r="H1169" s="85"/>
    </row>
    <row r="1170" spans="7:8" x14ac:dyDescent="0.25">
      <c r="G1170" s="85"/>
      <c r="H1170" s="85"/>
    </row>
    <row r="1171" spans="7:8" x14ac:dyDescent="0.25">
      <c r="G1171" s="85"/>
      <c r="H1171" s="85"/>
    </row>
    <row r="1172" spans="7:8" x14ac:dyDescent="0.25">
      <c r="G1172" s="85"/>
      <c r="H1172" s="85"/>
    </row>
    <row r="1173" spans="7:8" x14ac:dyDescent="0.25">
      <c r="G1173" s="85"/>
      <c r="H1173" s="85"/>
    </row>
    <row r="1174" spans="7:8" x14ac:dyDescent="0.25">
      <c r="G1174" s="85"/>
      <c r="H1174" s="85"/>
    </row>
    <row r="1175" spans="7:8" x14ac:dyDescent="0.25">
      <c r="G1175" s="85"/>
      <c r="H1175" s="85"/>
    </row>
    <row r="1176" spans="7:8" x14ac:dyDescent="0.25">
      <c r="G1176" s="85"/>
      <c r="H1176" s="85"/>
    </row>
    <row r="1177" spans="7:8" x14ac:dyDescent="0.25">
      <c r="G1177" s="85"/>
      <c r="H1177" s="85"/>
    </row>
    <row r="1178" spans="7:8" x14ac:dyDescent="0.25">
      <c r="G1178" s="85"/>
      <c r="H1178" s="85"/>
    </row>
    <row r="1179" spans="7:8" x14ac:dyDescent="0.25">
      <c r="G1179" s="85"/>
      <c r="H1179" s="85"/>
    </row>
    <row r="1180" spans="7:8" x14ac:dyDescent="0.25">
      <c r="G1180" s="85"/>
      <c r="H1180" s="85"/>
    </row>
    <row r="1181" spans="7:8" x14ac:dyDescent="0.25">
      <c r="G1181" s="85"/>
      <c r="H1181" s="85"/>
    </row>
    <row r="1182" spans="7:8" x14ac:dyDescent="0.25">
      <c r="G1182" s="85"/>
      <c r="H1182" s="85"/>
    </row>
    <row r="1183" spans="7:8" x14ac:dyDescent="0.25">
      <c r="G1183" s="85"/>
      <c r="H1183" s="85"/>
    </row>
    <row r="1184" spans="7:8" x14ac:dyDescent="0.25">
      <c r="G1184" s="85"/>
      <c r="H1184" s="85"/>
    </row>
    <row r="1185" spans="7:8" x14ac:dyDescent="0.25">
      <c r="G1185" s="85"/>
      <c r="H1185" s="85"/>
    </row>
    <row r="1186" spans="7:8" x14ac:dyDescent="0.25">
      <c r="G1186" s="85"/>
      <c r="H1186" s="85"/>
    </row>
    <row r="1187" spans="7:8" x14ac:dyDescent="0.25">
      <c r="G1187" s="85"/>
      <c r="H1187" s="85"/>
    </row>
    <row r="1188" spans="7:8" x14ac:dyDescent="0.25">
      <c r="G1188" s="85"/>
      <c r="H1188" s="85"/>
    </row>
    <row r="1189" spans="7:8" x14ac:dyDescent="0.25">
      <c r="G1189" s="85"/>
      <c r="H1189" s="85"/>
    </row>
    <row r="1190" spans="7:8" x14ac:dyDescent="0.25">
      <c r="G1190" s="85"/>
      <c r="H1190" s="85"/>
    </row>
    <row r="1191" spans="7:8" x14ac:dyDescent="0.25">
      <c r="G1191" s="85"/>
      <c r="H1191" s="85"/>
    </row>
    <row r="1192" spans="7:8" x14ac:dyDescent="0.25">
      <c r="G1192" s="85"/>
      <c r="H1192" s="85"/>
    </row>
    <row r="1193" spans="7:8" x14ac:dyDescent="0.25">
      <c r="G1193" s="85"/>
      <c r="H1193" s="85"/>
    </row>
    <row r="1194" spans="7:8" x14ac:dyDescent="0.25">
      <c r="G1194" s="85"/>
      <c r="H1194" s="85"/>
    </row>
    <row r="1195" spans="7:8" x14ac:dyDescent="0.25">
      <c r="G1195" s="85"/>
      <c r="H1195" s="85"/>
    </row>
    <row r="1196" spans="7:8" x14ac:dyDescent="0.25">
      <c r="G1196" s="85"/>
      <c r="H1196" s="85"/>
    </row>
    <row r="1197" spans="7:8" x14ac:dyDescent="0.25">
      <c r="G1197" s="85"/>
      <c r="H1197" s="85"/>
    </row>
    <row r="1198" spans="7:8" x14ac:dyDescent="0.25">
      <c r="G1198" s="85"/>
      <c r="H1198" s="85"/>
    </row>
    <row r="1199" spans="7:8" x14ac:dyDescent="0.25">
      <c r="G1199" s="85"/>
      <c r="H1199" s="85"/>
    </row>
    <row r="1200" spans="7:8" x14ac:dyDescent="0.25">
      <c r="G1200" s="85"/>
      <c r="H1200" s="85"/>
    </row>
    <row r="1201" spans="7:8" x14ac:dyDescent="0.25">
      <c r="G1201" s="85"/>
      <c r="H1201" s="85"/>
    </row>
    <row r="1202" spans="7:8" x14ac:dyDescent="0.25">
      <c r="G1202" s="85"/>
      <c r="H1202" s="85"/>
    </row>
    <row r="1203" spans="7:8" x14ac:dyDescent="0.25">
      <c r="G1203" s="85"/>
      <c r="H1203" s="85"/>
    </row>
    <row r="1204" spans="7:8" x14ac:dyDescent="0.25">
      <c r="G1204" s="85"/>
      <c r="H1204" s="85"/>
    </row>
    <row r="1205" spans="7:8" x14ac:dyDescent="0.25">
      <c r="G1205" s="85"/>
      <c r="H1205" s="85"/>
    </row>
    <row r="1206" spans="7:8" x14ac:dyDescent="0.25">
      <c r="G1206" s="85"/>
      <c r="H1206" s="85"/>
    </row>
    <row r="1207" spans="7:8" x14ac:dyDescent="0.25">
      <c r="G1207" s="85"/>
      <c r="H1207" s="85"/>
    </row>
    <row r="1208" spans="7:8" x14ac:dyDescent="0.25">
      <c r="G1208" s="85"/>
      <c r="H1208" s="85"/>
    </row>
    <row r="1209" spans="7:8" x14ac:dyDescent="0.25">
      <c r="G1209" s="85"/>
      <c r="H1209" s="85"/>
    </row>
    <row r="1210" spans="7:8" x14ac:dyDescent="0.25">
      <c r="G1210" s="85"/>
      <c r="H1210" s="85"/>
    </row>
    <row r="1211" spans="7:8" x14ac:dyDescent="0.25">
      <c r="G1211" s="85"/>
      <c r="H1211" s="85"/>
    </row>
    <row r="1212" spans="7:8" x14ac:dyDescent="0.25">
      <c r="G1212" s="85"/>
      <c r="H1212" s="85"/>
    </row>
    <row r="1213" spans="7:8" x14ac:dyDescent="0.25">
      <c r="G1213" s="85"/>
      <c r="H1213" s="85"/>
    </row>
    <row r="1214" spans="7:8" x14ac:dyDescent="0.25">
      <c r="G1214" s="85"/>
      <c r="H1214" s="85"/>
    </row>
    <row r="1215" spans="7:8" x14ac:dyDescent="0.25">
      <c r="G1215" s="85"/>
      <c r="H1215" s="85"/>
    </row>
    <row r="1216" spans="7:8" x14ac:dyDescent="0.25">
      <c r="G1216" s="85"/>
      <c r="H1216" s="85"/>
    </row>
    <row r="1217" spans="7:8" x14ac:dyDescent="0.25">
      <c r="G1217" s="85"/>
      <c r="H1217" s="85"/>
    </row>
    <row r="1218" spans="7:8" x14ac:dyDescent="0.25">
      <c r="G1218" s="85"/>
      <c r="H1218" s="85"/>
    </row>
    <row r="1219" spans="7:8" x14ac:dyDescent="0.25">
      <c r="G1219" s="85"/>
      <c r="H1219" s="85"/>
    </row>
    <row r="1220" spans="7:8" x14ac:dyDescent="0.25">
      <c r="G1220" s="85"/>
      <c r="H1220" s="85"/>
    </row>
    <row r="1221" spans="7:8" x14ac:dyDescent="0.25">
      <c r="G1221" s="85"/>
      <c r="H1221" s="85"/>
    </row>
    <row r="1222" spans="7:8" x14ac:dyDescent="0.25">
      <c r="G1222" s="85"/>
      <c r="H1222" s="85"/>
    </row>
    <row r="1223" spans="7:8" x14ac:dyDescent="0.25">
      <c r="G1223" s="85"/>
      <c r="H1223" s="85"/>
    </row>
    <row r="1224" spans="7:8" x14ac:dyDescent="0.25">
      <c r="G1224" s="85"/>
      <c r="H1224" s="85"/>
    </row>
    <row r="1225" spans="7:8" x14ac:dyDescent="0.25">
      <c r="G1225" s="85"/>
      <c r="H1225" s="85"/>
    </row>
    <row r="1226" spans="7:8" x14ac:dyDescent="0.25">
      <c r="G1226" s="85"/>
      <c r="H1226" s="85"/>
    </row>
    <row r="1227" spans="7:8" x14ac:dyDescent="0.25">
      <c r="G1227" s="85"/>
      <c r="H1227" s="85"/>
    </row>
    <row r="1228" spans="7:8" x14ac:dyDescent="0.25">
      <c r="G1228" s="85"/>
      <c r="H1228" s="85"/>
    </row>
    <row r="1229" spans="7:8" x14ac:dyDescent="0.25">
      <c r="G1229" s="85"/>
      <c r="H1229" s="85"/>
    </row>
    <row r="1230" spans="7:8" x14ac:dyDescent="0.25">
      <c r="G1230" s="85"/>
      <c r="H1230" s="85"/>
    </row>
    <row r="1231" spans="7:8" x14ac:dyDescent="0.25">
      <c r="G1231" s="85"/>
      <c r="H1231" s="85"/>
    </row>
    <row r="1232" spans="7:8" x14ac:dyDescent="0.25">
      <c r="G1232" s="85"/>
      <c r="H1232" s="85"/>
    </row>
    <row r="1233" spans="7:8" x14ac:dyDescent="0.25">
      <c r="G1233" s="85"/>
      <c r="H1233" s="85"/>
    </row>
    <row r="1234" spans="7:8" x14ac:dyDescent="0.25">
      <c r="G1234" s="85"/>
      <c r="H1234" s="85"/>
    </row>
    <row r="1235" spans="7:8" x14ac:dyDescent="0.25">
      <c r="G1235" s="85"/>
      <c r="H1235" s="85"/>
    </row>
    <row r="1236" spans="7:8" x14ac:dyDescent="0.25">
      <c r="G1236" s="85"/>
      <c r="H1236" s="85"/>
    </row>
    <row r="1237" spans="7:8" x14ac:dyDescent="0.25">
      <c r="G1237" s="85"/>
      <c r="H1237" s="85"/>
    </row>
    <row r="1238" spans="7:8" x14ac:dyDescent="0.25">
      <c r="G1238" s="85"/>
      <c r="H1238" s="85"/>
    </row>
    <row r="1239" spans="7:8" x14ac:dyDescent="0.25">
      <c r="G1239" s="85"/>
      <c r="H1239" s="85"/>
    </row>
    <row r="1240" spans="7:8" x14ac:dyDescent="0.25">
      <c r="G1240" s="85"/>
      <c r="H1240" s="85"/>
    </row>
    <row r="1241" spans="7:8" x14ac:dyDescent="0.25">
      <c r="G1241" s="85"/>
      <c r="H1241" s="85"/>
    </row>
    <row r="1242" spans="7:8" x14ac:dyDescent="0.25">
      <c r="G1242" s="85"/>
      <c r="H1242" s="85"/>
    </row>
    <row r="1243" spans="7:8" x14ac:dyDescent="0.25">
      <c r="G1243" s="85"/>
      <c r="H1243" s="85"/>
    </row>
    <row r="1244" spans="7:8" x14ac:dyDescent="0.25">
      <c r="G1244" s="85"/>
      <c r="H1244" s="85"/>
    </row>
    <row r="1245" spans="7:8" x14ac:dyDescent="0.25">
      <c r="G1245" s="85"/>
      <c r="H1245" s="85"/>
    </row>
    <row r="1246" spans="7:8" x14ac:dyDescent="0.25">
      <c r="G1246" s="85"/>
      <c r="H1246" s="85"/>
    </row>
    <row r="1247" spans="7:8" x14ac:dyDescent="0.25">
      <c r="G1247" s="85"/>
      <c r="H1247" s="85"/>
    </row>
    <row r="1248" spans="7:8" x14ac:dyDescent="0.25">
      <c r="G1248" s="85"/>
      <c r="H1248" s="85"/>
    </row>
    <row r="1249" spans="7:8" x14ac:dyDescent="0.25">
      <c r="G1249" s="85"/>
      <c r="H1249" s="85"/>
    </row>
    <row r="1250" spans="7:8" x14ac:dyDescent="0.25">
      <c r="G1250" s="85"/>
      <c r="H1250" s="85"/>
    </row>
    <row r="1251" spans="7:8" x14ac:dyDescent="0.25">
      <c r="G1251" s="85"/>
      <c r="H1251" s="85"/>
    </row>
    <row r="1252" spans="7:8" x14ac:dyDescent="0.25">
      <c r="G1252" s="85"/>
      <c r="H1252" s="85"/>
    </row>
    <row r="1253" spans="7:8" x14ac:dyDescent="0.25">
      <c r="G1253" s="85"/>
      <c r="H1253" s="85"/>
    </row>
    <row r="1254" spans="7:8" x14ac:dyDescent="0.25">
      <c r="G1254" s="85"/>
      <c r="H1254" s="85"/>
    </row>
    <row r="1255" spans="7:8" x14ac:dyDescent="0.25">
      <c r="G1255" s="85"/>
      <c r="H1255" s="85"/>
    </row>
    <row r="1256" spans="7:8" x14ac:dyDescent="0.25">
      <c r="G1256" s="85"/>
      <c r="H1256" s="85"/>
    </row>
    <row r="1257" spans="7:8" x14ac:dyDescent="0.25">
      <c r="G1257" s="85"/>
      <c r="H1257" s="85"/>
    </row>
    <row r="1258" spans="7:8" x14ac:dyDescent="0.25">
      <c r="G1258" s="85"/>
      <c r="H1258" s="85"/>
    </row>
    <row r="1259" spans="7:8" x14ac:dyDescent="0.25">
      <c r="G1259" s="85"/>
      <c r="H1259" s="85"/>
    </row>
    <row r="1260" spans="7:8" x14ac:dyDescent="0.25">
      <c r="G1260" s="85"/>
      <c r="H1260" s="85"/>
    </row>
    <row r="1261" spans="7:8" x14ac:dyDescent="0.25">
      <c r="G1261" s="85"/>
      <c r="H1261" s="85"/>
    </row>
    <row r="1262" spans="7:8" x14ac:dyDescent="0.25">
      <c r="G1262" s="85"/>
      <c r="H1262" s="85"/>
    </row>
    <row r="1263" spans="7:8" x14ac:dyDescent="0.25">
      <c r="G1263" s="85"/>
      <c r="H1263" s="85"/>
    </row>
    <row r="1264" spans="7:8" x14ac:dyDescent="0.25">
      <c r="G1264" s="85"/>
      <c r="H1264" s="85"/>
    </row>
    <row r="1265" spans="7:8" x14ac:dyDescent="0.25">
      <c r="G1265" s="85"/>
      <c r="H1265" s="85"/>
    </row>
    <row r="1266" spans="7:8" x14ac:dyDescent="0.25">
      <c r="G1266" s="85"/>
      <c r="H1266" s="85"/>
    </row>
    <row r="1267" spans="7:8" x14ac:dyDescent="0.25">
      <c r="G1267" s="85"/>
      <c r="H1267" s="85"/>
    </row>
    <row r="1268" spans="7:8" x14ac:dyDescent="0.25">
      <c r="G1268" s="85"/>
      <c r="H1268" s="85"/>
    </row>
    <row r="1269" spans="7:8" x14ac:dyDescent="0.25">
      <c r="G1269" s="85"/>
      <c r="H1269" s="85"/>
    </row>
    <row r="1270" spans="7:8" x14ac:dyDescent="0.25">
      <c r="G1270" s="85"/>
      <c r="H1270" s="85"/>
    </row>
    <row r="1271" spans="7:8" x14ac:dyDescent="0.25">
      <c r="G1271" s="85"/>
      <c r="H1271" s="85"/>
    </row>
    <row r="1272" spans="7:8" x14ac:dyDescent="0.25">
      <c r="G1272" s="85"/>
      <c r="H1272" s="85"/>
    </row>
    <row r="1273" spans="7:8" x14ac:dyDescent="0.25">
      <c r="G1273" s="85"/>
      <c r="H1273" s="85"/>
    </row>
    <row r="1274" spans="7:8" x14ac:dyDescent="0.25">
      <c r="G1274" s="85"/>
      <c r="H1274" s="85"/>
    </row>
    <row r="1275" spans="7:8" x14ac:dyDescent="0.25">
      <c r="G1275" s="85"/>
      <c r="H1275" s="85"/>
    </row>
    <row r="1276" spans="7:8" x14ac:dyDescent="0.25">
      <c r="G1276" s="85"/>
      <c r="H1276" s="85"/>
    </row>
    <row r="1277" spans="7:8" x14ac:dyDescent="0.25">
      <c r="G1277" s="85"/>
      <c r="H1277" s="85"/>
    </row>
    <row r="1278" spans="7:8" x14ac:dyDescent="0.25">
      <c r="G1278" s="85"/>
      <c r="H1278" s="85"/>
    </row>
    <row r="1279" spans="7:8" x14ac:dyDescent="0.25">
      <c r="G1279" s="85"/>
      <c r="H1279" s="85"/>
    </row>
    <row r="1280" spans="7:8" x14ac:dyDescent="0.25">
      <c r="G1280" s="85"/>
      <c r="H1280" s="85"/>
    </row>
    <row r="1281" spans="7:8" x14ac:dyDescent="0.25">
      <c r="G1281" s="85"/>
      <c r="H1281" s="85"/>
    </row>
    <row r="1282" spans="7:8" x14ac:dyDescent="0.25">
      <c r="G1282" s="85"/>
      <c r="H1282" s="85"/>
    </row>
    <row r="1283" spans="7:8" x14ac:dyDescent="0.25">
      <c r="G1283" s="85"/>
      <c r="H1283" s="85"/>
    </row>
    <row r="1284" spans="7:8" x14ac:dyDescent="0.25">
      <c r="G1284" s="85"/>
      <c r="H1284" s="85"/>
    </row>
    <row r="1285" spans="7:8" x14ac:dyDescent="0.25">
      <c r="G1285" s="85"/>
      <c r="H1285" s="85"/>
    </row>
    <row r="1286" spans="7:8" x14ac:dyDescent="0.25">
      <c r="G1286" s="85"/>
      <c r="H1286" s="85"/>
    </row>
    <row r="1287" spans="7:8" x14ac:dyDescent="0.25">
      <c r="G1287" s="85"/>
      <c r="H1287" s="85"/>
    </row>
    <row r="1288" spans="7:8" x14ac:dyDescent="0.25">
      <c r="G1288" s="85"/>
      <c r="H1288" s="85"/>
    </row>
    <row r="1289" spans="7:8" x14ac:dyDescent="0.25">
      <c r="G1289" s="85"/>
      <c r="H1289" s="85"/>
    </row>
    <row r="1290" spans="7:8" x14ac:dyDescent="0.25">
      <c r="G1290" s="85"/>
      <c r="H1290" s="85"/>
    </row>
    <row r="1291" spans="7:8" x14ac:dyDescent="0.25">
      <c r="G1291" s="85"/>
      <c r="H1291" s="85"/>
    </row>
    <row r="1292" spans="7:8" x14ac:dyDescent="0.25">
      <c r="G1292" s="85"/>
      <c r="H1292" s="85"/>
    </row>
    <row r="1293" spans="7:8" x14ac:dyDescent="0.25">
      <c r="G1293" s="85"/>
      <c r="H1293" s="85"/>
    </row>
    <row r="1294" spans="7:8" x14ac:dyDescent="0.25">
      <c r="G1294" s="85"/>
      <c r="H1294" s="85"/>
    </row>
    <row r="1295" spans="7:8" x14ac:dyDescent="0.25">
      <c r="G1295" s="85"/>
      <c r="H1295" s="85"/>
    </row>
    <row r="1296" spans="7:8" x14ac:dyDescent="0.25">
      <c r="G1296" s="85"/>
      <c r="H1296" s="85"/>
    </row>
    <row r="1297" spans="7:8" x14ac:dyDescent="0.25">
      <c r="G1297" s="85"/>
      <c r="H1297" s="85"/>
    </row>
    <row r="1298" spans="7:8" x14ac:dyDescent="0.25">
      <c r="G1298" s="85"/>
      <c r="H1298" s="85"/>
    </row>
    <row r="1299" spans="7:8" x14ac:dyDescent="0.25">
      <c r="G1299" s="85"/>
      <c r="H1299" s="85"/>
    </row>
    <row r="1300" spans="7:8" x14ac:dyDescent="0.25">
      <c r="G1300" s="85"/>
      <c r="H1300" s="85"/>
    </row>
    <row r="1301" spans="7:8" x14ac:dyDescent="0.25">
      <c r="G1301" s="85"/>
      <c r="H1301" s="85"/>
    </row>
    <row r="1302" spans="7:8" x14ac:dyDescent="0.25">
      <c r="G1302" s="85"/>
      <c r="H1302" s="85"/>
    </row>
    <row r="1303" spans="7:8" x14ac:dyDescent="0.25">
      <c r="G1303" s="85"/>
      <c r="H1303" s="85"/>
    </row>
    <row r="1304" spans="7:8" x14ac:dyDescent="0.25">
      <c r="G1304" s="85"/>
      <c r="H1304" s="85"/>
    </row>
    <row r="1305" spans="7:8" x14ac:dyDescent="0.25">
      <c r="G1305" s="85"/>
      <c r="H1305" s="85"/>
    </row>
    <row r="1306" spans="7:8" x14ac:dyDescent="0.25">
      <c r="G1306" s="85"/>
      <c r="H1306" s="85"/>
    </row>
    <row r="1307" spans="7:8" x14ac:dyDescent="0.25">
      <c r="G1307" s="85"/>
      <c r="H1307" s="85"/>
    </row>
    <row r="1308" spans="7:8" x14ac:dyDescent="0.25">
      <c r="G1308" s="85"/>
      <c r="H1308" s="85"/>
    </row>
    <row r="1309" spans="7:8" x14ac:dyDescent="0.25">
      <c r="G1309" s="85"/>
      <c r="H1309" s="85"/>
    </row>
    <row r="1310" spans="7:8" x14ac:dyDescent="0.25">
      <c r="G1310" s="85"/>
      <c r="H1310" s="85"/>
    </row>
    <row r="1311" spans="7:8" x14ac:dyDescent="0.25">
      <c r="G1311" s="85"/>
      <c r="H1311" s="85"/>
    </row>
    <row r="1312" spans="7:8" x14ac:dyDescent="0.25">
      <c r="G1312" s="85"/>
      <c r="H1312" s="85"/>
    </row>
    <row r="1313" spans="7:8" x14ac:dyDescent="0.25">
      <c r="G1313" s="85"/>
      <c r="H1313" s="85"/>
    </row>
    <row r="1314" spans="7:8" x14ac:dyDescent="0.25">
      <c r="G1314" s="85"/>
      <c r="H1314" s="85"/>
    </row>
    <row r="1315" spans="7:8" x14ac:dyDescent="0.25">
      <c r="G1315" s="85"/>
      <c r="H1315" s="85"/>
    </row>
    <row r="1316" spans="7:8" x14ac:dyDescent="0.25">
      <c r="G1316" s="85"/>
      <c r="H1316" s="85"/>
    </row>
    <row r="1317" spans="7:8" x14ac:dyDescent="0.25">
      <c r="G1317" s="85"/>
      <c r="H1317" s="85"/>
    </row>
    <row r="1318" spans="7:8" x14ac:dyDescent="0.25">
      <c r="G1318" s="85"/>
      <c r="H1318" s="85"/>
    </row>
    <row r="1319" spans="7:8" x14ac:dyDescent="0.25">
      <c r="G1319" s="85"/>
      <c r="H1319" s="85"/>
    </row>
    <row r="1320" spans="7:8" x14ac:dyDescent="0.25">
      <c r="G1320" s="85"/>
      <c r="H1320" s="85"/>
    </row>
    <row r="1321" spans="7:8" x14ac:dyDescent="0.25">
      <c r="G1321" s="85"/>
      <c r="H1321" s="85"/>
    </row>
    <row r="1322" spans="7:8" x14ac:dyDescent="0.25">
      <c r="G1322" s="85"/>
      <c r="H1322" s="85"/>
    </row>
    <row r="1323" spans="7:8" x14ac:dyDescent="0.25">
      <c r="G1323" s="85"/>
      <c r="H1323" s="85"/>
    </row>
    <row r="1324" spans="7:8" x14ac:dyDescent="0.25">
      <c r="G1324" s="85"/>
      <c r="H1324" s="85"/>
    </row>
    <row r="1325" spans="7:8" x14ac:dyDescent="0.25">
      <c r="G1325" s="85"/>
      <c r="H1325" s="85"/>
    </row>
    <row r="1326" spans="7:8" x14ac:dyDescent="0.25">
      <c r="G1326" s="85"/>
      <c r="H1326" s="85"/>
    </row>
    <row r="1327" spans="7:8" x14ac:dyDescent="0.25">
      <c r="G1327" s="85"/>
      <c r="H1327" s="85"/>
    </row>
    <row r="1328" spans="7:8" x14ac:dyDescent="0.25">
      <c r="G1328" s="85"/>
      <c r="H1328" s="85"/>
    </row>
    <row r="1329" spans="7:8" x14ac:dyDescent="0.25">
      <c r="G1329" s="85"/>
      <c r="H1329" s="85"/>
    </row>
    <row r="1330" spans="7:8" x14ac:dyDescent="0.25">
      <c r="G1330" s="85"/>
      <c r="H1330" s="85"/>
    </row>
    <row r="1331" spans="7:8" x14ac:dyDescent="0.25">
      <c r="G1331" s="85"/>
      <c r="H1331" s="85"/>
    </row>
    <row r="1332" spans="7:8" x14ac:dyDescent="0.25">
      <c r="G1332" s="85"/>
      <c r="H1332" s="85"/>
    </row>
    <row r="1333" spans="7:8" x14ac:dyDescent="0.25">
      <c r="G1333" s="85"/>
      <c r="H1333" s="85"/>
    </row>
    <row r="1334" spans="7:8" x14ac:dyDescent="0.25">
      <c r="G1334" s="85"/>
      <c r="H1334" s="85"/>
    </row>
    <row r="1335" spans="7:8" x14ac:dyDescent="0.25">
      <c r="G1335" s="85"/>
      <c r="H1335" s="85"/>
    </row>
    <row r="1336" spans="7:8" x14ac:dyDescent="0.25">
      <c r="G1336" s="85"/>
      <c r="H1336" s="85"/>
    </row>
    <row r="1337" spans="7:8" x14ac:dyDescent="0.25">
      <c r="G1337" s="85"/>
      <c r="H1337" s="85"/>
    </row>
    <row r="1338" spans="7:8" x14ac:dyDescent="0.25">
      <c r="G1338" s="85"/>
      <c r="H1338" s="85"/>
    </row>
    <row r="1339" spans="7:8" x14ac:dyDescent="0.25">
      <c r="G1339" s="85"/>
      <c r="H1339" s="85"/>
    </row>
    <row r="1340" spans="7:8" x14ac:dyDescent="0.25">
      <c r="G1340" s="85"/>
      <c r="H1340" s="85"/>
    </row>
    <row r="1341" spans="7:8" x14ac:dyDescent="0.25">
      <c r="G1341" s="85"/>
      <c r="H1341" s="85"/>
    </row>
    <row r="1342" spans="7:8" x14ac:dyDescent="0.25">
      <c r="G1342" s="85"/>
      <c r="H1342" s="85"/>
    </row>
    <row r="1343" spans="7:8" x14ac:dyDescent="0.25">
      <c r="G1343" s="85"/>
      <c r="H1343" s="85"/>
    </row>
    <row r="1344" spans="7:8" x14ac:dyDescent="0.25">
      <c r="G1344" s="85"/>
      <c r="H1344" s="85"/>
    </row>
    <row r="1345" spans="7:8" x14ac:dyDescent="0.25">
      <c r="G1345" s="85"/>
      <c r="H1345" s="85"/>
    </row>
    <row r="1346" spans="7:8" x14ac:dyDescent="0.25">
      <c r="G1346" s="85"/>
      <c r="H1346" s="85"/>
    </row>
    <row r="1347" spans="7:8" x14ac:dyDescent="0.25">
      <c r="G1347" s="85"/>
      <c r="H1347" s="85"/>
    </row>
    <row r="1348" spans="7:8" x14ac:dyDescent="0.25">
      <c r="G1348" s="85"/>
      <c r="H1348" s="85"/>
    </row>
    <row r="1349" spans="7:8" x14ac:dyDescent="0.25">
      <c r="G1349" s="85"/>
      <c r="H1349" s="85"/>
    </row>
    <row r="1350" spans="7:8" x14ac:dyDescent="0.25">
      <c r="G1350" s="85"/>
      <c r="H1350" s="85"/>
    </row>
    <row r="1351" spans="7:8" x14ac:dyDescent="0.25">
      <c r="G1351" s="85"/>
      <c r="H1351" s="85"/>
    </row>
    <row r="1352" spans="7:8" x14ac:dyDescent="0.25">
      <c r="G1352" s="85"/>
      <c r="H1352" s="85"/>
    </row>
    <row r="1353" spans="7:8" x14ac:dyDescent="0.25">
      <c r="G1353" s="85"/>
      <c r="H1353" s="85"/>
    </row>
    <row r="1354" spans="7:8" x14ac:dyDescent="0.25">
      <c r="G1354" s="85"/>
      <c r="H1354" s="85"/>
    </row>
    <row r="1355" spans="7:8" x14ac:dyDescent="0.25">
      <c r="G1355" s="85"/>
      <c r="H1355" s="85"/>
    </row>
    <row r="1356" spans="7:8" x14ac:dyDescent="0.25">
      <c r="G1356" s="85"/>
      <c r="H1356" s="85"/>
    </row>
    <row r="1357" spans="7:8" x14ac:dyDescent="0.25">
      <c r="G1357" s="85"/>
      <c r="H1357" s="85"/>
    </row>
    <row r="1358" spans="7:8" x14ac:dyDescent="0.25">
      <c r="G1358" s="85"/>
      <c r="H1358" s="85"/>
    </row>
    <row r="1359" spans="7:8" x14ac:dyDescent="0.25">
      <c r="G1359" s="85"/>
      <c r="H1359" s="85"/>
    </row>
    <row r="1360" spans="7:8" x14ac:dyDescent="0.25">
      <c r="G1360" s="85"/>
      <c r="H1360" s="85"/>
    </row>
    <row r="1361" spans="7:8" x14ac:dyDescent="0.25">
      <c r="G1361" s="85"/>
      <c r="H1361" s="85"/>
    </row>
    <row r="1362" spans="7:8" x14ac:dyDescent="0.25">
      <c r="G1362" s="85"/>
      <c r="H1362" s="85"/>
    </row>
    <row r="1363" spans="7:8" x14ac:dyDescent="0.25">
      <c r="G1363" s="85"/>
      <c r="H1363" s="85"/>
    </row>
    <row r="1364" spans="7:8" x14ac:dyDescent="0.25">
      <c r="G1364" s="85"/>
      <c r="H1364" s="85"/>
    </row>
    <row r="1365" spans="7:8" x14ac:dyDescent="0.25">
      <c r="G1365" s="85"/>
      <c r="H1365" s="85"/>
    </row>
    <row r="1366" spans="7:8" x14ac:dyDescent="0.25">
      <c r="G1366" s="85"/>
      <c r="H1366" s="85"/>
    </row>
    <row r="1367" spans="7:8" x14ac:dyDescent="0.25">
      <c r="G1367" s="85"/>
      <c r="H1367" s="85"/>
    </row>
    <row r="1368" spans="7:8" x14ac:dyDescent="0.25">
      <c r="G1368" s="85"/>
      <c r="H1368" s="85"/>
    </row>
    <row r="1369" spans="7:8" x14ac:dyDescent="0.25">
      <c r="G1369" s="85"/>
      <c r="H1369" s="85"/>
    </row>
    <row r="1370" spans="7:8" x14ac:dyDescent="0.25">
      <c r="G1370" s="85"/>
      <c r="H1370" s="85"/>
    </row>
    <row r="1371" spans="7:8" x14ac:dyDescent="0.25">
      <c r="G1371" s="85"/>
      <c r="H1371" s="85"/>
    </row>
    <row r="1372" spans="7:8" x14ac:dyDescent="0.25">
      <c r="G1372" s="85"/>
      <c r="H1372" s="85"/>
    </row>
    <row r="1373" spans="7:8" x14ac:dyDescent="0.25">
      <c r="G1373" s="85"/>
      <c r="H1373" s="85"/>
    </row>
    <row r="1374" spans="7:8" x14ac:dyDescent="0.25">
      <c r="G1374" s="85"/>
      <c r="H1374" s="85"/>
    </row>
    <row r="1375" spans="7:8" x14ac:dyDescent="0.25">
      <c r="G1375" s="85"/>
      <c r="H1375" s="85"/>
    </row>
    <row r="1376" spans="7:8" x14ac:dyDescent="0.25">
      <c r="G1376" s="85"/>
      <c r="H1376" s="85"/>
    </row>
    <row r="1377" spans="7:8" x14ac:dyDescent="0.25">
      <c r="G1377" s="85"/>
      <c r="H1377" s="85"/>
    </row>
    <row r="1378" spans="7:8" x14ac:dyDescent="0.25">
      <c r="G1378" s="85"/>
      <c r="H1378" s="85"/>
    </row>
    <row r="1379" spans="7:8" x14ac:dyDescent="0.25">
      <c r="G1379" s="85"/>
      <c r="H1379" s="85"/>
    </row>
    <row r="1380" spans="7:8" x14ac:dyDescent="0.25">
      <c r="G1380" s="85"/>
      <c r="H1380" s="85"/>
    </row>
    <row r="1381" spans="7:8" x14ac:dyDescent="0.25">
      <c r="G1381" s="85"/>
      <c r="H1381" s="85"/>
    </row>
    <row r="1382" spans="7:8" x14ac:dyDescent="0.25">
      <c r="G1382" s="85"/>
      <c r="H1382" s="85"/>
    </row>
    <row r="1383" spans="7:8" x14ac:dyDescent="0.25">
      <c r="G1383" s="85"/>
      <c r="H1383" s="85"/>
    </row>
    <row r="1384" spans="7:8" x14ac:dyDescent="0.25">
      <c r="G1384" s="85"/>
      <c r="H1384" s="85"/>
    </row>
    <row r="1385" spans="7:8" x14ac:dyDescent="0.25">
      <c r="G1385" s="85"/>
      <c r="H1385" s="85"/>
    </row>
    <row r="1386" spans="7:8" x14ac:dyDescent="0.25">
      <c r="G1386" s="85"/>
      <c r="H1386" s="85"/>
    </row>
    <row r="1387" spans="7:8" x14ac:dyDescent="0.25">
      <c r="G1387" s="85"/>
      <c r="H1387" s="85"/>
    </row>
    <row r="1388" spans="7:8" x14ac:dyDescent="0.25">
      <c r="G1388" s="85"/>
      <c r="H1388" s="85"/>
    </row>
    <row r="1389" spans="7:8" x14ac:dyDescent="0.25">
      <c r="G1389" s="85"/>
      <c r="H1389" s="85"/>
    </row>
    <row r="1390" spans="7:8" x14ac:dyDescent="0.25">
      <c r="G1390" s="85"/>
      <c r="H1390" s="85"/>
    </row>
    <row r="1391" spans="7:8" x14ac:dyDescent="0.25">
      <c r="G1391" s="85"/>
      <c r="H1391" s="85"/>
    </row>
    <row r="1392" spans="7:8" x14ac:dyDescent="0.25">
      <c r="G1392" s="85"/>
      <c r="H1392" s="85"/>
    </row>
    <row r="1393" spans="7:8" x14ac:dyDescent="0.25">
      <c r="G1393" s="85"/>
      <c r="H1393" s="85"/>
    </row>
    <row r="1394" spans="7:8" x14ac:dyDescent="0.25">
      <c r="G1394" s="85"/>
      <c r="H1394" s="85"/>
    </row>
    <row r="1395" spans="7:8" x14ac:dyDescent="0.25">
      <c r="G1395" s="85"/>
      <c r="H1395" s="85"/>
    </row>
    <row r="1396" spans="7:8" x14ac:dyDescent="0.25">
      <c r="G1396" s="85"/>
      <c r="H1396" s="85"/>
    </row>
    <row r="1397" spans="7:8" x14ac:dyDescent="0.25">
      <c r="G1397" s="85"/>
      <c r="H1397" s="85"/>
    </row>
    <row r="1398" spans="7:8" x14ac:dyDescent="0.25">
      <c r="G1398" s="85"/>
      <c r="H1398" s="85"/>
    </row>
    <row r="1399" spans="7:8" x14ac:dyDescent="0.25">
      <c r="G1399" s="85"/>
      <c r="H1399" s="85"/>
    </row>
    <row r="1400" spans="7:8" x14ac:dyDescent="0.25">
      <c r="G1400" s="85"/>
      <c r="H1400" s="85"/>
    </row>
    <row r="1401" spans="7:8" x14ac:dyDescent="0.25">
      <c r="G1401" s="85"/>
      <c r="H1401" s="85"/>
    </row>
    <row r="1402" spans="7:8" x14ac:dyDescent="0.25">
      <c r="G1402" s="85"/>
      <c r="H1402" s="85"/>
    </row>
    <row r="1403" spans="7:8" x14ac:dyDescent="0.25">
      <c r="G1403" s="85"/>
      <c r="H1403" s="85"/>
    </row>
    <row r="1404" spans="7:8" x14ac:dyDescent="0.25">
      <c r="G1404" s="85"/>
      <c r="H1404" s="85"/>
    </row>
    <row r="1405" spans="7:8" x14ac:dyDescent="0.25">
      <c r="G1405" s="85"/>
      <c r="H1405" s="85"/>
    </row>
    <row r="1406" spans="7:8" x14ac:dyDescent="0.25">
      <c r="G1406" s="85"/>
      <c r="H1406" s="85"/>
    </row>
    <row r="1407" spans="7:8" x14ac:dyDescent="0.25">
      <c r="G1407" s="85"/>
      <c r="H1407" s="85"/>
    </row>
    <row r="1408" spans="7:8" x14ac:dyDescent="0.25">
      <c r="G1408" s="85"/>
      <c r="H1408" s="85"/>
    </row>
    <row r="1409" spans="7:8" x14ac:dyDescent="0.25">
      <c r="G1409" s="85"/>
      <c r="H1409" s="85"/>
    </row>
    <row r="1410" spans="7:8" x14ac:dyDescent="0.25">
      <c r="G1410" s="85"/>
      <c r="H1410" s="85"/>
    </row>
    <row r="1411" spans="7:8" x14ac:dyDescent="0.25">
      <c r="G1411" s="85"/>
      <c r="H1411" s="85"/>
    </row>
    <row r="1412" spans="7:8" x14ac:dyDescent="0.25">
      <c r="G1412" s="85"/>
      <c r="H1412" s="85"/>
    </row>
    <row r="1413" spans="7:8" x14ac:dyDescent="0.25">
      <c r="G1413" s="85"/>
      <c r="H1413" s="85"/>
    </row>
    <row r="1414" spans="7:8" x14ac:dyDescent="0.25">
      <c r="G1414" s="85"/>
      <c r="H1414" s="85"/>
    </row>
    <row r="1415" spans="7:8" x14ac:dyDescent="0.25">
      <c r="G1415" s="85"/>
      <c r="H1415" s="85"/>
    </row>
    <row r="1416" spans="7:8" x14ac:dyDescent="0.25">
      <c r="G1416" s="85"/>
      <c r="H1416" s="85"/>
    </row>
    <row r="1417" spans="7:8" x14ac:dyDescent="0.25">
      <c r="G1417" s="85"/>
      <c r="H1417" s="85"/>
    </row>
    <row r="1418" spans="7:8" x14ac:dyDescent="0.25">
      <c r="G1418" s="85"/>
      <c r="H1418" s="85"/>
    </row>
    <row r="1419" spans="7:8" x14ac:dyDescent="0.25">
      <c r="G1419" s="85"/>
      <c r="H1419" s="85"/>
    </row>
    <row r="1420" spans="7:8" x14ac:dyDescent="0.25">
      <c r="G1420" s="85"/>
      <c r="H1420" s="85"/>
    </row>
    <row r="1421" spans="7:8" x14ac:dyDescent="0.25">
      <c r="G1421" s="85"/>
      <c r="H1421" s="85"/>
    </row>
    <row r="1422" spans="7:8" x14ac:dyDescent="0.25">
      <c r="G1422" s="85"/>
      <c r="H1422" s="85"/>
    </row>
    <row r="1423" spans="7:8" x14ac:dyDescent="0.25">
      <c r="G1423" s="85"/>
      <c r="H1423" s="85"/>
    </row>
    <row r="1424" spans="7:8" x14ac:dyDescent="0.25">
      <c r="G1424" s="85"/>
      <c r="H1424" s="85"/>
    </row>
    <row r="1425" spans="7:8" x14ac:dyDescent="0.25">
      <c r="G1425" s="85"/>
      <c r="H1425" s="85"/>
    </row>
    <row r="1426" spans="7:8" x14ac:dyDescent="0.25">
      <c r="G1426" s="85"/>
      <c r="H1426" s="85"/>
    </row>
    <row r="1427" spans="7:8" x14ac:dyDescent="0.25">
      <c r="G1427" s="85"/>
      <c r="H1427" s="85"/>
    </row>
    <row r="1428" spans="7:8" x14ac:dyDescent="0.25">
      <c r="G1428" s="85"/>
      <c r="H1428" s="85"/>
    </row>
    <row r="1429" spans="7:8" x14ac:dyDescent="0.25">
      <c r="G1429" s="85"/>
      <c r="H1429" s="85"/>
    </row>
    <row r="1430" spans="7:8" x14ac:dyDescent="0.25">
      <c r="G1430" s="85"/>
      <c r="H1430" s="85"/>
    </row>
    <row r="1431" spans="7:8" x14ac:dyDescent="0.25">
      <c r="G1431" s="85"/>
      <c r="H1431" s="85"/>
    </row>
    <row r="1432" spans="7:8" x14ac:dyDescent="0.25">
      <c r="G1432" s="85"/>
      <c r="H1432" s="85"/>
    </row>
    <row r="1433" spans="7:8" x14ac:dyDescent="0.25">
      <c r="G1433" s="85"/>
      <c r="H1433" s="85"/>
    </row>
    <row r="1434" spans="7:8" x14ac:dyDescent="0.25">
      <c r="G1434" s="85"/>
      <c r="H1434" s="85"/>
    </row>
    <row r="1435" spans="7:8" x14ac:dyDescent="0.25">
      <c r="G1435" s="85"/>
      <c r="H1435" s="85"/>
    </row>
    <row r="1436" spans="7:8" x14ac:dyDescent="0.25">
      <c r="G1436" s="85"/>
      <c r="H1436" s="85"/>
    </row>
    <row r="1437" spans="7:8" x14ac:dyDescent="0.25">
      <c r="G1437" s="85"/>
      <c r="H1437" s="85"/>
    </row>
    <row r="1438" spans="7:8" x14ac:dyDescent="0.25">
      <c r="G1438" s="85"/>
      <c r="H1438" s="85"/>
    </row>
    <row r="1439" spans="7:8" x14ac:dyDescent="0.25">
      <c r="G1439" s="85"/>
      <c r="H1439" s="85"/>
    </row>
    <row r="1440" spans="7:8" x14ac:dyDescent="0.25">
      <c r="G1440" s="85"/>
      <c r="H1440" s="85"/>
    </row>
    <row r="1441" spans="7:8" x14ac:dyDescent="0.25">
      <c r="G1441" s="85"/>
      <c r="H1441" s="85"/>
    </row>
    <row r="1442" spans="7:8" x14ac:dyDescent="0.25">
      <c r="G1442" s="85"/>
      <c r="H1442" s="85"/>
    </row>
    <row r="1443" spans="7:8" x14ac:dyDescent="0.25">
      <c r="G1443" s="85"/>
      <c r="H1443" s="85"/>
    </row>
    <row r="1444" spans="7:8" x14ac:dyDescent="0.25">
      <c r="G1444" s="85"/>
      <c r="H1444" s="85"/>
    </row>
    <row r="1445" spans="7:8" x14ac:dyDescent="0.25">
      <c r="G1445" s="85"/>
      <c r="H1445" s="85"/>
    </row>
    <row r="1446" spans="7:8" x14ac:dyDescent="0.25">
      <c r="G1446" s="85"/>
      <c r="H1446" s="85"/>
    </row>
    <row r="1447" spans="7:8" x14ac:dyDescent="0.25">
      <c r="G1447" s="85"/>
      <c r="H1447" s="85"/>
    </row>
    <row r="1448" spans="7:8" x14ac:dyDescent="0.25">
      <c r="G1448" s="85"/>
      <c r="H1448" s="85"/>
    </row>
    <row r="1449" spans="7:8" x14ac:dyDescent="0.25">
      <c r="G1449" s="85"/>
      <c r="H1449" s="85"/>
    </row>
    <row r="1450" spans="7:8" x14ac:dyDescent="0.25">
      <c r="G1450" s="85"/>
      <c r="H1450" s="85"/>
    </row>
    <row r="1451" spans="7:8" x14ac:dyDescent="0.25">
      <c r="G1451" s="85"/>
      <c r="H1451" s="85"/>
    </row>
    <row r="1452" spans="7:8" x14ac:dyDescent="0.25">
      <c r="G1452" s="85"/>
      <c r="H1452" s="85"/>
    </row>
    <row r="1453" spans="7:8" x14ac:dyDescent="0.25">
      <c r="G1453" s="85"/>
      <c r="H1453" s="85"/>
    </row>
    <row r="1454" spans="7:8" x14ac:dyDescent="0.25">
      <c r="G1454" s="85"/>
      <c r="H1454" s="85"/>
    </row>
    <row r="1455" spans="7:8" x14ac:dyDescent="0.25">
      <c r="G1455" s="85"/>
      <c r="H1455" s="85"/>
    </row>
    <row r="1456" spans="7:8" x14ac:dyDescent="0.25">
      <c r="G1456" s="85"/>
      <c r="H1456" s="85"/>
    </row>
    <row r="1457" spans="7:8" x14ac:dyDescent="0.25">
      <c r="G1457" s="85"/>
      <c r="H1457" s="85"/>
    </row>
    <row r="1458" spans="7:8" x14ac:dyDescent="0.25">
      <c r="G1458" s="85"/>
      <c r="H1458" s="85"/>
    </row>
    <row r="1459" spans="7:8" x14ac:dyDescent="0.25">
      <c r="G1459" s="85"/>
      <c r="H1459" s="85"/>
    </row>
    <row r="1460" spans="7:8" x14ac:dyDescent="0.25">
      <c r="G1460" s="85"/>
      <c r="H1460" s="85"/>
    </row>
    <row r="1461" spans="7:8" x14ac:dyDescent="0.25">
      <c r="G1461" s="85"/>
      <c r="H1461" s="85"/>
    </row>
    <row r="1462" spans="7:8" x14ac:dyDescent="0.25">
      <c r="G1462" s="85"/>
      <c r="H1462" s="85"/>
    </row>
    <row r="1463" spans="7:8" x14ac:dyDescent="0.25">
      <c r="G1463" s="85"/>
      <c r="H1463" s="85"/>
    </row>
    <row r="1464" spans="7:8" x14ac:dyDescent="0.25">
      <c r="G1464" s="85"/>
      <c r="H1464" s="85"/>
    </row>
    <row r="1465" spans="7:8" x14ac:dyDescent="0.25">
      <c r="G1465" s="85"/>
      <c r="H1465" s="85"/>
    </row>
    <row r="1466" spans="7:8" x14ac:dyDescent="0.25">
      <c r="G1466" s="85"/>
      <c r="H1466" s="85"/>
    </row>
    <row r="1467" spans="7:8" x14ac:dyDescent="0.25">
      <c r="G1467" s="85"/>
      <c r="H1467" s="85"/>
    </row>
    <row r="1468" spans="7:8" x14ac:dyDescent="0.25">
      <c r="G1468" s="85"/>
      <c r="H1468" s="85"/>
    </row>
    <row r="1469" spans="7:8" x14ac:dyDescent="0.25">
      <c r="G1469" s="85"/>
      <c r="H1469" s="85"/>
    </row>
    <row r="1470" spans="7:8" x14ac:dyDescent="0.25">
      <c r="G1470" s="85"/>
      <c r="H1470" s="85"/>
    </row>
    <row r="1471" spans="7:8" x14ac:dyDescent="0.25">
      <c r="G1471" s="85"/>
      <c r="H1471" s="85"/>
    </row>
    <row r="1472" spans="7:8" x14ac:dyDescent="0.25">
      <c r="G1472" s="85"/>
      <c r="H1472" s="85"/>
    </row>
    <row r="1473" spans="7:8" x14ac:dyDescent="0.25">
      <c r="G1473" s="85"/>
      <c r="H1473" s="85"/>
    </row>
    <row r="1474" spans="7:8" x14ac:dyDescent="0.25">
      <c r="G1474" s="85"/>
      <c r="H1474" s="85"/>
    </row>
    <row r="1475" spans="7:8" x14ac:dyDescent="0.25">
      <c r="G1475" s="85"/>
      <c r="H1475" s="85"/>
    </row>
    <row r="1476" spans="7:8" x14ac:dyDescent="0.25">
      <c r="G1476" s="85"/>
      <c r="H1476" s="85"/>
    </row>
    <row r="1477" spans="7:8" x14ac:dyDescent="0.25">
      <c r="G1477" s="85"/>
      <c r="H1477" s="85"/>
    </row>
    <row r="1478" spans="7:8" x14ac:dyDescent="0.25">
      <c r="G1478" s="85"/>
      <c r="H1478" s="85"/>
    </row>
    <row r="1479" spans="7:8" x14ac:dyDescent="0.25">
      <c r="G1479" s="85"/>
      <c r="H1479" s="85"/>
    </row>
    <row r="1480" spans="7:8" x14ac:dyDescent="0.25">
      <c r="G1480" s="85"/>
      <c r="H1480" s="85"/>
    </row>
    <row r="1481" spans="7:8" x14ac:dyDescent="0.25">
      <c r="G1481" s="85"/>
      <c r="H1481" s="85"/>
    </row>
    <row r="1482" spans="7:8" x14ac:dyDescent="0.25">
      <c r="G1482" s="85"/>
      <c r="H1482" s="85"/>
    </row>
    <row r="1483" spans="7:8" x14ac:dyDescent="0.25">
      <c r="G1483" s="85"/>
      <c r="H1483" s="85"/>
    </row>
    <row r="1484" spans="7:8" x14ac:dyDescent="0.25">
      <c r="G1484" s="85"/>
      <c r="H1484" s="85"/>
    </row>
    <row r="1485" spans="7:8" x14ac:dyDescent="0.25">
      <c r="G1485" s="85"/>
      <c r="H1485" s="85"/>
    </row>
    <row r="1486" spans="7:8" x14ac:dyDescent="0.25">
      <c r="G1486" s="85"/>
      <c r="H1486" s="85"/>
    </row>
    <row r="1487" spans="7:8" x14ac:dyDescent="0.25">
      <c r="G1487" s="85"/>
      <c r="H1487" s="85"/>
    </row>
    <row r="1488" spans="7:8" x14ac:dyDescent="0.25">
      <c r="G1488" s="85"/>
      <c r="H1488" s="85"/>
    </row>
    <row r="1489" spans="7:8" x14ac:dyDescent="0.25">
      <c r="G1489" s="85"/>
      <c r="H1489" s="85"/>
    </row>
    <row r="1490" spans="7:8" x14ac:dyDescent="0.25">
      <c r="G1490" s="85"/>
      <c r="H1490" s="85"/>
    </row>
    <row r="1491" spans="7:8" x14ac:dyDescent="0.25">
      <c r="G1491" s="85"/>
      <c r="H1491" s="85"/>
    </row>
    <row r="1492" spans="7:8" x14ac:dyDescent="0.25">
      <c r="G1492" s="85"/>
      <c r="H1492" s="85"/>
    </row>
    <row r="1493" spans="7:8" x14ac:dyDescent="0.25">
      <c r="G1493" s="85"/>
      <c r="H1493" s="85"/>
    </row>
    <row r="1494" spans="7:8" x14ac:dyDescent="0.25">
      <c r="G1494" s="85"/>
      <c r="H1494" s="85"/>
    </row>
    <row r="1495" spans="7:8" x14ac:dyDescent="0.25">
      <c r="G1495" s="85"/>
      <c r="H1495" s="85"/>
    </row>
    <row r="1496" spans="7:8" x14ac:dyDescent="0.25">
      <c r="G1496" s="85"/>
      <c r="H1496" s="85"/>
    </row>
    <row r="1497" spans="7:8" x14ac:dyDescent="0.25">
      <c r="G1497" s="85"/>
      <c r="H1497" s="85"/>
    </row>
    <row r="1498" spans="7:8" x14ac:dyDescent="0.25">
      <c r="G1498" s="85"/>
      <c r="H1498" s="85"/>
    </row>
    <row r="1499" spans="7:8" x14ac:dyDescent="0.25">
      <c r="G1499" s="85"/>
      <c r="H1499" s="85"/>
    </row>
    <row r="1500" spans="7:8" x14ac:dyDescent="0.25">
      <c r="G1500" s="85"/>
      <c r="H1500" s="85"/>
    </row>
    <row r="1501" spans="7:8" x14ac:dyDescent="0.25">
      <c r="G1501" s="85"/>
      <c r="H1501" s="85"/>
    </row>
    <row r="1502" spans="7:8" x14ac:dyDescent="0.25">
      <c r="G1502" s="85"/>
      <c r="H1502" s="85"/>
    </row>
    <row r="1503" spans="7:8" x14ac:dyDescent="0.25">
      <c r="G1503" s="85"/>
      <c r="H1503" s="85"/>
    </row>
    <row r="1504" spans="7:8" x14ac:dyDescent="0.25">
      <c r="G1504" s="85"/>
      <c r="H1504" s="85"/>
    </row>
    <row r="1505" spans="7:8" x14ac:dyDescent="0.25">
      <c r="G1505" s="85"/>
      <c r="H1505" s="85"/>
    </row>
    <row r="1506" spans="7:8" x14ac:dyDescent="0.25">
      <c r="G1506" s="85"/>
      <c r="H1506" s="85"/>
    </row>
    <row r="1507" spans="7:8" x14ac:dyDescent="0.25">
      <c r="G1507" s="85"/>
      <c r="H1507" s="85"/>
    </row>
    <row r="1508" spans="7:8" x14ac:dyDescent="0.25">
      <c r="G1508" s="85"/>
      <c r="H1508" s="85"/>
    </row>
    <row r="1509" spans="7:8" x14ac:dyDescent="0.25">
      <c r="G1509" s="85"/>
      <c r="H1509" s="85"/>
    </row>
    <row r="1510" spans="7:8" x14ac:dyDescent="0.25">
      <c r="G1510" s="85"/>
      <c r="H1510" s="85"/>
    </row>
    <row r="1511" spans="7:8" x14ac:dyDescent="0.25">
      <c r="G1511" s="85"/>
      <c r="H1511" s="85"/>
    </row>
    <row r="1512" spans="7:8" x14ac:dyDescent="0.25">
      <c r="G1512" s="85"/>
      <c r="H1512" s="85"/>
    </row>
    <row r="1513" spans="7:8" x14ac:dyDescent="0.25">
      <c r="G1513" s="85"/>
      <c r="H1513" s="85"/>
    </row>
    <row r="1514" spans="7:8" x14ac:dyDescent="0.25">
      <c r="G1514" s="85"/>
      <c r="H1514" s="85"/>
    </row>
    <row r="1515" spans="7:8" x14ac:dyDescent="0.25">
      <c r="G1515" s="85"/>
      <c r="H1515" s="85"/>
    </row>
    <row r="1516" spans="7:8" x14ac:dyDescent="0.25">
      <c r="G1516" s="85"/>
      <c r="H1516" s="85"/>
    </row>
    <row r="1517" spans="7:8" x14ac:dyDescent="0.25">
      <c r="G1517" s="85"/>
      <c r="H1517" s="85"/>
    </row>
    <row r="1518" spans="7:8" x14ac:dyDescent="0.25">
      <c r="G1518" s="85"/>
      <c r="H1518" s="85"/>
    </row>
    <row r="1519" spans="7:8" x14ac:dyDescent="0.25">
      <c r="G1519" s="85"/>
      <c r="H1519" s="85"/>
    </row>
    <row r="1520" spans="7:8" x14ac:dyDescent="0.25">
      <c r="G1520" s="85"/>
      <c r="H1520" s="85"/>
    </row>
    <row r="1521" spans="7:8" x14ac:dyDescent="0.25">
      <c r="G1521" s="85"/>
      <c r="H1521" s="85"/>
    </row>
    <row r="1522" spans="7:8" x14ac:dyDescent="0.25">
      <c r="G1522" s="85"/>
      <c r="H1522" s="85"/>
    </row>
    <row r="1523" spans="7:8" x14ac:dyDescent="0.25">
      <c r="G1523" s="85"/>
      <c r="H1523" s="85"/>
    </row>
    <row r="1524" spans="7:8" x14ac:dyDescent="0.25">
      <c r="G1524" s="85"/>
      <c r="H1524" s="85"/>
    </row>
    <row r="1525" spans="7:8" x14ac:dyDescent="0.25">
      <c r="G1525" s="85"/>
      <c r="H1525" s="85"/>
    </row>
    <row r="1526" spans="7:8" x14ac:dyDescent="0.25">
      <c r="G1526" s="85"/>
      <c r="H1526" s="85"/>
    </row>
    <row r="1527" spans="7:8" x14ac:dyDescent="0.25">
      <c r="G1527" s="85"/>
      <c r="H1527" s="85"/>
    </row>
    <row r="1528" spans="7:8" x14ac:dyDescent="0.25">
      <c r="G1528" s="85"/>
      <c r="H1528" s="85"/>
    </row>
    <row r="1529" spans="7:8" x14ac:dyDescent="0.25">
      <c r="G1529" s="85"/>
      <c r="H1529" s="85"/>
    </row>
    <row r="1530" spans="7:8" x14ac:dyDescent="0.25">
      <c r="G1530" s="85"/>
      <c r="H1530" s="85"/>
    </row>
    <row r="1531" spans="7:8" x14ac:dyDescent="0.25">
      <c r="G1531" s="85"/>
      <c r="H1531" s="85"/>
    </row>
    <row r="1532" spans="7:8" x14ac:dyDescent="0.25">
      <c r="G1532" s="85"/>
      <c r="H1532" s="85"/>
    </row>
    <row r="1533" spans="7:8" x14ac:dyDescent="0.25">
      <c r="G1533" s="85"/>
      <c r="H1533" s="85"/>
    </row>
    <row r="1534" spans="7:8" x14ac:dyDescent="0.25">
      <c r="G1534" s="85"/>
      <c r="H1534" s="85"/>
    </row>
    <row r="1535" spans="7:8" x14ac:dyDescent="0.25">
      <c r="G1535" s="85"/>
      <c r="H1535" s="85"/>
    </row>
    <row r="1536" spans="7:8" x14ac:dyDescent="0.25">
      <c r="G1536" s="85"/>
      <c r="H1536" s="85"/>
    </row>
    <row r="1537" spans="7:8" x14ac:dyDescent="0.25">
      <c r="G1537" s="85"/>
      <c r="H1537" s="85"/>
    </row>
    <row r="1538" spans="7:8" x14ac:dyDescent="0.25">
      <c r="G1538" s="85"/>
      <c r="H1538" s="85"/>
    </row>
    <row r="1539" spans="7:8" x14ac:dyDescent="0.25">
      <c r="G1539" s="85"/>
      <c r="H1539" s="85"/>
    </row>
    <row r="1540" spans="7:8" x14ac:dyDescent="0.25">
      <c r="G1540" s="85"/>
      <c r="H1540" s="85"/>
    </row>
    <row r="1541" spans="7:8" x14ac:dyDescent="0.25">
      <c r="G1541" s="85"/>
      <c r="H1541" s="85"/>
    </row>
    <row r="1542" spans="7:8" x14ac:dyDescent="0.25">
      <c r="G1542" s="85"/>
      <c r="H1542" s="85"/>
    </row>
    <row r="1543" spans="7:8" x14ac:dyDescent="0.25">
      <c r="G1543" s="85"/>
      <c r="H1543" s="85"/>
    </row>
    <row r="1544" spans="7:8" x14ac:dyDescent="0.25">
      <c r="G1544" s="85"/>
      <c r="H1544" s="85"/>
    </row>
    <row r="1545" spans="7:8" x14ac:dyDescent="0.25">
      <c r="G1545" s="85"/>
      <c r="H1545" s="85"/>
    </row>
    <row r="1546" spans="7:8" x14ac:dyDescent="0.25">
      <c r="G1546" s="85"/>
      <c r="H1546" s="85"/>
    </row>
    <row r="1547" spans="7:8" x14ac:dyDescent="0.25">
      <c r="G1547" s="85"/>
      <c r="H1547" s="85"/>
    </row>
    <row r="1548" spans="7:8" x14ac:dyDescent="0.25">
      <c r="G1548" s="85"/>
      <c r="H1548" s="85"/>
    </row>
    <row r="1549" spans="7:8" x14ac:dyDescent="0.25">
      <c r="G1549" s="85"/>
      <c r="H1549" s="85"/>
    </row>
    <row r="1550" spans="7:8" x14ac:dyDescent="0.25">
      <c r="G1550" s="85"/>
      <c r="H1550" s="85"/>
    </row>
    <row r="1551" spans="7:8" x14ac:dyDescent="0.25">
      <c r="G1551" s="85"/>
      <c r="H1551" s="85"/>
    </row>
    <row r="1552" spans="7:8" x14ac:dyDescent="0.25">
      <c r="G1552" s="85"/>
      <c r="H1552" s="85"/>
    </row>
    <row r="1553" spans="7:8" x14ac:dyDescent="0.25">
      <c r="G1553" s="85"/>
      <c r="H1553" s="85"/>
    </row>
    <row r="1554" spans="7:8" x14ac:dyDescent="0.25">
      <c r="G1554" s="85"/>
      <c r="H1554" s="85"/>
    </row>
    <row r="1555" spans="7:8" x14ac:dyDescent="0.25">
      <c r="G1555" s="85"/>
      <c r="H1555" s="85"/>
    </row>
    <row r="1556" spans="7:8" x14ac:dyDescent="0.25">
      <c r="G1556" s="85"/>
      <c r="H1556" s="85"/>
    </row>
    <row r="1557" spans="7:8" x14ac:dyDescent="0.25">
      <c r="G1557" s="85"/>
      <c r="H1557" s="85"/>
    </row>
    <row r="1558" spans="7:8" x14ac:dyDescent="0.25">
      <c r="G1558" s="85"/>
      <c r="H1558" s="85"/>
    </row>
    <row r="1559" spans="7:8" x14ac:dyDescent="0.25">
      <c r="G1559" s="85"/>
      <c r="H1559" s="85"/>
    </row>
    <row r="1560" spans="7:8" x14ac:dyDescent="0.25">
      <c r="G1560" s="85"/>
      <c r="H1560" s="85"/>
    </row>
    <row r="1561" spans="7:8" x14ac:dyDescent="0.25">
      <c r="G1561" s="85"/>
      <c r="H1561" s="85"/>
    </row>
    <row r="1562" spans="7:8" x14ac:dyDescent="0.25">
      <c r="G1562" s="85"/>
      <c r="H1562" s="85"/>
    </row>
    <row r="1563" spans="7:8" x14ac:dyDescent="0.25">
      <c r="G1563" s="85"/>
      <c r="H1563" s="85"/>
    </row>
    <row r="1564" spans="7:8" x14ac:dyDescent="0.25">
      <c r="G1564" s="85"/>
      <c r="H1564" s="85"/>
    </row>
    <row r="1565" spans="7:8" x14ac:dyDescent="0.25">
      <c r="G1565" s="85"/>
      <c r="H1565" s="85"/>
    </row>
    <row r="1566" spans="7:8" x14ac:dyDescent="0.25">
      <c r="G1566" s="85"/>
      <c r="H1566" s="85"/>
    </row>
    <row r="1567" spans="7:8" x14ac:dyDescent="0.25">
      <c r="G1567" s="85"/>
      <c r="H1567" s="85"/>
    </row>
    <row r="1568" spans="7:8" x14ac:dyDescent="0.25">
      <c r="G1568" s="85"/>
      <c r="H1568" s="85"/>
    </row>
    <row r="1569" spans="7:8" x14ac:dyDescent="0.25">
      <c r="G1569" s="85"/>
      <c r="H1569" s="85"/>
    </row>
    <row r="1570" spans="7:8" x14ac:dyDescent="0.25">
      <c r="G1570" s="85"/>
      <c r="H1570" s="85"/>
    </row>
    <row r="1571" spans="7:8" x14ac:dyDescent="0.25">
      <c r="G1571" s="85"/>
      <c r="H1571" s="85"/>
    </row>
    <row r="1572" spans="7:8" x14ac:dyDescent="0.25">
      <c r="G1572" s="85"/>
      <c r="H1572" s="85"/>
    </row>
    <row r="1573" spans="7:8" x14ac:dyDescent="0.25">
      <c r="G1573" s="85"/>
      <c r="H1573" s="85"/>
    </row>
    <row r="1574" spans="7:8" x14ac:dyDescent="0.25">
      <c r="G1574" s="85"/>
      <c r="H1574" s="85"/>
    </row>
    <row r="1575" spans="7:8" x14ac:dyDescent="0.25">
      <c r="G1575" s="85"/>
      <c r="H1575" s="85"/>
    </row>
    <row r="1576" spans="7:8" x14ac:dyDescent="0.25">
      <c r="G1576" s="85"/>
      <c r="H1576" s="85"/>
    </row>
    <row r="1577" spans="7:8" x14ac:dyDescent="0.25">
      <c r="G1577" s="85"/>
      <c r="H1577" s="85"/>
    </row>
    <row r="1578" spans="7:8" x14ac:dyDescent="0.25">
      <c r="G1578" s="85"/>
      <c r="H1578" s="85"/>
    </row>
    <row r="1579" spans="7:8" x14ac:dyDescent="0.25">
      <c r="G1579" s="85"/>
      <c r="H1579" s="85"/>
    </row>
    <row r="1580" spans="7:8" x14ac:dyDescent="0.25">
      <c r="G1580" s="85"/>
      <c r="H1580" s="85"/>
    </row>
    <row r="1581" spans="7:8" x14ac:dyDescent="0.25">
      <c r="G1581" s="85"/>
      <c r="H1581" s="85"/>
    </row>
    <row r="1582" spans="7:8" x14ac:dyDescent="0.25">
      <c r="G1582" s="85"/>
      <c r="H1582" s="85"/>
    </row>
    <row r="1583" spans="7:8" x14ac:dyDescent="0.25">
      <c r="G1583" s="85"/>
      <c r="H1583" s="85"/>
    </row>
    <row r="1584" spans="7:8" x14ac:dyDescent="0.25">
      <c r="G1584" s="85"/>
      <c r="H1584" s="85"/>
    </row>
    <row r="1585" spans="7:8" x14ac:dyDescent="0.25">
      <c r="G1585" s="85"/>
      <c r="H1585" s="85"/>
    </row>
    <row r="1586" spans="7:8" x14ac:dyDescent="0.25">
      <c r="G1586" s="85"/>
      <c r="H1586" s="85"/>
    </row>
    <row r="1587" spans="7:8" x14ac:dyDescent="0.25">
      <c r="G1587" s="85"/>
      <c r="H1587" s="85"/>
    </row>
    <row r="1588" spans="7:8" x14ac:dyDescent="0.25">
      <c r="G1588" s="85"/>
      <c r="H1588" s="85"/>
    </row>
    <row r="1589" spans="7:8" x14ac:dyDescent="0.25">
      <c r="G1589" s="85"/>
      <c r="H1589" s="85"/>
    </row>
    <row r="1590" spans="7:8" x14ac:dyDescent="0.25">
      <c r="G1590" s="85"/>
      <c r="H1590" s="85"/>
    </row>
    <row r="1591" spans="7:8" x14ac:dyDescent="0.25">
      <c r="G1591" s="85"/>
      <c r="H1591" s="85"/>
    </row>
    <row r="1592" spans="7:8" x14ac:dyDescent="0.25">
      <c r="G1592" s="85"/>
      <c r="H1592" s="85"/>
    </row>
    <row r="1593" spans="7:8" x14ac:dyDescent="0.25">
      <c r="G1593" s="85"/>
      <c r="H1593" s="85"/>
    </row>
    <row r="1594" spans="7:8" x14ac:dyDescent="0.25">
      <c r="G1594" s="85"/>
      <c r="H1594" s="85"/>
    </row>
    <row r="1595" spans="7:8" x14ac:dyDescent="0.25">
      <c r="G1595" s="85"/>
      <c r="H1595" s="85"/>
    </row>
    <row r="1596" spans="7:8" x14ac:dyDescent="0.25">
      <c r="G1596" s="85"/>
      <c r="H1596" s="85"/>
    </row>
    <row r="1597" spans="7:8" x14ac:dyDescent="0.25">
      <c r="G1597" s="85"/>
      <c r="H1597" s="85"/>
    </row>
    <row r="1598" spans="7:8" x14ac:dyDescent="0.25">
      <c r="G1598" s="85"/>
      <c r="H1598" s="85"/>
    </row>
    <row r="1599" spans="7:8" x14ac:dyDescent="0.25">
      <c r="G1599" s="85"/>
      <c r="H1599" s="85"/>
    </row>
    <row r="1600" spans="7:8" x14ac:dyDescent="0.25">
      <c r="G1600" s="85"/>
      <c r="H1600" s="85"/>
    </row>
    <row r="1601" spans="7:8" x14ac:dyDescent="0.25">
      <c r="G1601" s="85"/>
      <c r="H1601" s="85"/>
    </row>
    <row r="1602" spans="7:8" x14ac:dyDescent="0.25">
      <c r="G1602" s="85"/>
      <c r="H1602" s="85"/>
    </row>
    <row r="1603" spans="7:8" x14ac:dyDescent="0.25">
      <c r="G1603" s="85"/>
      <c r="H1603" s="85"/>
    </row>
    <row r="1604" spans="7:8" x14ac:dyDescent="0.25">
      <c r="G1604" s="85"/>
      <c r="H1604" s="85"/>
    </row>
    <row r="1605" spans="7:8" x14ac:dyDescent="0.25">
      <c r="G1605" s="85"/>
      <c r="H1605" s="85"/>
    </row>
    <row r="1606" spans="7:8" x14ac:dyDescent="0.25">
      <c r="G1606" s="85"/>
      <c r="H1606" s="85"/>
    </row>
    <row r="1607" spans="7:8" x14ac:dyDescent="0.25">
      <c r="G1607" s="85"/>
      <c r="H1607" s="85"/>
    </row>
    <row r="1608" spans="7:8" x14ac:dyDescent="0.25">
      <c r="G1608" s="85"/>
      <c r="H1608" s="85"/>
    </row>
    <row r="1609" spans="7:8" x14ac:dyDescent="0.25">
      <c r="G1609" s="85"/>
      <c r="H1609" s="85"/>
    </row>
    <row r="1610" spans="7:8" x14ac:dyDescent="0.25">
      <c r="G1610" s="85"/>
      <c r="H1610" s="85"/>
    </row>
    <row r="1611" spans="7:8" x14ac:dyDescent="0.25">
      <c r="G1611" s="85"/>
      <c r="H1611" s="85"/>
    </row>
    <row r="1612" spans="7:8" x14ac:dyDescent="0.25">
      <c r="G1612" s="85"/>
      <c r="H1612" s="85"/>
    </row>
    <row r="1613" spans="7:8" x14ac:dyDescent="0.25">
      <c r="G1613" s="85"/>
      <c r="H1613" s="85"/>
    </row>
    <row r="1614" spans="7:8" x14ac:dyDescent="0.25">
      <c r="G1614" s="85"/>
      <c r="H1614" s="85"/>
    </row>
    <row r="1615" spans="7:8" x14ac:dyDescent="0.25">
      <c r="G1615" s="85"/>
      <c r="H1615" s="85"/>
    </row>
    <row r="1616" spans="7:8" x14ac:dyDescent="0.25">
      <c r="G1616" s="85"/>
      <c r="H1616" s="85"/>
    </row>
    <row r="1617" spans="7:8" x14ac:dyDescent="0.25">
      <c r="G1617" s="85"/>
      <c r="H1617" s="85"/>
    </row>
    <row r="1618" spans="7:8" x14ac:dyDescent="0.25">
      <c r="G1618" s="85"/>
      <c r="H1618" s="85"/>
    </row>
    <row r="1619" spans="7:8" x14ac:dyDescent="0.25">
      <c r="G1619" s="85"/>
      <c r="H1619" s="85"/>
    </row>
    <row r="1620" spans="7:8" x14ac:dyDescent="0.25">
      <c r="G1620" s="85"/>
      <c r="H1620" s="85"/>
    </row>
    <row r="1621" spans="7:8" x14ac:dyDescent="0.25">
      <c r="G1621" s="85"/>
      <c r="H1621" s="85"/>
    </row>
    <row r="1622" spans="7:8" x14ac:dyDescent="0.25">
      <c r="G1622" s="85"/>
      <c r="H1622" s="85"/>
    </row>
    <row r="1623" spans="7:8" x14ac:dyDescent="0.25">
      <c r="G1623" s="85"/>
      <c r="H1623" s="85"/>
    </row>
    <row r="1624" spans="7:8" x14ac:dyDescent="0.25">
      <c r="G1624" s="85"/>
      <c r="H1624" s="85"/>
    </row>
    <row r="1625" spans="7:8" x14ac:dyDescent="0.25">
      <c r="G1625" s="85"/>
      <c r="H1625" s="85"/>
    </row>
    <row r="1626" spans="7:8" x14ac:dyDescent="0.25">
      <c r="G1626" s="85"/>
      <c r="H1626" s="85"/>
    </row>
    <row r="1627" spans="7:8" x14ac:dyDescent="0.25">
      <c r="G1627" s="85"/>
      <c r="H1627" s="85"/>
    </row>
    <row r="1628" spans="7:8" x14ac:dyDescent="0.25">
      <c r="G1628" s="85"/>
      <c r="H1628" s="85"/>
    </row>
    <row r="1629" spans="7:8" x14ac:dyDescent="0.25">
      <c r="G1629" s="85"/>
      <c r="H1629" s="85"/>
    </row>
    <row r="1630" spans="7:8" x14ac:dyDescent="0.25">
      <c r="G1630" s="85"/>
      <c r="H1630" s="85"/>
    </row>
    <row r="1631" spans="7:8" x14ac:dyDescent="0.25">
      <c r="G1631" s="85"/>
      <c r="H1631" s="85"/>
    </row>
    <row r="1632" spans="7:8" x14ac:dyDescent="0.25">
      <c r="G1632" s="85"/>
      <c r="H1632" s="85"/>
    </row>
    <row r="1633" spans="7:8" x14ac:dyDescent="0.25">
      <c r="G1633" s="85"/>
      <c r="H1633" s="85"/>
    </row>
    <row r="1634" spans="7:8" x14ac:dyDescent="0.25">
      <c r="G1634" s="85"/>
      <c r="H1634" s="85"/>
    </row>
    <row r="1635" spans="7:8" x14ac:dyDescent="0.25">
      <c r="G1635" s="85"/>
      <c r="H1635" s="85"/>
    </row>
    <row r="1636" spans="7:8" x14ac:dyDescent="0.25">
      <c r="G1636" s="85"/>
      <c r="H1636" s="85"/>
    </row>
    <row r="1637" spans="7:8" x14ac:dyDescent="0.25">
      <c r="G1637" s="85"/>
      <c r="H1637" s="85"/>
    </row>
    <row r="1638" spans="7:8" x14ac:dyDescent="0.25">
      <c r="G1638" s="85"/>
      <c r="H1638" s="85"/>
    </row>
    <row r="1639" spans="7:8" x14ac:dyDescent="0.25">
      <c r="G1639" s="85"/>
      <c r="H1639" s="85"/>
    </row>
    <row r="1640" spans="7:8" x14ac:dyDescent="0.25">
      <c r="G1640" s="85"/>
      <c r="H1640" s="85"/>
    </row>
    <row r="1641" spans="7:8" x14ac:dyDescent="0.25">
      <c r="G1641" s="85"/>
      <c r="H1641" s="85"/>
    </row>
    <row r="1642" spans="7:8" x14ac:dyDescent="0.25">
      <c r="G1642" s="85"/>
      <c r="H1642" s="85"/>
    </row>
    <row r="1643" spans="7:8" x14ac:dyDescent="0.25">
      <c r="G1643" s="85"/>
      <c r="H1643" s="85"/>
    </row>
    <row r="1644" spans="7:8" x14ac:dyDescent="0.25">
      <c r="G1644" s="85"/>
      <c r="H1644" s="85"/>
    </row>
    <row r="1645" spans="7:8" x14ac:dyDescent="0.25">
      <c r="G1645" s="85"/>
      <c r="H1645" s="85"/>
    </row>
    <row r="1646" spans="7:8" x14ac:dyDescent="0.25">
      <c r="G1646" s="85"/>
      <c r="H1646" s="85"/>
    </row>
    <row r="1647" spans="7:8" x14ac:dyDescent="0.25">
      <c r="G1647" s="85"/>
      <c r="H1647" s="85"/>
    </row>
    <row r="1648" spans="7:8" x14ac:dyDescent="0.25">
      <c r="G1648" s="85"/>
      <c r="H1648" s="85"/>
    </row>
    <row r="1649" spans="7:8" x14ac:dyDescent="0.25">
      <c r="G1649" s="85"/>
      <c r="H1649" s="85"/>
    </row>
    <row r="1650" spans="7:8" x14ac:dyDescent="0.25">
      <c r="G1650" s="85"/>
      <c r="H1650" s="85"/>
    </row>
    <row r="1651" spans="7:8" x14ac:dyDescent="0.25">
      <c r="G1651" s="85"/>
      <c r="H1651" s="85"/>
    </row>
    <row r="1652" spans="7:8" x14ac:dyDescent="0.25">
      <c r="G1652" s="85"/>
      <c r="H1652" s="85"/>
    </row>
    <row r="1653" spans="7:8" x14ac:dyDescent="0.25">
      <c r="G1653" s="85"/>
      <c r="H1653" s="85"/>
    </row>
    <row r="1654" spans="7:8" x14ac:dyDescent="0.25">
      <c r="G1654" s="85"/>
      <c r="H1654" s="85"/>
    </row>
    <row r="1655" spans="7:8" x14ac:dyDescent="0.25">
      <c r="G1655" s="85"/>
      <c r="H1655" s="85"/>
    </row>
    <row r="1656" spans="7:8" x14ac:dyDescent="0.25">
      <c r="G1656" s="85"/>
      <c r="H1656" s="85"/>
    </row>
    <row r="1657" spans="7:8" x14ac:dyDescent="0.25">
      <c r="G1657" s="85"/>
      <c r="H1657" s="85"/>
    </row>
    <row r="1658" spans="7:8" x14ac:dyDescent="0.25">
      <c r="G1658" s="85"/>
      <c r="H1658" s="85"/>
    </row>
    <row r="1659" spans="7:8" x14ac:dyDescent="0.25">
      <c r="G1659" s="85"/>
      <c r="H1659" s="85"/>
    </row>
    <row r="1660" spans="7:8" x14ac:dyDescent="0.25">
      <c r="G1660" s="85"/>
      <c r="H1660" s="85"/>
    </row>
    <row r="1661" spans="7:8" x14ac:dyDescent="0.25">
      <c r="G1661" s="85"/>
      <c r="H1661" s="85"/>
    </row>
    <row r="1662" spans="7:8" x14ac:dyDescent="0.25">
      <c r="G1662" s="85"/>
      <c r="H1662" s="85"/>
    </row>
    <row r="1663" spans="7:8" x14ac:dyDescent="0.25">
      <c r="G1663" s="85"/>
      <c r="H1663" s="85"/>
    </row>
    <row r="1664" spans="7:8" x14ac:dyDescent="0.25">
      <c r="G1664" s="85"/>
      <c r="H1664" s="85"/>
    </row>
    <row r="1665" spans="7:8" x14ac:dyDescent="0.25">
      <c r="G1665" s="85"/>
      <c r="H1665" s="85"/>
    </row>
    <row r="1666" spans="7:8" x14ac:dyDescent="0.25">
      <c r="G1666" s="85"/>
      <c r="H1666" s="85"/>
    </row>
    <row r="1667" spans="7:8" x14ac:dyDescent="0.25">
      <c r="G1667" s="85"/>
      <c r="H1667" s="85"/>
    </row>
    <row r="1668" spans="7:8" x14ac:dyDescent="0.25">
      <c r="G1668" s="85"/>
      <c r="H1668" s="85"/>
    </row>
    <row r="1669" spans="7:8" x14ac:dyDescent="0.25">
      <c r="G1669" s="85"/>
      <c r="H1669" s="85"/>
    </row>
    <row r="1670" spans="7:8" x14ac:dyDescent="0.25">
      <c r="G1670" s="85"/>
      <c r="H1670" s="85"/>
    </row>
    <row r="1671" spans="7:8" x14ac:dyDescent="0.25">
      <c r="G1671" s="85"/>
      <c r="H1671" s="85"/>
    </row>
    <row r="1672" spans="7:8" x14ac:dyDescent="0.25">
      <c r="G1672" s="85"/>
      <c r="H1672" s="85"/>
    </row>
    <row r="1673" spans="7:8" x14ac:dyDescent="0.25">
      <c r="G1673" s="85"/>
      <c r="H1673" s="85"/>
    </row>
    <row r="1674" spans="7:8" x14ac:dyDescent="0.25">
      <c r="G1674" s="85"/>
      <c r="H1674" s="85"/>
    </row>
    <row r="1675" spans="7:8" x14ac:dyDescent="0.25">
      <c r="G1675" s="85"/>
      <c r="H1675" s="85"/>
    </row>
    <row r="1676" spans="7:8" x14ac:dyDescent="0.25">
      <c r="G1676" s="85"/>
      <c r="H1676" s="85"/>
    </row>
    <row r="1677" spans="7:8" x14ac:dyDescent="0.25">
      <c r="G1677" s="85"/>
      <c r="H1677" s="85"/>
    </row>
    <row r="1678" spans="7:8" x14ac:dyDescent="0.25">
      <c r="G1678" s="85"/>
      <c r="H1678" s="85"/>
    </row>
    <row r="1679" spans="7:8" x14ac:dyDescent="0.25">
      <c r="G1679" s="85"/>
      <c r="H1679" s="85"/>
    </row>
    <row r="1680" spans="7:8" x14ac:dyDescent="0.25">
      <c r="G1680" s="85"/>
      <c r="H1680" s="85"/>
    </row>
    <row r="1681" spans="7:8" x14ac:dyDescent="0.25">
      <c r="G1681" s="85"/>
      <c r="H1681" s="85"/>
    </row>
    <row r="1682" spans="7:8" x14ac:dyDescent="0.25">
      <c r="G1682" s="85"/>
      <c r="H1682" s="85"/>
    </row>
    <row r="1683" spans="7:8" x14ac:dyDescent="0.25">
      <c r="G1683" s="85"/>
      <c r="H1683" s="85"/>
    </row>
    <row r="1684" spans="7:8" x14ac:dyDescent="0.25">
      <c r="G1684" s="85"/>
      <c r="H1684" s="85"/>
    </row>
    <row r="1685" spans="7:8" x14ac:dyDescent="0.25">
      <c r="G1685" s="85"/>
      <c r="H1685" s="85"/>
    </row>
    <row r="1686" spans="7:8" x14ac:dyDescent="0.25">
      <c r="G1686" s="85"/>
      <c r="H1686" s="85"/>
    </row>
    <row r="1687" spans="7:8" x14ac:dyDescent="0.25">
      <c r="G1687" s="85"/>
      <c r="H1687" s="85"/>
    </row>
    <row r="1688" spans="7:8" x14ac:dyDescent="0.25">
      <c r="G1688" s="85"/>
      <c r="H1688" s="85"/>
    </row>
    <row r="1689" spans="7:8" x14ac:dyDescent="0.25">
      <c r="G1689" s="85"/>
      <c r="H1689" s="85"/>
    </row>
    <row r="1690" spans="7:8" x14ac:dyDescent="0.25">
      <c r="G1690" s="85"/>
      <c r="H1690" s="85"/>
    </row>
    <row r="1691" spans="7:8" x14ac:dyDescent="0.25">
      <c r="G1691" s="85"/>
      <c r="H1691" s="85"/>
    </row>
    <row r="1692" spans="7:8" x14ac:dyDescent="0.25">
      <c r="G1692" s="85"/>
      <c r="H1692" s="85"/>
    </row>
    <row r="1693" spans="7:8" x14ac:dyDescent="0.25">
      <c r="G1693" s="85"/>
      <c r="H1693" s="85"/>
    </row>
    <row r="1694" spans="7:8" x14ac:dyDescent="0.25">
      <c r="G1694" s="85"/>
      <c r="H1694" s="85"/>
    </row>
    <row r="1695" spans="7:8" x14ac:dyDescent="0.25">
      <c r="G1695" s="85"/>
      <c r="H1695" s="85"/>
    </row>
    <row r="1696" spans="7:8" x14ac:dyDescent="0.25">
      <c r="G1696" s="85"/>
      <c r="H1696" s="85"/>
    </row>
    <row r="1697" spans="7:8" x14ac:dyDescent="0.25">
      <c r="G1697" s="85"/>
      <c r="H1697" s="85"/>
    </row>
    <row r="1698" spans="7:8" x14ac:dyDescent="0.25">
      <c r="G1698" s="85"/>
      <c r="H1698" s="85"/>
    </row>
    <row r="1699" spans="7:8" x14ac:dyDescent="0.25">
      <c r="G1699" s="85"/>
      <c r="H1699" s="85"/>
    </row>
    <row r="1700" spans="7:8" x14ac:dyDescent="0.25">
      <c r="G1700" s="85"/>
      <c r="H1700" s="85"/>
    </row>
    <row r="1701" spans="7:8" x14ac:dyDescent="0.25">
      <c r="G1701" s="85"/>
      <c r="H1701" s="85"/>
    </row>
    <row r="1702" spans="7:8" x14ac:dyDescent="0.25">
      <c r="G1702" s="85"/>
      <c r="H1702" s="85"/>
    </row>
    <row r="1703" spans="7:8" x14ac:dyDescent="0.25">
      <c r="G1703" s="85"/>
      <c r="H1703" s="85"/>
    </row>
    <row r="1704" spans="7:8" x14ac:dyDescent="0.25">
      <c r="G1704" s="85"/>
      <c r="H1704" s="85"/>
    </row>
    <row r="1705" spans="7:8" x14ac:dyDescent="0.25">
      <c r="G1705" s="85"/>
      <c r="H1705" s="85"/>
    </row>
    <row r="1706" spans="7:8" x14ac:dyDescent="0.25">
      <c r="G1706" s="85"/>
      <c r="H1706" s="85"/>
    </row>
    <row r="1707" spans="7:8" x14ac:dyDescent="0.25">
      <c r="G1707" s="85"/>
      <c r="H1707" s="85"/>
    </row>
    <row r="1708" spans="7:8" x14ac:dyDescent="0.25">
      <c r="G1708" s="85"/>
      <c r="H1708" s="85"/>
    </row>
    <row r="1709" spans="7:8" x14ac:dyDescent="0.25">
      <c r="G1709" s="85"/>
      <c r="H1709" s="85"/>
    </row>
    <row r="1710" spans="7:8" x14ac:dyDescent="0.25">
      <c r="G1710" s="85"/>
      <c r="H1710" s="85"/>
    </row>
    <row r="1711" spans="7:8" x14ac:dyDescent="0.25">
      <c r="G1711" s="85"/>
      <c r="H1711" s="85"/>
    </row>
    <row r="1712" spans="7:8" x14ac:dyDescent="0.25">
      <c r="G1712" s="85"/>
      <c r="H1712" s="85"/>
    </row>
    <row r="1713" spans="7:8" x14ac:dyDescent="0.25">
      <c r="G1713" s="85"/>
      <c r="H1713" s="85"/>
    </row>
    <row r="1714" spans="7:8" x14ac:dyDescent="0.25">
      <c r="G1714" s="85"/>
      <c r="H1714" s="85"/>
    </row>
    <row r="1715" spans="7:8" x14ac:dyDescent="0.25">
      <c r="G1715" s="85"/>
      <c r="H1715" s="85"/>
    </row>
    <row r="1716" spans="7:8" x14ac:dyDescent="0.25">
      <c r="G1716" s="85"/>
      <c r="H1716" s="85"/>
    </row>
    <row r="1717" spans="7:8" x14ac:dyDescent="0.25">
      <c r="G1717" s="85"/>
      <c r="H1717" s="85"/>
    </row>
    <row r="1718" spans="7:8" x14ac:dyDescent="0.25">
      <c r="G1718" s="85"/>
      <c r="H1718" s="85"/>
    </row>
    <row r="1719" spans="7:8" x14ac:dyDescent="0.25">
      <c r="G1719" s="85"/>
      <c r="H1719" s="85"/>
    </row>
    <row r="1720" spans="7:8" x14ac:dyDescent="0.25">
      <c r="G1720" s="85"/>
      <c r="H1720" s="85"/>
    </row>
    <row r="1721" spans="7:8" x14ac:dyDescent="0.25">
      <c r="G1721" s="85"/>
      <c r="H1721" s="85"/>
    </row>
    <row r="1722" spans="7:8" x14ac:dyDescent="0.25">
      <c r="G1722" s="85"/>
      <c r="H1722" s="85"/>
    </row>
    <row r="1723" spans="7:8" x14ac:dyDescent="0.25">
      <c r="G1723" s="85"/>
      <c r="H1723" s="85"/>
    </row>
    <row r="1724" spans="7:8" x14ac:dyDescent="0.25">
      <c r="G1724" s="85"/>
      <c r="H1724" s="85"/>
    </row>
    <row r="1725" spans="7:8" x14ac:dyDescent="0.25">
      <c r="G1725" s="85"/>
      <c r="H1725" s="85"/>
    </row>
    <row r="1726" spans="7:8" x14ac:dyDescent="0.25">
      <c r="G1726" s="85"/>
      <c r="H1726" s="85"/>
    </row>
    <row r="1727" spans="7:8" x14ac:dyDescent="0.25">
      <c r="G1727" s="85"/>
      <c r="H1727" s="85"/>
    </row>
    <row r="1728" spans="7:8" x14ac:dyDescent="0.25">
      <c r="G1728" s="85"/>
      <c r="H1728" s="85"/>
    </row>
    <row r="1729" spans="7:8" x14ac:dyDescent="0.25">
      <c r="G1729" s="85"/>
      <c r="H1729" s="85"/>
    </row>
    <row r="1730" spans="7:8" x14ac:dyDescent="0.25">
      <c r="G1730" s="85"/>
      <c r="H1730" s="85"/>
    </row>
    <row r="1731" spans="7:8" x14ac:dyDescent="0.25">
      <c r="G1731" s="85"/>
      <c r="H1731" s="85"/>
    </row>
    <row r="1732" spans="7:8" x14ac:dyDescent="0.25">
      <c r="G1732" s="85"/>
      <c r="H1732" s="85"/>
    </row>
    <row r="1733" spans="7:8" x14ac:dyDescent="0.25">
      <c r="G1733" s="85"/>
      <c r="H1733" s="85"/>
    </row>
    <row r="1734" spans="7:8" x14ac:dyDescent="0.25">
      <c r="G1734" s="85"/>
      <c r="H1734" s="85"/>
    </row>
    <row r="1735" spans="7:8" x14ac:dyDescent="0.25">
      <c r="G1735" s="85"/>
      <c r="H1735" s="85"/>
    </row>
    <row r="1736" spans="7:8" x14ac:dyDescent="0.25">
      <c r="G1736" s="85"/>
      <c r="H1736" s="85"/>
    </row>
    <row r="1737" spans="7:8" x14ac:dyDescent="0.25">
      <c r="G1737" s="85"/>
      <c r="H1737" s="85"/>
    </row>
    <row r="1738" spans="7:8" x14ac:dyDescent="0.25">
      <c r="G1738" s="85"/>
      <c r="H1738" s="85"/>
    </row>
    <row r="1739" spans="7:8" x14ac:dyDescent="0.25">
      <c r="G1739" s="85"/>
      <c r="H1739" s="85"/>
    </row>
    <row r="1740" spans="7:8" x14ac:dyDescent="0.25">
      <c r="G1740" s="85"/>
      <c r="H1740" s="85"/>
    </row>
    <row r="1741" spans="7:8" x14ac:dyDescent="0.25">
      <c r="G1741" s="85"/>
      <c r="H1741" s="85"/>
    </row>
    <row r="1742" spans="7:8" x14ac:dyDescent="0.25">
      <c r="G1742" s="85"/>
      <c r="H1742" s="85"/>
    </row>
    <row r="1743" spans="7:8" x14ac:dyDescent="0.25">
      <c r="G1743" s="85"/>
      <c r="H1743" s="85"/>
    </row>
    <row r="1744" spans="7:8" x14ac:dyDescent="0.25">
      <c r="G1744" s="85"/>
      <c r="H1744" s="85"/>
    </row>
    <row r="1745" spans="7:8" x14ac:dyDescent="0.25">
      <c r="G1745" s="85"/>
      <c r="H1745" s="85"/>
    </row>
    <row r="1746" spans="7:8" x14ac:dyDescent="0.25">
      <c r="G1746" s="85"/>
      <c r="H1746" s="85"/>
    </row>
    <row r="1747" spans="7:8" x14ac:dyDescent="0.25">
      <c r="G1747" s="85"/>
      <c r="H1747" s="85"/>
    </row>
    <row r="1748" spans="7:8" x14ac:dyDescent="0.25">
      <c r="G1748" s="85"/>
      <c r="H1748" s="85"/>
    </row>
    <row r="1749" spans="7:8" x14ac:dyDescent="0.25">
      <c r="G1749" s="85"/>
      <c r="H1749" s="85"/>
    </row>
    <row r="1750" spans="7:8" x14ac:dyDescent="0.25">
      <c r="G1750" s="85"/>
      <c r="H1750" s="85"/>
    </row>
    <row r="1751" spans="7:8" x14ac:dyDescent="0.25">
      <c r="G1751" s="85"/>
      <c r="H1751" s="85"/>
    </row>
    <row r="1752" spans="7:8" x14ac:dyDescent="0.25">
      <c r="G1752" s="85"/>
      <c r="H1752" s="85"/>
    </row>
    <row r="1753" spans="7:8" x14ac:dyDescent="0.25">
      <c r="G1753" s="85"/>
      <c r="H1753" s="85"/>
    </row>
    <row r="1754" spans="7:8" x14ac:dyDescent="0.25">
      <c r="G1754" s="85"/>
      <c r="H1754" s="85"/>
    </row>
    <row r="1755" spans="7:8" x14ac:dyDescent="0.25">
      <c r="G1755" s="85"/>
      <c r="H1755" s="85"/>
    </row>
    <row r="1756" spans="7:8" x14ac:dyDescent="0.25">
      <c r="G1756" s="85"/>
      <c r="H1756" s="85"/>
    </row>
    <row r="1757" spans="7:8" x14ac:dyDescent="0.25">
      <c r="G1757" s="85"/>
      <c r="H1757" s="85"/>
    </row>
    <row r="1758" spans="7:8" x14ac:dyDescent="0.25">
      <c r="G1758" s="85"/>
      <c r="H1758" s="85"/>
    </row>
    <row r="1759" spans="7:8" x14ac:dyDescent="0.25">
      <c r="G1759" s="85"/>
      <c r="H1759" s="85"/>
    </row>
    <row r="1760" spans="7:8" x14ac:dyDescent="0.25">
      <c r="G1760" s="85"/>
      <c r="H1760" s="85"/>
    </row>
    <row r="1761" spans="7:8" x14ac:dyDescent="0.25">
      <c r="G1761" s="85"/>
      <c r="H1761" s="85"/>
    </row>
    <row r="1762" spans="7:8" x14ac:dyDescent="0.25">
      <c r="G1762" s="85"/>
      <c r="H1762" s="85"/>
    </row>
    <row r="1763" spans="7:8" x14ac:dyDescent="0.25">
      <c r="G1763" s="85"/>
      <c r="H1763" s="85"/>
    </row>
    <row r="1764" spans="7:8" x14ac:dyDescent="0.25">
      <c r="G1764" s="85"/>
      <c r="H1764" s="85"/>
    </row>
    <row r="1765" spans="7:8" x14ac:dyDescent="0.25">
      <c r="G1765" s="85"/>
      <c r="H1765" s="85"/>
    </row>
    <row r="1766" spans="7:8" x14ac:dyDescent="0.25">
      <c r="G1766" s="85"/>
      <c r="H1766" s="85"/>
    </row>
    <row r="1767" spans="7:8" x14ac:dyDescent="0.25">
      <c r="G1767" s="85"/>
      <c r="H1767" s="85"/>
    </row>
    <row r="1768" spans="7:8" x14ac:dyDescent="0.25">
      <c r="G1768" s="85"/>
      <c r="H1768" s="85"/>
    </row>
    <row r="1769" spans="7:8" x14ac:dyDescent="0.25">
      <c r="G1769" s="85"/>
      <c r="H1769" s="85"/>
    </row>
    <row r="1770" spans="7:8" x14ac:dyDescent="0.25">
      <c r="G1770" s="85"/>
      <c r="H1770" s="85"/>
    </row>
    <row r="1771" spans="7:8" x14ac:dyDescent="0.25">
      <c r="G1771" s="85"/>
      <c r="H1771" s="85"/>
    </row>
    <row r="1772" spans="7:8" x14ac:dyDescent="0.25">
      <c r="G1772" s="85"/>
      <c r="H1772" s="85"/>
    </row>
    <row r="1773" spans="7:8" x14ac:dyDescent="0.25">
      <c r="G1773" s="85"/>
      <c r="H1773" s="85"/>
    </row>
    <row r="1774" spans="7:8" x14ac:dyDescent="0.25">
      <c r="G1774" s="85"/>
      <c r="H1774" s="85"/>
    </row>
    <row r="1775" spans="7:8" x14ac:dyDescent="0.25">
      <c r="G1775" s="85"/>
      <c r="H1775" s="85"/>
    </row>
    <row r="1776" spans="7:8" x14ac:dyDescent="0.25">
      <c r="G1776" s="85"/>
      <c r="H1776" s="85"/>
    </row>
    <row r="1777" spans="7:8" x14ac:dyDescent="0.25">
      <c r="G1777" s="85"/>
      <c r="H1777" s="85"/>
    </row>
    <row r="1778" spans="7:8" x14ac:dyDescent="0.25">
      <c r="G1778" s="85"/>
      <c r="H1778" s="85"/>
    </row>
    <row r="1779" spans="7:8" x14ac:dyDescent="0.25">
      <c r="G1779" s="85"/>
      <c r="H1779" s="85"/>
    </row>
    <row r="1780" spans="7:8" x14ac:dyDescent="0.25">
      <c r="G1780" s="85"/>
      <c r="H1780" s="85"/>
    </row>
    <row r="1781" spans="7:8" x14ac:dyDescent="0.25">
      <c r="G1781" s="85"/>
      <c r="H1781" s="85"/>
    </row>
    <row r="1782" spans="7:8" x14ac:dyDescent="0.25">
      <c r="G1782" s="85"/>
      <c r="H1782" s="85"/>
    </row>
    <row r="1783" spans="7:8" x14ac:dyDescent="0.25">
      <c r="G1783" s="85"/>
      <c r="H1783" s="85"/>
    </row>
    <row r="1784" spans="7:8" x14ac:dyDescent="0.25">
      <c r="G1784" s="85"/>
      <c r="H1784" s="85"/>
    </row>
    <row r="1785" spans="7:8" x14ac:dyDescent="0.25">
      <c r="G1785" s="85"/>
      <c r="H1785" s="85"/>
    </row>
    <row r="1786" spans="7:8" x14ac:dyDescent="0.25">
      <c r="G1786" s="85"/>
      <c r="H1786" s="85"/>
    </row>
    <row r="1787" spans="7:8" x14ac:dyDescent="0.25">
      <c r="G1787" s="85"/>
      <c r="H1787" s="85"/>
    </row>
    <row r="1788" spans="7:8" x14ac:dyDescent="0.25">
      <c r="G1788" s="85"/>
      <c r="H1788" s="85"/>
    </row>
    <row r="1789" spans="7:8" x14ac:dyDescent="0.25">
      <c r="G1789" s="85"/>
      <c r="H1789" s="85"/>
    </row>
    <row r="1790" spans="7:8" x14ac:dyDescent="0.25">
      <c r="G1790" s="85"/>
      <c r="H1790" s="85"/>
    </row>
    <row r="1791" spans="7:8" x14ac:dyDescent="0.25">
      <c r="G1791" s="85"/>
      <c r="H1791" s="85"/>
    </row>
    <row r="1792" spans="7:8" x14ac:dyDescent="0.25">
      <c r="G1792" s="85"/>
      <c r="H1792" s="85"/>
    </row>
    <row r="1793" spans="7:8" x14ac:dyDescent="0.25">
      <c r="G1793" s="85"/>
      <c r="H1793" s="85"/>
    </row>
    <row r="1794" spans="7:8" x14ac:dyDescent="0.25">
      <c r="G1794" s="85"/>
      <c r="H1794" s="85"/>
    </row>
    <row r="1795" spans="7:8" x14ac:dyDescent="0.25">
      <c r="G1795" s="85"/>
      <c r="H1795" s="85"/>
    </row>
    <row r="1796" spans="7:8" x14ac:dyDescent="0.25">
      <c r="G1796" s="85"/>
      <c r="H1796" s="85"/>
    </row>
    <row r="1797" spans="7:8" x14ac:dyDescent="0.25">
      <c r="G1797" s="85"/>
      <c r="H1797" s="85"/>
    </row>
    <row r="1798" spans="7:8" x14ac:dyDescent="0.25">
      <c r="G1798" s="85"/>
      <c r="H1798" s="85"/>
    </row>
    <row r="1799" spans="7:8" x14ac:dyDescent="0.25">
      <c r="G1799" s="85"/>
      <c r="H1799" s="85"/>
    </row>
    <row r="1800" spans="7:8" x14ac:dyDescent="0.25">
      <c r="G1800" s="85"/>
      <c r="H1800" s="85"/>
    </row>
    <row r="1801" spans="7:8" x14ac:dyDescent="0.25">
      <c r="G1801" s="85"/>
      <c r="H1801" s="85"/>
    </row>
    <row r="1802" spans="7:8" x14ac:dyDescent="0.25">
      <c r="G1802" s="85"/>
      <c r="H1802" s="85"/>
    </row>
    <row r="1803" spans="7:8" x14ac:dyDescent="0.25">
      <c r="G1803" s="85"/>
      <c r="H1803" s="85"/>
    </row>
    <row r="1804" spans="7:8" x14ac:dyDescent="0.25">
      <c r="G1804" s="85"/>
      <c r="H1804" s="85"/>
    </row>
    <row r="1805" spans="7:8" x14ac:dyDescent="0.25">
      <c r="G1805" s="85"/>
      <c r="H1805" s="85"/>
    </row>
    <row r="1806" spans="7:8" x14ac:dyDescent="0.25">
      <c r="G1806" s="85"/>
      <c r="H1806" s="85"/>
    </row>
    <row r="1807" spans="7:8" x14ac:dyDescent="0.25">
      <c r="G1807" s="85"/>
      <c r="H1807" s="85"/>
    </row>
    <row r="1808" spans="7:8" x14ac:dyDescent="0.25">
      <c r="G1808" s="85"/>
      <c r="H1808" s="85"/>
    </row>
    <row r="1809" spans="7:8" x14ac:dyDescent="0.25">
      <c r="G1809" s="85"/>
      <c r="H1809" s="85"/>
    </row>
    <row r="1810" spans="7:8" x14ac:dyDescent="0.25">
      <c r="G1810" s="85"/>
      <c r="H1810" s="85"/>
    </row>
    <row r="1811" spans="7:8" x14ac:dyDescent="0.25">
      <c r="G1811" s="85"/>
      <c r="H1811" s="85"/>
    </row>
    <row r="1812" spans="7:8" x14ac:dyDescent="0.25">
      <c r="G1812" s="85"/>
      <c r="H1812" s="85"/>
    </row>
    <row r="1813" spans="7:8" x14ac:dyDescent="0.25">
      <c r="G1813" s="85"/>
      <c r="H1813" s="85"/>
    </row>
    <row r="1814" spans="7:8" x14ac:dyDescent="0.25">
      <c r="G1814" s="85"/>
      <c r="H1814" s="85"/>
    </row>
    <row r="1815" spans="7:8" x14ac:dyDescent="0.25">
      <c r="G1815" s="85"/>
      <c r="H1815" s="85"/>
    </row>
    <row r="1816" spans="7:8" x14ac:dyDescent="0.25">
      <c r="G1816" s="85"/>
      <c r="H1816" s="85"/>
    </row>
    <row r="1817" spans="7:8" x14ac:dyDescent="0.25">
      <c r="G1817" s="85"/>
      <c r="H1817" s="85"/>
    </row>
    <row r="1818" spans="7:8" x14ac:dyDescent="0.25">
      <c r="G1818" s="85"/>
      <c r="H1818" s="85"/>
    </row>
    <row r="1819" spans="7:8" x14ac:dyDescent="0.25">
      <c r="G1819" s="85"/>
      <c r="H1819" s="85"/>
    </row>
    <row r="1820" spans="7:8" x14ac:dyDescent="0.25">
      <c r="G1820" s="85"/>
      <c r="H1820" s="85"/>
    </row>
    <row r="1821" spans="7:8" x14ac:dyDescent="0.25">
      <c r="G1821" s="85"/>
      <c r="H1821" s="85"/>
    </row>
    <row r="1822" spans="7:8" x14ac:dyDescent="0.25">
      <c r="G1822" s="85"/>
      <c r="H1822" s="85"/>
    </row>
    <row r="1823" spans="7:8" x14ac:dyDescent="0.25">
      <c r="G1823" s="85"/>
      <c r="H1823" s="85"/>
    </row>
    <row r="1824" spans="7:8" x14ac:dyDescent="0.25">
      <c r="G1824" s="85"/>
      <c r="H1824" s="85"/>
    </row>
    <row r="1825" spans="7:8" x14ac:dyDescent="0.25">
      <c r="G1825" s="85"/>
      <c r="H1825" s="85"/>
    </row>
    <row r="1826" spans="7:8" x14ac:dyDescent="0.25">
      <c r="G1826" s="85"/>
      <c r="H1826" s="85"/>
    </row>
    <row r="1827" spans="7:8" x14ac:dyDescent="0.25">
      <c r="G1827" s="85"/>
      <c r="H1827" s="85"/>
    </row>
    <row r="1828" spans="7:8" x14ac:dyDescent="0.25">
      <c r="G1828" s="85"/>
      <c r="H1828" s="85"/>
    </row>
    <row r="1829" spans="7:8" x14ac:dyDescent="0.25">
      <c r="G1829" s="85"/>
      <c r="H1829" s="85"/>
    </row>
    <row r="1830" spans="7:8" x14ac:dyDescent="0.25">
      <c r="G1830" s="85"/>
      <c r="H1830" s="85"/>
    </row>
    <row r="1831" spans="7:8" x14ac:dyDescent="0.25">
      <c r="G1831" s="85"/>
      <c r="H1831" s="85"/>
    </row>
    <row r="1832" spans="7:8" x14ac:dyDescent="0.25">
      <c r="G1832" s="85"/>
      <c r="H1832" s="85"/>
    </row>
    <row r="1833" spans="7:8" x14ac:dyDescent="0.25">
      <c r="G1833" s="85"/>
      <c r="H1833" s="85"/>
    </row>
    <row r="1834" spans="7:8" x14ac:dyDescent="0.25">
      <c r="G1834" s="85"/>
      <c r="H1834" s="85"/>
    </row>
    <row r="1835" spans="7:8" x14ac:dyDescent="0.25">
      <c r="G1835" s="85"/>
      <c r="H1835" s="85"/>
    </row>
    <row r="1836" spans="7:8" x14ac:dyDescent="0.25">
      <c r="G1836" s="85"/>
      <c r="H1836" s="85"/>
    </row>
    <row r="1837" spans="7:8" x14ac:dyDescent="0.25">
      <c r="G1837" s="85"/>
      <c r="H1837" s="85"/>
    </row>
    <row r="1838" spans="7:8" x14ac:dyDescent="0.25">
      <c r="G1838" s="85"/>
      <c r="H1838" s="85"/>
    </row>
    <row r="1839" spans="7:8" x14ac:dyDescent="0.25">
      <c r="G1839" s="85"/>
      <c r="H1839" s="85"/>
    </row>
    <row r="1840" spans="7:8" x14ac:dyDescent="0.25">
      <c r="G1840" s="85"/>
      <c r="H1840" s="85"/>
    </row>
    <row r="1841" spans="7:8" x14ac:dyDescent="0.25">
      <c r="G1841" s="85"/>
      <c r="H1841" s="85"/>
    </row>
    <row r="1842" spans="7:8" x14ac:dyDescent="0.25">
      <c r="G1842" s="85"/>
      <c r="H1842" s="85"/>
    </row>
    <row r="1843" spans="7:8" x14ac:dyDescent="0.25">
      <c r="G1843" s="85"/>
      <c r="H1843" s="85"/>
    </row>
    <row r="1844" spans="7:8" x14ac:dyDescent="0.25">
      <c r="G1844" s="85"/>
      <c r="H1844" s="85"/>
    </row>
    <row r="1845" spans="7:8" x14ac:dyDescent="0.25">
      <c r="G1845" s="85"/>
      <c r="H1845" s="85"/>
    </row>
    <row r="1846" spans="7:8" x14ac:dyDescent="0.25">
      <c r="G1846" s="85"/>
      <c r="H1846" s="85"/>
    </row>
    <row r="1847" spans="7:8" x14ac:dyDescent="0.25">
      <c r="G1847" s="85"/>
      <c r="H1847" s="85"/>
    </row>
    <row r="1848" spans="7:8" x14ac:dyDescent="0.25">
      <c r="G1848" s="85"/>
      <c r="H1848" s="85"/>
    </row>
    <row r="1849" spans="7:8" x14ac:dyDescent="0.25">
      <c r="G1849" s="85"/>
      <c r="H1849" s="85"/>
    </row>
    <row r="1850" spans="7:8" x14ac:dyDescent="0.25">
      <c r="G1850" s="85"/>
      <c r="H1850" s="85"/>
    </row>
    <row r="1851" spans="7:8" x14ac:dyDescent="0.25">
      <c r="G1851" s="85"/>
      <c r="H1851" s="85"/>
    </row>
    <row r="1852" spans="7:8" x14ac:dyDescent="0.25">
      <c r="G1852" s="85"/>
      <c r="H1852" s="85"/>
    </row>
    <row r="1853" spans="7:8" x14ac:dyDescent="0.25">
      <c r="G1853" s="85"/>
      <c r="H1853" s="85"/>
    </row>
    <row r="1854" spans="7:8" x14ac:dyDescent="0.25">
      <c r="G1854" s="85"/>
      <c r="H1854" s="85"/>
    </row>
    <row r="1855" spans="7:8" x14ac:dyDescent="0.25">
      <c r="G1855" s="85"/>
      <c r="H1855" s="85"/>
    </row>
    <row r="1856" spans="7:8" x14ac:dyDescent="0.25">
      <c r="G1856" s="85"/>
      <c r="H1856" s="85"/>
    </row>
    <row r="1857" spans="7:8" x14ac:dyDescent="0.25">
      <c r="G1857" s="85"/>
      <c r="H1857" s="85"/>
    </row>
    <row r="1858" spans="7:8" x14ac:dyDescent="0.25">
      <c r="G1858" s="85"/>
      <c r="H1858" s="85"/>
    </row>
    <row r="1859" spans="7:8" x14ac:dyDescent="0.25">
      <c r="G1859" s="85"/>
      <c r="H1859" s="85"/>
    </row>
    <row r="1860" spans="7:8" x14ac:dyDescent="0.25">
      <c r="G1860" s="85"/>
      <c r="H1860" s="85"/>
    </row>
    <row r="1861" spans="7:8" x14ac:dyDescent="0.25">
      <c r="G1861" s="85"/>
      <c r="H1861" s="85"/>
    </row>
    <row r="1862" spans="7:8" x14ac:dyDescent="0.25">
      <c r="G1862" s="85"/>
      <c r="H1862" s="85"/>
    </row>
    <row r="1863" spans="7:8" x14ac:dyDescent="0.25">
      <c r="G1863" s="85"/>
      <c r="H1863" s="85"/>
    </row>
    <row r="1864" spans="7:8" x14ac:dyDescent="0.25">
      <c r="G1864" s="85"/>
      <c r="H1864" s="85"/>
    </row>
    <row r="1865" spans="7:8" x14ac:dyDescent="0.25">
      <c r="G1865" s="85"/>
      <c r="H1865" s="85"/>
    </row>
    <row r="1866" spans="7:8" x14ac:dyDescent="0.25">
      <c r="G1866" s="85"/>
      <c r="H1866" s="85"/>
    </row>
    <row r="1867" spans="7:8" x14ac:dyDescent="0.25">
      <c r="G1867" s="85"/>
      <c r="H1867" s="85"/>
    </row>
    <row r="1868" spans="7:8" x14ac:dyDescent="0.25">
      <c r="G1868" s="85"/>
      <c r="H1868" s="85"/>
    </row>
    <row r="1869" spans="7:8" x14ac:dyDescent="0.25">
      <c r="G1869" s="85"/>
      <c r="H1869" s="85"/>
    </row>
    <row r="1870" spans="7:8" x14ac:dyDescent="0.25">
      <c r="G1870" s="85"/>
      <c r="H1870" s="85"/>
    </row>
    <row r="1871" spans="7:8" x14ac:dyDescent="0.25">
      <c r="G1871" s="85"/>
      <c r="H1871" s="85"/>
    </row>
    <row r="1872" spans="7:8" x14ac:dyDescent="0.25">
      <c r="G1872" s="85"/>
      <c r="H1872" s="85"/>
    </row>
    <row r="1873" spans="7:8" x14ac:dyDescent="0.25">
      <c r="G1873" s="85"/>
      <c r="H1873" s="85"/>
    </row>
    <row r="1874" spans="7:8" x14ac:dyDescent="0.25">
      <c r="G1874" s="85"/>
      <c r="H1874" s="85"/>
    </row>
    <row r="1875" spans="7:8" x14ac:dyDescent="0.25">
      <c r="G1875" s="85"/>
      <c r="H1875" s="85"/>
    </row>
    <row r="1876" spans="7:8" x14ac:dyDescent="0.25">
      <c r="G1876" s="85"/>
      <c r="H1876" s="85"/>
    </row>
    <row r="1877" spans="7:8" x14ac:dyDescent="0.25">
      <c r="G1877" s="85"/>
      <c r="H1877" s="85"/>
    </row>
    <row r="1878" spans="7:8" x14ac:dyDescent="0.25">
      <c r="G1878" s="85"/>
      <c r="H1878" s="85"/>
    </row>
    <row r="1879" spans="7:8" x14ac:dyDescent="0.25">
      <c r="G1879" s="85"/>
      <c r="H1879" s="85"/>
    </row>
    <row r="1880" spans="7:8" x14ac:dyDescent="0.25">
      <c r="G1880" s="85"/>
      <c r="H1880" s="85"/>
    </row>
    <row r="1881" spans="7:8" x14ac:dyDescent="0.25">
      <c r="G1881" s="85"/>
      <c r="H1881" s="85"/>
    </row>
    <row r="1882" spans="7:8" x14ac:dyDescent="0.25">
      <c r="G1882" s="85"/>
      <c r="H1882" s="85"/>
    </row>
    <row r="1883" spans="7:8" x14ac:dyDescent="0.25">
      <c r="G1883" s="85"/>
      <c r="H1883" s="85"/>
    </row>
    <row r="1884" spans="7:8" x14ac:dyDescent="0.25">
      <c r="G1884" s="85"/>
      <c r="H1884" s="85"/>
    </row>
    <row r="1885" spans="7:8" x14ac:dyDescent="0.25">
      <c r="G1885" s="85"/>
      <c r="H1885" s="85"/>
    </row>
    <row r="1886" spans="7:8" x14ac:dyDescent="0.25">
      <c r="G1886" s="85"/>
      <c r="H1886" s="85"/>
    </row>
    <row r="1887" spans="7:8" x14ac:dyDescent="0.25">
      <c r="G1887" s="85"/>
      <c r="H1887" s="85"/>
    </row>
    <row r="1888" spans="7:8" x14ac:dyDescent="0.25">
      <c r="G1888" s="85"/>
      <c r="H1888" s="85"/>
    </row>
    <row r="1889" spans="7:8" x14ac:dyDescent="0.25">
      <c r="G1889" s="85"/>
      <c r="H1889" s="85"/>
    </row>
    <row r="1890" spans="7:8" x14ac:dyDescent="0.25">
      <c r="G1890" s="85"/>
      <c r="H1890" s="85"/>
    </row>
    <row r="1891" spans="7:8" x14ac:dyDescent="0.25">
      <c r="G1891" s="85"/>
      <c r="H1891" s="85"/>
    </row>
    <row r="1892" spans="7:8" x14ac:dyDescent="0.25">
      <c r="G1892" s="85"/>
      <c r="H1892" s="85"/>
    </row>
    <row r="1893" spans="7:8" x14ac:dyDescent="0.25">
      <c r="G1893" s="85"/>
      <c r="H1893" s="85"/>
    </row>
    <row r="1894" spans="7:8" x14ac:dyDescent="0.25">
      <c r="G1894" s="85"/>
      <c r="H1894" s="85"/>
    </row>
    <row r="1895" spans="7:8" x14ac:dyDescent="0.25">
      <c r="G1895" s="85"/>
      <c r="H1895" s="85"/>
    </row>
    <row r="1896" spans="7:8" x14ac:dyDescent="0.25">
      <c r="G1896" s="85"/>
      <c r="H1896" s="85"/>
    </row>
    <row r="1897" spans="7:8" x14ac:dyDescent="0.25">
      <c r="G1897" s="85"/>
      <c r="H1897" s="85"/>
    </row>
    <row r="1898" spans="7:8" x14ac:dyDescent="0.25">
      <c r="G1898" s="85"/>
      <c r="H1898" s="85"/>
    </row>
    <row r="1899" spans="7:8" x14ac:dyDescent="0.25">
      <c r="G1899" s="85"/>
      <c r="H1899" s="85"/>
    </row>
    <row r="1900" spans="7:8" x14ac:dyDescent="0.25">
      <c r="G1900" s="85"/>
      <c r="H1900" s="85"/>
    </row>
    <row r="1901" spans="7:8" x14ac:dyDescent="0.25">
      <c r="G1901" s="85"/>
      <c r="H1901" s="85"/>
    </row>
    <row r="1902" spans="7:8" x14ac:dyDescent="0.25">
      <c r="G1902" s="85"/>
      <c r="H1902" s="85"/>
    </row>
    <row r="1903" spans="7:8" x14ac:dyDescent="0.25">
      <c r="G1903" s="85"/>
      <c r="H1903" s="85"/>
    </row>
    <row r="1904" spans="7:8" x14ac:dyDescent="0.25">
      <c r="G1904" s="85"/>
      <c r="H1904" s="85"/>
    </row>
    <row r="1905" spans="7:8" x14ac:dyDescent="0.25">
      <c r="G1905" s="85"/>
      <c r="H1905" s="85"/>
    </row>
    <row r="1906" spans="7:8" x14ac:dyDescent="0.25">
      <c r="G1906" s="85"/>
      <c r="H1906" s="85"/>
    </row>
    <row r="1907" spans="7:8" x14ac:dyDescent="0.25">
      <c r="G1907" s="85"/>
      <c r="H1907" s="85"/>
    </row>
    <row r="1908" spans="7:8" x14ac:dyDescent="0.25">
      <c r="G1908" s="85"/>
      <c r="H1908" s="85"/>
    </row>
    <row r="1909" spans="7:8" x14ac:dyDescent="0.25">
      <c r="G1909" s="85"/>
      <c r="H1909" s="85"/>
    </row>
    <row r="1910" spans="7:8" x14ac:dyDescent="0.25">
      <c r="G1910" s="85"/>
      <c r="H1910" s="85"/>
    </row>
    <row r="1911" spans="7:8" x14ac:dyDescent="0.25">
      <c r="G1911" s="85"/>
      <c r="H1911" s="85"/>
    </row>
    <row r="1912" spans="7:8" x14ac:dyDescent="0.25">
      <c r="G1912" s="85"/>
      <c r="H1912" s="85"/>
    </row>
    <row r="1913" spans="7:8" x14ac:dyDescent="0.25">
      <c r="G1913" s="85"/>
      <c r="H1913" s="85"/>
    </row>
    <row r="1914" spans="7:8" x14ac:dyDescent="0.25">
      <c r="G1914" s="85"/>
      <c r="H1914" s="85"/>
    </row>
    <row r="1915" spans="7:8" x14ac:dyDescent="0.25">
      <c r="G1915" s="85"/>
      <c r="H1915" s="85"/>
    </row>
    <row r="1916" spans="7:8" x14ac:dyDescent="0.25">
      <c r="G1916" s="85"/>
      <c r="H1916" s="85"/>
    </row>
    <row r="1917" spans="7:8" x14ac:dyDescent="0.25">
      <c r="G1917" s="85"/>
      <c r="H1917" s="85"/>
    </row>
    <row r="1918" spans="7:8" x14ac:dyDescent="0.25">
      <c r="G1918" s="85"/>
      <c r="H1918" s="85"/>
    </row>
    <row r="1919" spans="7:8" x14ac:dyDescent="0.25">
      <c r="G1919" s="85"/>
      <c r="H1919" s="85"/>
    </row>
    <row r="1920" spans="7:8" x14ac:dyDescent="0.25">
      <c r="G1920" s="85"/>
      <c r="H1920" s="85"/>
    </row>
    <row r="1921" spans="7:8" x14ac:dyDescent="0.25">
      <c r="G1921" s="85"/>
      <c r="H1921" s="85"/>
    </row>
    <row r="1922" spans="7:8" x14ac:dyDescent="0.25">
      <c r="G1922" s="85"/>
      <c r="H1922" s="85"/>
    </row>
    <row r="1923" spans="7:8" x14ac:dyDescent="0.25">
      <c r="G1923" s="85"/>
      <c r="H1923" s="85"/>
    </row>
    <row r="1924" spans="7:8" x14ac:dyDescent="0.25">
      <c r="G1924" s="85"/>
      <c r="H1924" s="85"/>
    </row>
    <row r="1925" spans="7:8" x14ac:dyDescent="0.25">
      <c r="G1925" s="85"/>
      <c r="H1925" s="85"/>
    </row>
    <row r="1926" spans="7:8" x14ac:dyDescent="0.25">
      <c r="G1926" s="85"/>
      <c r="H1926" s="85"/>
    </row>
    <row r="1927" spans="7:8" x14ac:dyDescent="0.25">
      <c r="G1927" s="85"/>
      <c r="H1927" s="85"/>
    </row>
    <row r="1928" spans="7:8" x14ac:dyDescent="0.25">
      <c r="G1928" s="85"/>
      <c r="H1928" s="85"/>
    </row>
    <row r="1929" spans="7:8" x14ac:dyDescent="0.25">
      <c r="G1929" s="85"/>
      <c r="H1929" s="85"/>
    </row>
    <row r="1930" spans="7:8" x14ac:dyDescent="0.25">
      <c r="G1930" s="85"/>
      <c r="H1930" s="85"/>
    </row>
    <row r="1931" spans="7:8" x14ac:dyDescent="0.25">
      <c r="G1931" s="85"/>
      <c r="H1931" s="85"/>
    </row>
    <row r="1932" spans="7:8" x14ac:dyDescent="0.25">
      <c r="G1932" s="85"/>
      <c r="H1932" s="85"/>
    </row>
    <row r="1933" spans="7:8" x14ac:dyDescent="0.25">
      <c r="G1933" s="85"/>
      <c r="H1933" s="85"/>
    </row>
    <row r="1934" spans="7:8" x14ac:dyDescent="0.25">
      <c r="G1934" s="85"/>
      <c r="H1934" s="85"/>
    </row>
    <row r="1935" spans="7:8" x14ac:dyDescent="0.25">
      <c r="G1935" s="85"/>
      <c r="H1935" s="85"/>
    </row>
    <row r="1936" spans="7:8" x14ac:dyDescent="0.25">
      <c r="G1936" s="85"/>
      <c r="H1936" s="85"/>
    </row>
    <row r="1937" spans="7:8" x14ac:dyDescent="0.25">
      <c r="G1937" s="85"/>
      <c r="H1937" s="85"/>
    </row>
    <row r="1938" spans="7:8" x14ac:dyDescent="0.25">
      <c r="G1938" s="85"/>
      <c r="H1938" s="85"/>
    </row>
    <row r="1939" spans="7:8" x14ac:dyDescent="0.25">
      <c r="G1939" s="85"/>
      <c r="H1939" s="85"/>
    </row>
    <row r="1940" spans="7:8" x14ac:dyDescent="0.25">
      <c r="G1940" s="85"/>
      <c r="H1940" s="85"/>
    </row>
    <row r="1941" spans="7:8" x14ac:dyDescent="0.25">
      <c r="G1941" s="85"/>
      <c r="H1941" s="85"/>
    </row>
    <row r="1942" spans="7:8" x14ac:dyDescent="0.25">
      <c r="G1942" s="85"/>
      <c r="H1942" s="85"/>
    </row>
    <row r="1943" spans="7:8" x14ac:dyDescent="0.25">
      <c r="G1943" s="85"/>
      <c r="H1943" s="85"/>
    </row>
    <row r="1944" spans="7:8" x14ac:dyDescent="0.25">
      <c r="G1944" s="85"/>
      <c r="H1944" s="85"/>
    </row>
    <row r="1945" spans="7:8" x14ac:dyDescent="0.25">
      <c r="G1945" s="85"/>
      <c r="H1945" s="85"/>
    </row>
    <row r="1946" spans="7:8" x14ac:dyDescent="0.25">
      <c r="G1946" s="85"/>
      <c r="H1946" s="85"/>
    </row>
    <row r="1947" spans="7:8" x14ac:dyDescent="0.25">
      <c r="G1947" s="85"/>
      <c r="H1947" s="85"/>
    </row>
    <row r="1948" spans="7:8" x14ac:dyDescent="0.25">
      <c r="G1948" s="85"/>
      <c r="H1948" s="85"/>
    </row>
    <row r="1949" spans="7:8" x14ac:dyDescent="0.25">
      <c r="G1949" s="85"/>
      <c r="H1949" s="85"/>
    </row>
    <row r="1950" spans="7:8" x14ac:dyDescent="0.25">
      <c r="G1950" s="85"/>
      <c r="H1950" s="85"/>
    </row>
    <row r="1951" spans="7:8" x14ac:dyDescent="0.25">
      <c r="G1951" s="85"/>
      <c r="H1951" s="85"/>
    </row>
    <row r="1952" spans="7:8" x14ac:dyDescent="0.25">
      <c r="G1952" s="85"/>
      <c r="H1952" s="85"/>
    </row>
    <row r="1953" spans="7:8" x14ac:dyDescent="0.25">
      <c r="G1953" s="85"/>
      <c r="H1953" s="85"/>
    </row>
    <row r="1954" spans="7:8" x14ac:dyDescent="0.25">
      <c r="G1954" s="85"/>
      <c r="H1954" s="85"/>
    </row>
    <row r="1955" spans="7:8" x14ac:dyDescent="0.25">
      <c r="G1955" s="85"/>
      <c r="H1955" s="85"/>
    </row>
    <row r="1956" spans="7:8" x14ac:dyDescent="0.25">
      <c r="G1956" s="85"/>
      <c r="H1956" s="85"/>
    </row>
    <row r="1957" spans="7:8" x14ac:dyDescent="0.25">
      <c r="G1957" s="85"/>
      <c r="H1957" s="85"/>
    </row>
    <row r="1958" spans="7:8" x14ac:dyDescent="0.25">
      <c r="G1958" s="85"/>
      <c r="H1958" s="85"/>
    </row>
    <row r="1959" spans="7:8" x14ac:dyDescent="0.25">
      <c r="G1959" s="85"/>
      <c r="H1959" s="85"/>
    </row>
    <row r="1960" spans="7:8" x14ac:dyDescent="0.25">
      <c r="G1960" s="85"/>
      <c r="H1960" s="85"/>
    </row>
    <row r="1961" spans="7:8" x14ac:dyDescent="0.25">
      <c r="G1961" s="85"/>
      <c r="H1961" s="85"/>
    </row>
    <row r="1962" spans="7:8" x14ac:dyDescent="0.25">
      <c r="G1962" s="85"/>
      <c r="H1962" s="85"/>
    </row>
    <row r="1963" spans="7:8" x14ac:dyDescent="0.25">
      <c r="G1963" s="85"/>
      <c r="H1963" s="85"/>
    </row>
    <row r="1964" spans="7:8" x14ac:dyDescent="0.25">
      <c r="G1964" s="85"/>
      <c r="H1964" s="85"/>
    </row>
    <row r="1965" spans="7:8" x14ac:dyDescent="0.25">
      <c r="G1965" s="85"/>
      <c r="H1965" s="85"/>
    </row>
    <row r="1966" spans="7:8" x14ac:dyDescent="0.25">
      <c r="G1966" s="85"/>
      <c r="H1966" s="85"/>
    </row>
    <row r="1967" spans="7:8" x14ac:dyDescent="0.25">
      <c r="G1967" s="85"/>
      <c r="H1967" s="85"/>
    </row>
    <row r="1968" spans="7:8" x14ac:dyDescent="0.25">
      <c r="G1968" s="85"/>
      <c r="H1968" s="85"/>
    </row>
    <row r="1969" spans="7:8" x14ac:dyDescent="0.25">
      <c r="G1969" s="85"/>
      <c r="H1969" s="85"/>
    </row>
    <row r="1970" spans="7:8" x14ac:dyDescent="0.25">
      <c r="G1970" s="85"/>
      <c r="H1970" s="85"/>
    </row>
    <row r="1971" spans="7:8" x14ac:dyDescent="0.25">
      <c r="G1971" s="85"/>
      <c r="H1971" s="85"/>
    </row>
    <row r="1972" spans="7:8" x14ac:dyDescent="0.25">
      <c r="G1972" s="85"/>
      <c r="H1972" s="85"/>
    </row>
    <row r="1973" spans="7:8" x14ac:dyDescent="0.25">
      <c r="G1973" s="85"/>
      <c r="H1973" s="85"/>
    </row>
    <row r="1974" spans="7:8" x14ac:dyDescent="0.25">
      <c r="G1974" s="85"/>
      <c r="H1974" s="85"/>
    </row>
    <row r="1975" spans="7:8" x14ac:dyDescent="0.25">
      <c r="G1975" s="85"/>
      <c r="H1975" s="85"/>
    </row>
    <row r="1976" spans="7:8" x14ac:dyDescent="0.25">
      <c r="G1976" s="85"/>
      <c r="H1976" s="85"/>
    </row>
    <row r="1977" spans="7:8" x14ac:dyDescent="0.25">
      <c r="G1977" s="85"/>
      <c r="H1977" s="85"/>
    </row>
    <row r="1978" spans="7:8" x14ac:dyDescent="0.25">
      <c r="G1978" s="85"/>
      <c r="H1978" s="85"/>
    </row>
    <row r="1979" spans="7:8" x14ac:dyDescent="0.25">
      <c r="G1979" s="85"/>
      <c r="H1979" s="85"/>
    </row>
    <row r="1980" spans="7:8" x14ac:dyDescent="0.25">
      <c r="G1980" s="85"/>
      <c r="H1980" s="85"/>
    </row>
    <row r="1981" spans="7:8" x14ac:dyDescent="0.25">
      <c r="G1981" s="85"/>
      <c r="H1981" s="85"/>
    </row>
    <row r="1982" spans="7:8" x14ac:dyDescent="0.25">
      <c r="G1982" s="85"/>
      <c r="H1982" s="85"/>
    </row>
    <row r="1983" spans="7:8" x14ac:dyDescent="0.25">
      <c r="G1983" s="85"/>
      <c r="H1983" s="85"/>
    </row>
    <row r="1984" spans="7:8" x14ac:dyDescent="0.25">
      <c r="G1984" s="85"/>
      <c r="H1984" s="85"/>
    </row>
    <row r="1985" spans="7:8" x14ac:dyDescent="0.25">
      <c r="G1985" s="85"/>
      <c r="H1985" s="85"/>
    </row>
    <row r="1986" spans="7:8" x14ac:dyDescent="0.25">
      <c r="G1986" s="85"/>
      <c r="H1986" s="85"/>
    </row>
    <row r="1987" spans="7:8" x14ac:dyDescent="0.25">
      <c r="G1987" s="85"/>
      <c r="H1987" s="85"/>
    </row>
    <row r="1988" spans="7:8" x14ac:dyDescent="0.25">
      <c r="G1988" s="85"/>
      <c r="H1988" s="85"/>
    </row>
    <row r="1989" spans="7:8" x14ac:dyDescent="0.25">
      <c r="G1989" s="85"/>
      <c r="H1989" s="85"/>
    </row>
    <row r="1990" spans="7:8" x14ac:dyDescent="0.25">
      <c r="G1990" s="85"/>
      <c r="H1990" s="85"/>
    </row>
    <row r="1991" spans="7:8" x14ac:dyDescent="0.25">
      <c r="G1991" s="85"/>
      <c r="H1991" s="85"/>
    </row>
    <row r="1992" spans="7:8" x14ac:dyDescent="0.25">
      <c r="G1992" s="85"/>
      <c r="H1992" s="85"/>
    </row>
    <row r="1993" spans="7:8" x14ac:dyDescent="0.25">
      <c r="G1993" s="85"/>
      <c r="H1993" s="85"/>
    </row>
    <row r="1994" spans="7:8" x14ac:dyDescent="0.25">
      <c r="G1994" s="85"/>
      <c r="H1994" s="85"/>
    </row>
    <row r="1995" spans="7:8" x14ac:dyDescent="0.25">
      <c r="G1995" s="85"/>
      <c r="H1995" s="85"/>
    </row>
    <row r="1996" spans="7:8" x14ac:dyDescent="0.25">
      <c r="G1996" s="85"/>
      <c r="H1996" s="85"/>
    </row>
    <row r="1997" spans="7:8" x14ac:dyDescent="0.25">
      <c r="G1997" s="85"/>
      <c r="H1997" s="85"/>
    </row>
    <row r="1998" spans="7:8" x14ac:dyDescent="0.25">
      <c r="G1998" s="85"/>
      <c r="H1998" s="85"/>
    </row>
    <row r="1999" spans="7:8" x14ac:dyDescent="0.25">
      <c r="G1999" s="85"/>
      <c r="H1999" s="85"/>
    </row>
    <row r="2000" spans="7:8" x14ac:dyDescent="0.25">
      <c r="G2000" s="85"/>
      <c r="H2000" s="85"/>
    </row>
  </sheetData>
  <autoFilter ref="A2:I2" xr:uid="{00000000-0009-0000-0000-00000D000000}"/>
  <mergeCells count="1">
    <mergeCell ref="A1:I1"/>
  </mergeCells>
  <dataValidations count="2">
    <dataValidation type="list" allowBlank="1" sqref="D3:D2000" xr:uid="{00000000-0002-0000-0D00-000000000000}">
      <formula1>"Maandelijks,Kwartaal,Halfjaarlijks,Jaarlijks,Ad hoc"</formula1>
    </dataValidation>
    <dataValidation type="list" allowBlank="1" sqref="I3:I2000" xr:uid="{00000000-0002-0000-0D00-000001000000}">
      <formula1>"OK,Te controleren,Vervallen"</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15"/>
  <dimension ref="A1:I2000"/>
  <sheetViews>
    <sheetView showGridLines="0" workbookViewId="0">
      <pane ySplit="2" topLeftCell="A3" activePane="bottomLeft" state="frozen"/>
      <selection pane="bottomLeft"/>
    </sheetView>
  </sheetViews>
  <sheetFormatPr defaultRowHeight="15" x14ac:dyDescent="0.25"/>
  <cols>
    <col min="1" max="1" width="10" customWidth="1"/>
    <col min="2" max="2" width="20" customWidth="1"/>
    <col min="3" max="3" width="25" customWidth="1"/>
    <col min="4" max="4" width="14" customWidth="1"/>
    <col min="5" max="5" width="60" customWidth="1"/>
    <col min="6" max="6" width="14" customWidth="1"/>
    <col min="7" max="7" width="25" customWidth="1"/>
    <col min="8" max="8" width="18" customWidth="1"/>
    <col min="9" max="9" width="16" customWidth="1"/>
  </cols>
  <sheetData>
    <row r="1" spans="1:9" ht="33.950000000000003" customHeight="1" x14ac:dyDescent="0.25">
      <c r="A1" s="106" t="s">
        <v>1177</v>
      </c>
      <c r="B1" s="88"/>
      <c r="C1" s="88"/>
      <c r="D1" s="88"/>
      <c r="E1" s="88"/>
      <c r="F1" s="88"/>
      <c r="G1" s="88"/>
      <c r="H1" s="88"/>
      <c r="I1" s="88"/>
    </row>
    <row r="2" spans="1:9" ht="30" customHeight="1" x14ac:dyDescent="0.25">
      <c r="A2" s="6" t="s">
        <v>1178</v>
      </c>
      <c r="B2" s="6" t="s">
        <v>1179</v>
      </c>
      <c r="C2" s="6" t="s">
        <v>1169</v>
      </c>
      <c r="D2" s="6" t="s">
        <v>9</v>
      </c>
      <c r="E2" s="6" t="s">
        <v>1180</v>
      </c>
      <c r="F2" s="6" t="s">
        <v>1181</v>
      </c>
      <c r="G2" s="6" t="s">
        <v>1165</v>
      </c>
      <c r="H2" s="6" t="s">
        <v>1163</v>
      </c>
      <c r="I2" s="6" t="s">
        <v>1182</v>
      </c>
    </row>
    <row r="3" spans="1:9" x14ac:dyDescent="0.25">
      <c r="A3" s="84" t="s">
        <v>1183</v>
      </c>
      <c r="F3" s="85"/>
      <c r="I3" s="85"/>
    </row>
    <row r="4" spans="1:9" x14ac:dyDescent="0.25">
      <c r="F4" s="85"/>
      <c r="I4" s="85"/>
    </row>
    <row r="5" spans="1:9" x14ac:dyDescent="0.25">
      <c r="F5" s="85"/>
      <c r="I5" s="85"/>
    </row>
    <row r="6" spans="1:9" x14ac:dyDescent="0.25">
      <c r="F6" s="85"/>
      <c r="I6" s="85"/>
    </row>
    <row r="7" spans="1:9" x14ac:dyDescent="0.25">
      <c r="F7" s="85"/>
      <c r="I7" s="85"/>
    </row>
    <row r="8" spans="1:9" x14ac:dyDescent="0.25">
      <c r="F8" s="85"/>
      <c r="I8" s="85"/>
    </row>
    <row r="9" spans="1:9" x14ac:dyDescent="0.25">
      <c r="F9" s="85"/>
      <c r="I9" s="85"/>
    </row>
    <row r="10" spans="1:9" x14ac:dyDescent="0.25">
      <c r="F10" s="85"/>
      <c r="I10" s="85"/>
    </row>
    <row r="11" spans="1:9" x14ac:dyDescent="0.25">
      <c r="F11" s="85"/>
      <c r="I11" s="85"/>
    </row>
    <row r="12" spans="1:9" x14ac:dyDescent="0.25">
      <c r="F12" s="85"/>
      <c r="I12" s="85"/>
    </row>
    <row r="13" spans="1:9" x14ac:dyDescent="0.25">
      <c r="F13" s="85"/>
      <c r="I13" s="85"/>
    </row>
    <row r="14" spans="1:9" x14ac:dyDescent="0.25">
      <c r="F14" s="85"/>
      <c r="I14" s="85"/>
    </row>
    <row r="15" spans="1:9" x14ac:dyDescent="0.25">
      <c r="F15" s="85"/>
      <c r="I15" s="85"/>
    </row>
    <row r="16" spans="1:9" x14ac:dyDescent="0.25">
      <c r="F16" s="85"/>
      <c r="I16" s="85"/>
    </row>
    <row r="17" spans="6:9" x14ac:dyDescent="0.25">
      <c r="F17" s="85"/>
      <c r="I17" s="85"/>
    </row>
    <row r="18" spans="6:9" x14ac:dyDescent="0.25">
      <c r="F18" s="85"/>
      <c r="I18" s="85"/>
    </row>
    <row r="19" spans="6:9" x14ac:dyDescent="0.25">
      <c r="F19" s="85"/>
      <c r="I19" s="85"/>
    </row>
    <row r="20" spans="6:9" x14ac:dyDescent="0.25">
      <c r="F20" s="85"/>
      <c r="I20" s="85"/>
    </row>
    <row r="21" spans="6:9" x14ac:dyDescent="0.25">
      <c r="F21" s="85"/>
      <c r="I21" s="85"/>
    </row>
    <row r="22" spans="6:9" x14ac:dyDescent="0.25">
      <c r="F22" s="85"/>
      <c r="I22" s="85"/>
    </row>
    <row r="23" spans="6:9" x14ac:dyDescent="0.25">
      <c r="F23" s="85"/>
      <c r="I23" s="85"/>
    </row>
    <row r="24" spans="6:9" x14ac:dyDescent="0.25">
      <c r="F24" s="85"/>
      <c r="I24" s="85"/>
    </row>
    <row r="25" spans="6:9" x14ac:dyDescent="0.25">
      <c r="F25" s="85"/>
      <c r="I25" s="85"/>
    </row>
    <row r="26" spans="6:9" x14ac:dyDescent="0.25">
      <c r="F26" s="85"/>
      <c r="I26" s="85"/>
    </row>
    <row r="27" spans="6:9" x14ac:dyDescent="0.25">
      <c r="F27" s="85"/>
      <c r="I27" s="85"/>
    </row>
    <row r="28" spans="6:9" x14ac:dyDescent="0.25">
      <c r="F28" s="85"/>
      <c r="I28" s="85"/>
    </row>
    <row r="29" spans="6:9" x14ac:dyDescent="0.25">
      <c r="F29" s="85"/>
      <c r="I29" s="85"/>
    </row>
    <row r="30" spans="6:9" x14ac:dyDescent="0.25">
      <c r="F30" s="85"/>
      <c r="I30" s="85"/>
    </row>
    <row r="31" spans="6:9" x14ac:dyDescent="0.25">
      <c r="F31" s="85"/>
      <c r="I31" s="85"/>
    </row>
    <row r="32" spans="6:9" x14ac:dyDescent="0.25">
      <c r="F32" s="85"/>
      <c r="I32" s="85"/>
    </row>
    <row r="33" spans="6:9" x14ac:dyDescent="0.25">
      <c r="F33" s="85"/>
      <c r="I33" s="85"/>
    </row>
    <row r="34" spans="6:9" x14ac:dyDescent="0.25">
      <c r="F34" s="85"/>
      <c r="I34" s="85"/>
    </row>
    <row r="35" spans="6:9" x14ac:dyDescent="0.25">
      <c r="F35" s="85"/>
      <c r="I35" s="85"/>
    </row>
    <row r="36" spans="6:9" x14ac:dyDescent="0.25">
      <c r="F36" s="85"/>
      <c r="I36" s="85"/>
    </row>
    <row r="37" spans="6:9" x14ac:dyDescent="0.25">
      <c r="F37" s="85"/>
      <c r="I37" s="85"/>
    </row>
    <row r="38" spans="6:9" x14ac:dyDescent="0.25">
      <c r="F38" s="85"/>
      <c r="I38" s="85"/>
    </row>
    <row r="39" spans="6:9" x14ac:dyDescent="0.25">
      <c r="F39" s="85"/>
      <c r="I39" s="85"/>
    </row>
    <row r="40" spans="6:9" x14ac:dyDescent="0.25">
      <c r="F40" s="85"/>
      <c r="I40" s="85"/>
    </row>
    <row r="41" spans="6:9" x14ac:dyDescent="0.25">
      <c r="F41" s="85"/>
      <c r="I41" s="85"/>
    </row>
    <row r="42" spans="6:9" x14ac:dyDescent="0.25">
      <c r="F42" s="85"/>
      <c r="I42" s="85"/>
    </row>
    <row r="43" spans="6:9" x14ac:dyDescent="0.25">
      <c r="F43" s="85"/>
      <c r="I43" s="85"/>
    </row>
    <row r="44" spans="6:9" x14ac:dyDescent="0.25">
      <c r="F44" s="85"/>
      <c r="I44" s="85"/>
    </row>
    <row r="45" spans="6:9" x14ac:dyDescent="0.25">
      <c r="F45" s="85"/>
      <c r="I45" s="85"/>
    </row>
    <row r="46" spans="6:9" x14ac:dyDescent="0.25">
      <c r="F46" s="85"/>
      <c r="I46" s="85"/>
    </row>
    <row r="47" spans="6:9" x14ac:dyDescent="0.25">
      <c r="F47" s="85"/>
      <c r="I47" s="85"/>
    </row>
    <row r="48" spans="6:9" x14ac:dyDescent="0.25">
      <c r="F48" s="85"/>
      <c r="I48" s="85"/>
    </row>
    <row r="49" spans="6:9" x14ac:dyDescent="0.25">
      <c r="F49" s="85"/>
      <c r="I49" s="85"/>
    </row>
    <row r="50" spans="6:9" x14ac:dyDescent="0.25">
      <c r="F50" s="85"/>
      <c r="I50" s="85"/>
    </row>
    <row r="51" spans="6:9" x14ac:dyDescent="0.25">
      <c r="F51" s="85"/>
      <c r="I51" s="85"/>
    </row>
    <row r="52" spans="6:9" x14ac:dyDescent="0.25">
      <c r="F52" s="85"/>
      <c r="I52" s="85"/>
    </row>
    <row r="53" spans="6:9" x14ac:dyDescent="0.25">
      <c r="F53" s="85"/>
      <c r="I53" s="85"/>
    </row>
    <row r="54" spans="6:9" x14ac:dyDescent="0.25">
      <c r="F54" s="85"/>
      <c r="I54" s="85"/>
    </row>
    <row r="55" spans="6:9" x14ac:dyDescent="0.25">
      <c r="F55" s="85"/>
      <c r="I55" s="85"/>
    </row>
    <row r="56" spans="6:9" x14ac:dyDescent="0.25">
      <c r="F56" s="85"/>
      <c r="I56" s="85"/>
    </row>
    <row r="57" spans="6:9" x14ac:dyDescent="0.25">
      <c r="F57" s="85"/>
      <c r="I57" s="85"/>
    </row>
    <row r="58" spans="6:9" x14ac:dyDescent="0.25">
      <c r="F58" s="85"/>
      <c r="I58" s="85"/>
    </row>
    <row r="59" spans="6:9" x14ac:dyDescent="0.25">
      <c r="F59" s="85"/>
      <c r="I59" s="85"/>
    </row>
    <row r="60" spans="6:9" x14ac:dyDescent="0.25">
      <c r="F60" s="85"/>
      <c r="I60" s="85"/>
    </row>
    <row r="61" spans="6:9" x14ac:dyDescent="0.25">
      <c r="F61" s="85"/>
      <c r="I61" s="85"/>
    </row>
    <row r="62" spans="6:9" x14ac:dyDescent="0.25">
      <c r="F62" s="85"/>
      <c r="I62" s="85"/>
    </row>
    <row r="63" spans="6:9" x14ac:dyDescent="0.25">
      <c r="F63" s="85"/>
      <c r="I63" s="85"/>
    </row>
    <row r="64" spans="6:9" x14ac:dyDescent="0.25">
      <c r="F64" s="85"/>
      <c r="I64" s="85"/>
    </row>
    <row r="65" spans="6:9" x14ac:dyDescent="0.25">
      <c r="F65" s="85"/>
      <c r="I65" s="85"/>
    </row>
    <row r="66" spans="6:9" x14ac:dyDescent="0.25">
      <c r="F66" s="85"/>
      <c r="I66" s="85"/>
    </row>
    <row r="67" spans="6:9" x14ac:dyDescent="0.25">
      <c r="F67" s="85"/>
      <c r="I67" s="85"/>
    </row>
    <row r="68" spans="6:9" x14ac:dyDescent="0.25">
      <c r="F68" s="85"/>
      <c r="I68" s="85"/>
    </row>
    <row r="69" spans="6:9" x14ac:dyDescent="0.25">
      <c r="F69" s="85"/>
      <c r="I69" s="85"/>
    </row>
    <row r="70" spans="6:9" x14ac:dyDescent="0.25">
      <c r="F70" s="85"/>
      <c r="I70" s="85"/>
    </row>
    <row r="71" spans="6:9" x14ac:dyDescent="0.25">
      <c r="F71" s="85"/>
      <c r="I71" s="85"/>
    </row>
    <row r="72" spans="6:9" x14ac:dyDescent="0.25">
      <c r="F72" s="85"/>
      <c r="I72" s="85"/>
    </row>
    <row r="73" spans="6:9" x14ac:dyDescent="0.25">
      <c r="F73" s="85"/>
      <c r="I73" s="85"/>
    </row>
    <row r="74" spans="6:9" x14ac:dyDescent="0.25">
      <c r="F74" s="85"/>
      <c r="I74" s="85"/>
    </row>
    <row r="75" spans="6:9" x14ac:dyDescent="0.25">
      <c r="F75" s="85"/>
      <c r="I75" s="85"/>
    </row>
    <row r="76" spans="6:9" x14ac:dyDescent="0.25">
      <c r="F76" s="85"/>
      <c r="I76" s="85"/>
    </row>
    <row r="77" spans="6:9" x14ac:dyDescent="0.25">
      <c r="F77" s="85"/>
      <c r="I77" s="85"/>
    </row>
    <row r="78" spans="6:9" x14ac:dyDescent="0.25">
      <c r="F78" s="85"/>
      <c r="I78" s="85"/>
    </row>
    <row r="79" spans="6:9" x14ac:dyDescent="0.25">
      <c r="F79" s="85"/>
      <c r="I79" s="85"/>
    </row>
    <row r="80" spans="6:9" x14ac:dyDescent="0.25">
      <c r="F80" s="85"/>
      <c r="I80" s="85"/>
    </row>
    <row r="81" spans="6:9" x14ac:dyDescent="0.25">
      <c r="F81" s="85"/>
      <c r="I81" s="85"/>
    </row>
    <row r="82" spans="6:9" x14ac:dyDescent="0.25">
      <c r="F82" s="85"/>
      <c r="I82" s="85"/>
    </row>
    <row r="83" spans="6:9" x14ac:dyDescent="0.25">
      <c r="F83" s="85"/>
      <c r="I83" s="85"/>
    </row>
    <row r="84" spans="6:9" x14ac:dyDescent="0.25">
      <c r="F84" s="85"/>
      <c r="I84" s="85"/>
    </row>
    <row r="85" spans="6:9" x14ac:dyDescent="0.25">
      <c r="F85" s="85"/>
      <c r="I85" s="85"/>
    </row>
    <row r="86" spans="6:9" x14ac:dyDescent="0.25">
      <c r="F86" s="85"/>
      <c r="I86" s="85"/>
    </row>
    <row r="87" spans="6:9" x14ac:dyDescent="0.25">
      <c r="F87" s="85"/>
      <c r="I87" s="85"/>
    </row>
    <row r="88" spans="6:9" x14ac:dyDescent="0.25">
      <c r="F88" s="85"/>
      <c r="I88" s="85"/>
    </row>
    <row r="89" spans="6:9" x14ac:dyDescent="0.25">
      <c r="F89" s="85"/>
      <c r="I89" s="85"/>
    </row>
    <row r="90" spans="6:9" x14ac:dyDescent="0.25">
      <c r="F90" s="85"/>
      <c r="I90" s="85"/>
    </row>
    <row r="91" spans="6:9" x14ac:dyDescent="0.25">
      <c r="F91" s="85"/>
      <c r="I91" s="85"/>
    </row>
    <row r="92" spans="6:9" x14ac:dyDescent="0.25">
      <c r="F92" s="85"/>
      <c r="I92" s="85"/>
    </row>
    <row r="93" spans="6:9" x14ac:dyDescent="0.25">
      <c r="F93" s="85"/>
      <c r="I93" s="85"/>
    </row>
    <row r="94" spans="6:9" x14ac:dyDescent="0.25">
      <c r="F94" s="85"/>
      <c r="I94" s="85"/>
    </row>
    <row r="95" spans="6:9" x14ac:dyDescent="0.25">
      <c r="F95" s="85"/>
      <c r="I95" s="85"/>
    </row>
    <row r="96" spans="6:9" x14ac:dyDescent="0.25">
      <c r="F96" s="85"/>
      <c r="I96" s="85"/>
    </row>
    <row r="97" spans="6:9" x14ac:dyDescent="0.25">
      <c r="F97" s="85"/>
      <c r="I97" s="85"/>
    </row>
    <row r="98" spans="6:9" x14ac:dyDescent="0.25">
      <c r="F98" s="85"/>
      <c r="I98" s="85"/>
    </row>
    <row r="99" spans="6:9" x14ac:dyDescent="0.25">
      <c r="F99" s="85"/>
      <c r="I99" s="85"/>
    </row>
    <row r="100" spans="6:9" x14ac:dyDescent="0.25">
      <c r="F100" s="85"/>
      <c r="I100" s="85"/>
    </row>
    <row r="101" spans="6:9" x14ac:dyDescent="0.25">
      <c r="F101" s="85"/>
      <c r="I101" s="85"/>
    </row>
    <row r="102" spans="6:9" x14ac:dyDescent="0.25">
      <c r="F102" s="85"/>
      <c r="I102" s="85"/>
    </row>
    <row r="103" spans="6:9" x14ac:dyDescent="0.25">
      <c r="F103" s="85"/>
      <c r="I103" s="85"/>
    </row>
    <row r="104" spans="6:9" x14ac:dyDescent="0.25">
      <c r="F104" s="85"/>
      <c r="I104" s="85"/>
    </row>
    <row r="105" spans="6:9" x14ac:dyDescent="0.25">
      <c r="F105" s="85"/>
      <c r="I105" s="85"/>
    </row>
    <row r="106" spans="6:9" x14ac:dyDescent="0.25">
      <c r="F106" s="85"/>
      <c r="I106" s="85"/>
    </row>
    <row r="107" spans="6:9" x14ac:dyDescent="0.25">
      <c r="F107" s="85"/>
      <c r="I107" s="85"/>
    </row>
    <row r="108" spans="6:9" x14ac:dyDescent="0.25">
      <c r="F108" s="85"/>
      <c r="I108" s="85"/>
    </row>
    <row r="109" spans="6:9" x14ac:dyDescent="0.25">
      <c r="F109" s="85"/>
      <c r="I109" s="85"/>
    </row>
    <row r="110" spans="6:9" x14ac:dyDescent="0.25">
      <c r="F110" s="85"/>
      <c r="I110" s="85"/>
    </row>
    <row r="111" spans="6:9" x14ac:dyDescent="0.25">
      <c r="F111" s="85"/>
      <c r="I111" s="85"/>
    </row>
    <row r="112" spans="6:9" x14ac:dyDescent="0.25">
      <c r="F112" s="85"/>
      <c r="I112" s="85"/>
    </row>
    <row r="113" spans="6:9" x14ac:dyDescent="0.25">
      <c r="F113" s="85"/>
      <c r="I113" s="85"/>
    </row>
    <row r="114" spans="6:9" x14ac:dyDescent="0.25">
      <c r="F114" s="85"/>
      <c r="I114" s="85"/>
    </row>
    <row r="115" spans="6:9" x14ac:dyDescent="0.25">
      <c r="F115" s="85"/>
      <c r="I115" s="85"/>
    </row>
    <row r="116" spans="6:9" x14ac:dyDescent="0.25">
      <c r="F116" s="85"/>
      <c r="I116" s="85"/>
    </row>
    <row r="117" spans="6:9" x14ac:dyDescent="0.25">
      <c r="F117" s="85"/>
      <c r="I117" s="85"/>
    </row>
    <row r="118" spans="6:9" x14ac:dyDescent="0.25">
      <c r="F118" s="85"/>
      <c r="I118" s="85"/>
    </row>
    <row r="119" spans="6:9" x14ac:dyDescent="0.25">
      <c r="F119" s="85"/>
      <c r="I119" s="85"/>
    </row>
    <row r="120" spans="6:9" x14ac:dyDescent="0.25">
      <c r="F120" s="85"/>
      <c r="I120" s="85"/>
    </row>
    <row r="121" spans="6:9" x14ac:dyDescent="0.25">
      <c r="F121" s="85"/>
      <c r="I121" s="85"/>
    </row>
    <row r="122" spans="6:9" x14ac:dyDescent="0.25">
      <c r="F122" s="85"/>
      <c r="I122" s="85"/>
    </row>
    <row r="123" spans="6:9" x14ac:dyDescent="0.25">
      <c r="F123" s="85"/>
      <c r="I123" s="85"/>
    </row>
    <row r="124" spans="6:9" x14ac:dyDescent="0.25">
      <c r="F124" s="85"/>
      <c r="I124" s="85"/>
    </row>
    <row r="125" spans="6:9" x14ac:dyDescent="0.25">
      <c r="F125" s="85"/>
      <c r="I125" s="85"/>
    </row>
    <row r="126" spans="6:9" x14ac:dyDescent="0.25">
      <c r="F126" s="85"/>
      <c r="I126" s="85"/>
    </row>
    <row r="127" spans="6:9" x14ac:dyDescent="0.25">
      <c r="F127" s="85"/>
      <c r="I127" s="85"/>
    </row>
    <row r="128" spans="6:9" x14ac:dyDescent="0.25">
      <c r="F128" s="85"/>
      <c r="I128" s="85"/>
    </row>
    <row r="129" spans="6:9" x14ac:dyDescent="0.25">
      <c r="F129" s="85"/>
      <c r="I129" s="85"/>
    </row>
    <row r="130" spans="6:9" x14ac:dyDescent="0.25">
      <c r="F130" s="85"/>
      <c r="I130" s="85"/>
    </row>
    <row r="131" spans="6:9" x14ac:dyDescent="0.25">
      <c r="F131" s="85"/>
      <c r="I131" s="85"/>
    </row>
    <row r="132" spans="6:9" x14ac:dyDescent="0.25">
      <c r="F132" s="85"/>
      <c r="I132" s="85"/>
    </row>
    <row r="133" spans="6:9" x14ac:dyDescent="0.25">
      <c r="F133" s="85"/>
      <c r="I133" s="85"/>
    </row>
    <row r="134" spans="6:9" x14ac:dyDescent="0.25">
      <c r="F134" s="85"/>
      <c r="I134" s="85"/>
    </row>
    <row r="135" spans="6:9" x14ac:dyDescent="0.25">
      <c r="F135" s="85"/>
      <c r="I135" s="85"/>
    </row>
    <row r="136" spans="6:9" x14ac:dyDescent="0.25">
      <c r="F136" s="85"/>
      <c r="I136" s="85"/>
    </row>
    <row r="137" spans="6:9" x14ac:dyDescent="0.25">
      <c r="F137" s="85"/>
      <c r="I137" s="85"/>
    </row>
    <row r="138" spans="6:9" x14ac:dyDescent="0.25">
      <c r="F138" s="85"/>
      <c r="I138" s="85"/>
    </row>
    <row r="139" spans="6:9" x14ac:dyDescent="0.25">
      <c r="F139" s="85"/>
      <c r="I139" s="85"/>
    </row>
    <row r="140" spans="6:9" x14ac:dyDescent="0.25">
      <c r="F140" s="85"/>
      <c r="I140" s="85"/>
    </row>
    <row r="141" spans="6:9" x14ac:dyDescent="0.25">
      <c r="F141" s="85"/>
      <c r="I141" s="85"/>
    </row>
    <row r="142" spans="6:9" x14ac:dyDescent="0.25">
      <c r="F142" s="85"/>
      <c r="I142" s="85"/>
    </row>
    <row r="143" spans="6:9" x14ac:dyDescent="0.25">
      <c r="F143" s="85"/>
      <c r="I143" s="85"/>
    </row>
    <row r="144" spans="6:9" x14ac:dyDescent="0.25">
      <c r="F144" s="85"/>
      <c r="I144" s="85"/>
    </row>
    <row r="145" spans="6:9" x14ac:dyDescent="0.25">
      <c r="F145" s="85"/>
      <c r="I145" s="85"/>
    </row>
    <row r="146" spans="6:9" x14ac:dyDescent="0.25">
      <c r="F146" s="85"/>
      <c r="I146" s="85"/>
    </row>
    <row r="147" spans="6:9" x14ac:dyDescent="0.25">
      <c r="F147" s="85"/>
      <c r="I147" s="85"/>
    </row>
    <row r="148" spans="6:9" x14ac:dyDescent="0.25">
      <c r="F148" s="85"/>
      <c r="I148" s="85"/>
    </row>
    <row r="149" spans="6:9" x14ac:dyDescent="0.25">
      <c r="F149" s="85"/>
      <c r="I149" s="85"/>
    </row>
    <row r="150" spans="6:9" x14ac:dyDescent="0.25">
      <c r="F150" s="85"/>
      <c r="I150" s="85"/>
    </row>
    <row r="151" spans="6:9" x14ac:dyDescent="0.25">
      <c r="F151" s="85"/>
      <c r="I151" s="85"/>
    </row>
    <row r="152" spans="6:9" x14ac:dyDescent="0.25">
      <c r="F152" s="85"/>
      <c r="I152" s="85"/>
    </row>
    <row r="153" spans="6:9" x14ac:dyDescent="0.25">
      <c r="F153" s="85"/>
      <c r="I153" s="85"/>
    </row>
    <row r="154" spans="6:9" x14ac:dyDescent="0.25">
      <c r="F154" s="85"/>
      <c r="I154" s="85"/>
    </row>
    <row r="155" spans="6:9" x14ac:dyDescent="0.25">
      <c r="F155" s="85"/>
      <c r="I155" s="85"/>
    </row>
    <row r="156" spans="6:9" x14ac:dyDescent="0.25">
      <c r="F156" s="85"/>
      <c r="I156" s="85"/>
    </row>
    <row r="157" spans="6:9" x14ac:dyDescent="0.25">
      <c r="F157" s="85"/>
      <c r="I157" s="85"/>
    </row>
    <row r="158" spans="6:9" x14ac:dyDescent="0.25">
      <c r="F158" s="85"/>
      <c r="I158" s="85"/>
    </row>
    <row r="159" spans="6:9" x14ac:dyDescent="0.25">
      <c r="F159" s="85"/>
      <c r="I159" s="85"/>
    </row>
    <row r="160" spans="6:9" x14ac:dyDescent="0.25">
      <c r="F160" s="85"/>
      <c r="I160" s="85"/>
    </row>
    <row r="161" spans="6:9" x14ac:dyDescent="0.25">
      <c r="F161" s="85"/>
      <c r="I161" s="85"/>
    </row>
    <row r="162" spans="6:9" x14ac:dyDescent="0.25">
      <c r="F162" s="85"/>
      <c r="I162" s="85"/>
    </row>
    <row r="163" spans="6:9" x14ac:dyDescent="0.25">
      <c r="F163" s="85"/>
      <c r="I163" s="85"/>
    </row>
    <row r="164" spans="6:9" x14ac:dyDescent="0.25">
      <c r="F164" s="85"/>
      <c r="I164" s="85"/>
    </row>
    <row r="165" spans="6:9" x14ac:dyDescent="0.25">
      <c r="F165" s="85"/>
      <c r="I165" s="85"/>
    </row>
    <row r="166" spans="6:9" x14ac:dyDescent="0.25">
      <c r="F166" s="85"/>
      <c r="I166" s="85"/>
    </row>
    <row r="167" spans="6:9" x14ac:dyDescent="0.25">
      <c r="F167" s="85"/>
      <c r="I167" s="85"/>
    </row>
    <row r="168" spans="6:9" x14ac:dyDescent="0.25">
      <c r="F168" s="85"/>
      <c r="I168" s="85"/>
    </row>
    <row r="169" spans="6:9" x14ac:dyDescent="0.25">
      <c r="F169" s="85"/>
      <c r="I169" s="85"/>
    </row>
    <row r="170" spans="6:9" x14ac:dyDescent="0.25">
      <c r="F170" s="85"/>
      <c r="I170" s="85"/>
    </row>
    <row r="171" spans="6:9" x14ac:dyDescent="0.25">
      <c r="F171" s="85"/>
      <c r="I171" s="85"/>
    </row>
    <row r="172" spans="6:9" x14ac:dyDescent="0.25">
      <c r="F172" s="85"/>
      <c r="I172" s="85"/>
    </row>
    <row r="173" spans="6:9" x14ac:dyDescent="0.25">
      <c r="F173" s="85"/>
      <c r="I173" s="85"/>
    </row>
    <row r="174" spans="6:9" x14ac:dyDescent="0.25">
      <c r="F174" s="85"/>
      <c r="I174" s="85"/>
    </row>
    <row r="175" spans="6:9" x14ac:dyDescent="0.25">
      <c r="F175" s="85"/>
      <c r="I175" s="85"/>
    </row>
    <row r="176" spans="6:9" x14ac:dyDescent="0.25">
      <c r="F176" s="85"/>
      <c r="I176" s="85"/>
    </row>
    <row r="177" spans="6:9" x14ac:dyDescent="0.25">
      <c r="F177" s="85"/>
      <c r="I177" s="85"/>
    </row>
    <row r="178" spans="6:9" x14ac:dyDescent="0.25">
      <c r="F178" s="85"/>
      <c r="I178" s="85"/>
    </row>
    <row r="179" spans="6:9" x14ac:dyDescent="0.25">
      <c r="F179" s="85"/>
      <c r="I179" s="85"/>
    </row>
    <row r="180" spans="6:9" x14ac:dyDescent="0.25">
      <c r="F180" s="85"/>
      <c r="I180" s="85"/>
    </row>
    <row r="181" spans="6:9" x14ac:dyDescent="0.25">
      <c r="F181" s="85"/>
      <c r="I181" s="85"/>
    </row>
    <row r="182" spans="6:9" x14ac:dyDescent="0.25">
      <c r="F182" s="85"/>
      <c r="I182" s="85"/>
    </row>
    <row r="183" spans="6:9" x14ac:dyDescent="0.25">
      <c r="F183" s="85"/>
      <c r="I183" s="85"/>
    </row>
    <row r="184" spans="6:9" x14ac:dyDescent="0.25">
      <c r="F184" s="85"/>
      <c r="I184" s="85"/>
    </row>
    <row r="185" spans="6:9" x14ac:dyDescent="0.25">
      <c r="F185" s="85"/>
      <c r="I185" s="85"/>
    </row>
    <row r="186" spans="6:9" x14ac:dyDescent="0.25">
      <c r="F186" s="85"/>
      <c r="I186" s="85"/>
    </row>
    <row r="187" spans="6:9" x14ac:dyDescent="0.25">
      <c r="F187" s="85"/>
      <c r="I187" s="85"/>
    </row>
    <row r="188" spans="6:9" x14ac:dyDescent="0.25">
      <c r="F188" s="85"/>
      <c r="I188" s="85"/>
    </row>
    <row r="189" spans="6:9" x14ac:dyDescent="0.25">
      <c r="F189" s="85"/>
      <c r="I189" s="85"/>
    </row>
    <row r="190" spans="6:9" x14ac:dyDescent="0.25">
      <c r="F190" s="85"/>
      <c r="I190" s="85"/>
    </row>
    <row r="191" spans="6:9" x14ac:dyDescent="0.25">
      <c r="F191" s="85"/>
      <c r="I191" s="85"/>
    </row>
    <row r="192" spans="6:9" x14ac:dyDescent="0.25">
      <c r="F192" s="85"/>
      <c r="I192" s="85"/>
    </row>
    <row r="193" spans="6:9" x14ac:dyDescent="0.25">
      <c r="F193" s="85"/>
      <c r="I193" s="85"/>
    </row>
    <row r="194" spans="6:9" x14ac:dyDescent="0.25">
      <c r="F194" s="85"/>
      <c r="I194" s="85"/>
    </row>
    <row r="195" spans="6:9" x14ac:dyDescent="0.25">
      <c r="F195" s="85"/>
      <c r="I195" s="85"/>
    </row>
    <row r="196" spans="6:9" x14ac:dyDescent="0.25">
      <c r="F196" s="85"/>
      <c r="I196" s="85"/>
    </row>
    <row r="197" spans="6:9" x14ac:dyDescent="0.25">
      <c r="F197" s="85"/>
      <c r="I197" s="85"/>
    </row>
    <row r="198" spans="6:9" x14ac:dyDescent="0.25">
      <c r="F198" s="85"/>
      <c r="I198" s="85"/>
    </row>
    <row r="199" spans="6:9" x14ac:dyDescent="0.25">
      <c r="F199" s="85"/>
      <c r="I199" s="85"/>
    </row>
    <row r="200" spans="6:9" x14ac:dyDescent="0.25">
      <c r="F200" s="85"/>
      <c r="I200" s="85"/>
    </row>
    <row r="201" spans="6:9" x14ac:dyDescent="0.25">
      <c r="F201" s="85"/>
      <c r="I201" s="85"/>
    </row>
    <row r="202" spans="6:9" x14ac:dyDescent="0.25">
      <c r="F202" s="85"/>
      <c r="I202" s="85"/>
    </row>
    <row r="203" spans="6:9" x14ac:dyDescent="0.25">
      <c r="F203" s="85"/>
      <c r="I203" s="85"/>
    </row>
    <row r="204" spans="6:9" x14ac:dyDescent="0.25">
      <c r="F204" s="85"/>
      <c r="I204" s="85"/>
    </row>
    <row r="205" spans="6:9" x14ac:dyDescent="0.25">
      <c r="F205" s="85"/>
      <c r="I205" s="85"/>
    </row>
    <row r="206" spans="6:9" x14ac:dyDescent="0.25">
      <c r="F206" s="85"/>
      <c r="I206" s="85"/>
    </row>
    <row r="207" spans="6:9" x14ac:dyDescent="0.25">
      <c r="F207" s="85"/>
      <c r="I207" s="85"/>
    </row>
    <row r="208" spans="6:9" x14ac:dyDescent="0.25">
      <c r="F208" s="85"/>
      <c r="I208" s="85"/>
    </row>
    <row r="209" spans="6:9" x14ac:dyDescent="0.25">
      <c r="F209" s="85"/>
      <c r="I209" s="85"/>
    </row>
    <row r="210" spans="6:9" x14ac:dyDescent="0.25">
      <c r="F210" s="85"/>
      <c r="I210" s="85"/>
    </row>
    <row r="211" spans="6:9" x14ac:dyDescent="0.25">
      <c r="F211" s="85"/>
      <c r="I211" s="85"/>
    </row>
    <row r="212" spans="6:9" x14ac:dyDescent="0.25">
      <c r="F212" s="85"/>
      <c r="I212" s="85"/>
    </row>
    <row r="213" spans="6:9" x14ac:dyDescent="0.25">
      <c r="F213" s="85"/>
      <c r="I213" s="85"/>
    </row>
    <row r="214" spans="6:9" x14ac:dyDescent="0.25">
      <c r="F214" s="85"/>
      <c r="I214" s="85"/>
    </row>
    <row r="215" spans="6:9" x14ac:dyDescent="0.25">
      <c r="F215" s="85"/>
      <c r="I215" s="85"/>
    </row>
    <row r="216" spans="6:9" x14ac:dyDescent="0.25">
      <c r="F216" s="85"/>
      <c r="I216" s="85"/>
    </row>
    <row r="217" spans="6:9" x14ac:dyDescent="0.25">
      <c r="F217" s="85"/>
      <c r="I217" s="85"/>
    </row>
    <row r="218" spans="6:9" x14ac:dyDescent="0.25">
      <c r="F218" s="85"/>
      <c r="I218" s="85"/>
    </row>
    <row r="219" spans="6:9" x14ac:dyDescent="0.25">
      <c r="F219" s="85"/>
      <c r="I219" s="85"/>
    </row>
    <row r="220" spans="6:9" x14ac:dyDescent="0.25">
      <c r="F220" s="85"/>
      <c r="I220" s="85"/>
    </row>
    <row r="221" spans="6:9" x14ac:dyDescent="0.25">
      <c r="F221" s="85"/>
      <c r="I221" s="85"/>
    </row>
    <row r="222" spans="6:9" x14ac:dyDescent="0.25">
      <c r="F222" s="85"/>
      <c r="I222" s="85"/>
    </row>
    <row r="223" spans="6:9" x14ac:dyDescent="0.25">
      <c r="F223" s="85"/>
      <c r="I223" s="85"/>
    </row>
    <row r="224" spans="6:9" x14ac:dyDescent="0.25">
      <c r="F224" s="85"/>
      <c r="I224" s="85"/>
    </row>
    <row r="225" spans="6:9" x14ac:dyDescent="0.25">
      <c r="F225" s="85"/>
      <c r="I225" s="85"/>
    </row>
    <row r="226" spans="6:9" x14ac:dyDescent="0.25">
      <c r="F226" s="85"/>
      <c r="I226" s="85"/>
    </row>
    <row r="227" spans="6:9" x14ac:dyDescent="0.25">
      <c r="F227" s="85"/>
      <c r="I227" s="85"/>
    </row>
    <row r="228" spans="6:9" x14ac:dyDescent="0.25">
      <c r="F228" s="85"/>
      <c r="I228" s="85"/>
    </row>
    <row r="229" spans="6:9" x14ac:dyDescent="0.25">
      <c r="F229" s="85"/>
      <c r="I229" s="85"/>
    </row>
    <row r="230" spans="6:9" x14ac:dyDescent="0.25">
      <c r="F230" s="85"/>
      <c r="I230" s="85"/>
    </row>
    <row r="231" spans="6:9" x14ac:dyDescent="0.25">
      <c r="F231" s="85"/>
      <c r="I231" s="85"/>
    </row>
    <row r="232" spans="6:9" x14ac:dyDescent="0.25">
      <c r="F232" s="85"/>
      <c r="I232" s="85"/>
    </row>
    <row r="233" spans="6:9" x14ac:dyDescent="0.25">
      <c r="F233" s="85"/>
      <c r="I233" s="85"/>
    </row>
    <row r="234" spans="6:9" x14ac:dyDescent="0.25">
      <c r="F234" s="85"/>
      <c r="I234" s="85"/>
    </row>
    <row r="235" spans="6:9" x14ac:dyDescent="0.25">
      <c r="F235" s="85"/>
      <c r="I235" s="85"/>
    </row>
    <row r="236" spans="6:9" x14ac:dyDescent="0.25">
      <c r="F236" s="85"/>
      <c r="I236" s="85"/>
    </row>
    <row r="237" spans="6:9" x14ac:dyDescent="0.25">
      <c r="F237" s="85"/>
      <c r="I237" s="85"/>
    </row>
    <row r="238" spans="6:9" x14ac:dyDescent="0.25">
      <c r="F238" s="85"/>
      <c r="I238" s="85"/>
    </row>
    <row r="239" spans="6:9" x14ac:dyDescent="0.25">
      <c r="F239" s="85"/>
      <c r="I239" s="85"/>
    </row>
    <row r="240" spans="6:9" x14ac:dyDescent="0.25">
      <c r="F240" s="85"/>
      <c r="I240" s="85"/>
    </row>
    <row r="241" spans="6:9" x14ac:dyDescent="0.25">
      <c r="F241" s="85"/>
      <c r="I241" s="85"/>
    </row>
    <row r="242" spans="6:9" x14ac:dyDescent="0.25">
      <c r="F242" s="85"/>
      <c r="I242" s="85"/>
    </row>
    <row r="243" spans="6:9" x14ac:dyDescent="0.25">
      <c r="F243" s="85"/>
      <c r="I243" s="85"/>
    </row>
    <row r="244" spans="6:9" x14ac:dyDescent="0.25">
      <c r="F244" s="85"/>
      <c r="I244" s="85"/>
    </row>
    <row r="245" spans="6:9" x14ac:dyDescent="0.25">
      <c r="F245" s="85"/>
      <c r="I245" s="85"/>
    </row>
    <row r="246" spans="6:9" x14ac:dyDescent="0.25">
      <c r="F246" s="85"/>
      <c r="I246" s="85"/>
    </row>
    <row r="247" spans="6:9" x14ac:dyDescent="0.25">
      <c r="F247" s="85"/>
      <c r="I247" s="85"/>
    </row>
    <row r="248" spans="6:9" x14ac:dyDescent="0.25">
      <c r="F248" s="85"/>
      <c r="I248" s="85"/>
    </row>
    <row r="249" spans="6:9" x14ac:dyDescent="0.25">
      <c r="F249" s="85"/>
      <c r="I249" s="85"/>
    </row>
    <row r="250" spans="6:9" x14ac:dyDescent="0.25">
      <c r="F250" s="85"/>
      <c r="I250" s="85"/>
    </row>
    <row r="251" spans="6:9" x14ac:dyDescent="0.25">
      <c r="F251" s="85"/>
      <c r="I251" s="85"/>
    </row>
    <row r="252" spans="6:9" x14ac:dyDescent="0.25">
      <c r="F252" s="85"/>
      <c r="I252" s="85"/>
    </row>
    <row r="253" spans="6:9" x14ac:dyDescent="0.25">
      <c r="F253" s="85"/>
      <c r="I253" s="85"/>
    </row>
    <row r="254" spans="6:9" x14ac:dyDescent="0.25">
      <c r="F254" s="85"/>
      <c r="I254" s="85"/>
    </row>
    <row r="255" spans="6:9" x14ac:dyDescent="0.25">
      <c r="F255" s="85"/>
      <c r="I255" s="85"/>
    </row>
    <row r="256" spans="6:9" x14ac:dyDescent="0.25">
      <c r="F256" s="85"/>
      <c r="I256" s="85"/>
    </row>
    <row r="257" spans="6:9" x14ac:dyDescent="0.25">
      <c r="F257" s="85"/>
      <c r="I257" s="85"/>
    </row>
    <row r="258" spans="6:9" x14ac:dyDescent="0.25">
      <c r="F258" s="85"/>
      <c r="I258" s="85"/>
    </row>
    <row r="259" spans="6:9" x14ac:dyDescent="0.25">
      <c r="F259" s="85"/>
      <c r="I259" s="85"/>
    </row>
    <row r="260" spans="6:9" x14ac:dyDescent="0.25">
      <c r="F260" s="85"/>
      <c r="I260" s="85"/>
    </row>
    <row r="261" spans="6:9" x14ac:dyDescent="0.25">
      <c r="F261" s="85"/>
      <c r="I261" s="85"/>
    </row>
    <row r="262" spans="6:9" x14ac:dyDescent="0.25">
      <c r="F262" s="85"/>
      <c r="I262" s="85"/>
    </row>
    <row r="263" spans="6:9" x14ac:dyDescent="0.25">
      <c r="F263" s="85"/>
      <c r="I263" s="85"/>
    </row>
    <row r="264" spans="6:9" x14ac:dyDescent="0.25">
      <c r="F264" s="85"/>
      <c r="I264" s="85"/>
    </row>
    <row r="265" spans="6:9" x14ac:dyDescent="0.25">
      <c r="F265" s="85"/>
      <c r="I265" s="85"/>
    </row>
    <row r="266" spans="6:9" x14ac:dyDescent="0.25">
      <c r="F266" s="85"/>
      <c r="I266" s="85"/>
    </row>
    <row r="267" spans="6:9" x14ac:dyDescent="0.25">
      <c r="F267" s="85"/>
      <c r="I267" s="85"/>
    </row>
    <row r="268" spans="6:9" x14ac:dyDescent="0.25">
      <c r="F268" s="85"/>
      <c r="I268" s="85"/>
    </row>
    <row r="269" spans="6:9" x14ac:dyDescent="0.25">
      <c r="F269" s="85"/>
      <c r="I269" s="85"/>
    </row>
    <row r="270" spans="6:9" x14ac:dyDescent="0.25">
      <c r="F270" s="85"/>
      <c r="I270" s="85"/>
    </row>
    <row r="271" spans="6:9" x14ac:dyDescent="0.25">
      <c r="F271" s="85"/>
      <c r="I271" s="85"/>
    </row>
    <row r="272" spans="6:9" x14ac:dyDescent="0.25">
      <c r="F272" s="85"/>
      <c r="I272" s="85"/>
    </row>
    <row r="273" spans="6:9" x14ac:dyDescent="0.25">
      <c r="F273" s="85"/>
      <c r="I273" s="85"/>
    </row>
    <row r="274" spans="6:9" x14ac:dyDescent="0.25">
      <c r="F274" s="85"/>
      <c r="I274" s="85"/>
    </row>
    <row r="275" spans="6:9" x14ac:dyDescent="0.25">
      <c r="F275" s="85"/>
      <c r="I275" s="85"/>
    </row>
    <row r="276" spans="6:9" x14ac:dyDescent="0.25">
      <c r="F276" s="85"/>
      <c r="I276" s="85"/>
    </row>
    <row r="277" spans="6:9" x14ac:dyDescent="0.25">
      <c r="F277" s="85"/>
      <c r="I277" s="85"/>
    </row>
    <row r="278" spans="6:9" x14ac:dyDescent="0.25">
      <c r="F278" s="85"/>
      <c r="I278" s="85"/>
    </row>
    <row r="279" spans="6:9" x14ac:dyDescent="0.25">
      <c r="F279" s="85"/>
      <c r="I279" s="85"/>
    </row>
    <row r="280" spans="6:9" x14ac:dyDescent="0.25">
      <c r="F280" s="85"/>
      <c r="I280" s="85"/>
    </row>
    <row r="281" spans="6:9" x14ac:dyDescent="0.25">
      <c r="F281" s="85"/>
      <c r="I281" s="85"/>
    </row>
    <row r="282" spans="6:9" x14ac:dyDescent="0.25">
      <c r="F282" s="85"/>
      <c r="I282" s="85"/>
    </row>
    <row r="283" spans="6:9" x14ac:dyDescent="0.25">
      <c r="F283" s="85"/>
      <c r="I283" s="85"/>
    </row>
    <row r="284" spans="6:9" x14ac:dyDescent="0.25">
      <c r="F284" s="85"/>
      <c r="I284" s="85"/>
    </row>
    <row r="285" spans="6:9" x14ac:dyDescent="0.25">
      <c r="F285" s="85"/>
      <c r="I285" s="85"/>
    </row>
    <row r="286" spans="6:9" x14ac:dyDescent="0.25">
      <c r="F286" s="85"/>
      <c r="I286" s="85"/>
    </row>
    <row r="287" spans="6:9" x14ac:dyDescent="0.25">
      <c r="F287" s="85"/>
      <c r="I287" s="85"/>
    </row>
    <row r="288" spans="6:9" x14ac:dyDescent="0.25">
      <c r="F288" s="85"/>
      <c r="I288" s="85"/>
    </row>
    <row r="289" spans="6:9" x14ac:dyDescent="0.25">
      <c r="F289" s="85"/>
      <c r="I289" s="85"/>
    </row>
    <row r="290" spans="6:9" x14ac:dyDescent="0.25">
      <c r="F290" s="85"/>
      <c r="I290" s="85"/>
    </row>
    <row r="291" spans="6:9" x14ac:dyDescent="0.25">
      <c r="F291" s="85"/>
      <c r="I291" s="85"/>
    </row>
    <row r="292" spans="6:9" x14ac:dyDescent="0.25">
      <c r="F292" s="85"/>
      <c r="I292" s="85"/>
    </row>
    <row r="293" spans="6:9" x14ac:dyDescent="0.25">
      <c r="F293" s="85"/>
      <c r="I293" s="85"/>
    </row>
    <row r="294" spans="6:9" x14ac:dyDescent="0.25">
      <c r="F294" s="85"/>
      <c r="I294" s="85"/>
    </row>
    <row r="295" spans="6:9" x14ac:dyDescent="0.25">
      <c r="F295" s="85"/>
      <c r="I295" s="85"/>
    </row>
    <row r="296" spans="6:9" x14ac:dyDescent="0.25">
      <c r="F296" s="85"/>
      <c r="I296" s="85"/>
    </row>
    <row r="297" spans="6:9" x14ac:dyDescent="0.25">
      <c r="F297" s="85"/>
      <c r="I297" s="85"/>
    </row>
    <row r="298" spans="6:9" x14ac:dyDescent="0.25">
      <c r="F298" s="85"/>
      <c r="I298" s="85"/>
    </row>
    <row r="299" spans="6:9" x14ac:dyDescent="0.25">
      <c r="F299" s="85"/>
      <c r="I299" s="85"/>
    </row>
    <row r="300" spans="6:9" x14ac:dyDescent="0.25">
      <c r="F300" s="85"/>
      <c r="I300" s="85"/>
    </row>
    <row r="301" spans="6:9" x14ac:dyDescent="0.25">
      <c r="F301" s="85"/>
      <c r="I301" s="85"/>
    </row>
    <row r="302" spans="6:9" x14ac:dyDescent="0.25">
      <c r="F302" s="85"/>
      <c r="I302" s="85"/>
    </row>
    <row r="303" spans="6:9" x14ac:dyDescent="0.25">
      <c r="F303" s="85"/>
      <c r="I303" s="85"/>
    </row>
    <row r="304" spans="6:9" x14ac:dyDescent="0.25">
      <c r="F304" s="85"/>
      <c r="I304" s="85"/>
    </row>
    <row r="305" spans="6:9" x14ac:dyDescent="0.25">
      <c r="F305" s="85"/>
      <c r="I305" s="85"/>
    </row>
    <row r="306" spans="6:9" x14ac:dyDescent="0.25">
      <c r="F306" s="85"/>
      <c r="I306" s="85"/>
    </row>
    <row r="307" spans="6:9" x14ac:dyDescent="0.25">
      <c r="F307" s="85"/>
      <c r="I307" s="85"/>
    </row>
    <row r="308" spans="6:9" x14ac:dyDescent="0.25">
      <c r="F308" s="85"/>
      <c r="I308" s="85"/>
    </row>
    <row r="309" spans="6:9" x14ac:dyDescent="0.25">
      <c r="F309" s="85"/>
      <c r="I309" s="85"/>
    </row>
    <row r="310" spans="6:9" x14ac:dyDescent="0.25">
      <c r="F310" s="85"/>
      <c r="I310" s="85"/>
    </row>
    <row r="311" spans="6:9" x14ac:dyDescent="0.25">
      <c r="F311" s="85"/>
      <c r="I311" s="85"/>
    </row>
    <row r="312" spans="6:9" x14ac:dyDescent="0.25">
      <c r="F312" s="85"/>
      <c r="I312" s="85"/>
    </row>
    <row r="313" spans="6:9" x14ac:dyDescent="0.25">
      <c r="F313" s="85"/>
      <c r="I313" s="85"/>
    </row>
    <row r="314" spans="6:9" x14ac:dyDescent="0.25">
      <c r="F314" s="85"/>
      <c r="I314" s="85"/>
    </row>
    <row r="315" spans="6:9" x14ac:dyDescent="0.25">
      <c r="F315" s="85"/>
      <c r="I315" s="85"/>
    </row>
    <row r="316" spans="6:9" x14ac:dyDescent="0.25">
      <c r="F316" s="85"/>
      <c r="I316" s="85"/>
    </row>
    <row r="317" spans="6:9" x14ac:dyDescent="0.25">
      <c r="F317" s="85"/>
      <c r="I317" s="85"/>
    </row>
    <row r="318" spans="6:9" x14ac:dyDescent="0.25">
      <c r="F318" s="85"/>
      <c r="I318" s="85"/>
    </row>
    <row r="319" spans="6:9" x14ac:dyDescent="0.25">
      <c r="F319" s="85"/>
      <c r="I319" s="85"/>
    </row>
    <row r="320" spans="6:9" x14ac:dyDescent="0.25">
      <c r="F320" s="85"/>
      <c r="I320" s="85"/>
    </row>
    <row r="321" spans="6:9" x14ac:dyDescent="0.25">
      <c r="F321" s="85"/>
      <c r="I321" s="85"/>
    </row>
    <row r="322" spans="6:9" x14ac:dyDescent="0.25">
      <c r="F322" s="85"/>
      <c r="I322" s="85"/>
    </row>
    <row r="323" spans="6:9" x14ac:dyDescent="0.25">
      <c r="F323" s="85"/>
      <c r="I323" s="85"/>
    </row>
    <row r="324" spans="6:9" x14ac:dyDescent="0.25">
      <c r="F324" s="85"/>
      <c r="I324" s="85"/>
    </row>
    <row r="325" spans="6:9" x14ac:dyDescent="0.25">
      <c r="F325" s="85"/>
      <c r="I325" s="85"/>
    </row>
    <row r="326" spans="6:9" x14ac:dyDescent="0.25">
      <c r="F326" s="85"/>
      <c r="I326" s="85"/>
    </row>
    <row r="327" spans="6:9" x14ac:dyDescent="0.25">
      <c r="F327" s="85"/>
      <c r="I327" s="85"/>
    </row>
    <row r="328" spans="6:9" x14ac:dyDescent="0.25">
      <c r="F328" s="85"/>
      <c r="I328" s="85"/>
    </row>
    <row r="329" spans="6:9" x14ac:dyDescent="0.25">
      <c r="F329" s="85"/>
      <c r="I329" s="85"/>
    </row>
    <row r="330" spans="6:9" x14ac:dyDescent="0.25">
      <c r="F330" s="85"/>
      <c r="I330" s="85"/>
    </row>
    <row r="331" spans="6:9" x14ac:dyDescent="0.25">
      <c r="F331" s="85"/>
      <c r="I331" s="85"/>
    </row>
    <row r="332" spans="6:9" x14ac:dyDescent="0.25">
      <c r="F332" s="85"/>
      <c r="I332" s="85"/>
    </row>
    <row r="333" spans="6:9" x14ac:dyDescent="0.25">
      <c r="F333" s="85"/>
      <c r="I333" s="85"/>
    </row>
    <row r="334" spans="6:9" x14ac:dyDescent="0.25">
      <c r="F334" s="85"/>
      <c r="I334" s="85"/>
    </row>
    <row r="335" spans="6:9" x14ac:dyDescent="0.25">
      <c r="F335" s="85"/>
      <c r="I335" s="85"/>
    </row>
    <row r="336" spans="6:9" x14ac:dyDescent="0.25">
      <c r="F336" s="85"/>
      <c r="I336" s="85"/>
    </row>
    <row r="337" spans="6:9" x14ac:dyDescent="0.25">
      <c r="F337" s="85"/>
      <c r="I337" s="85"/>
    </row>
    <row r="338" spans="6:9" x14ac:dyDescent="0.25">
      <c r="F338" s="85"/>
      <c r="I338" s="85"/>
    </row>
    <row r="339" spans="6:9" x14ac:dyDescent="0.25">
      <c r="F339" s="85"/>
      <c r="I339" s="85"/>
    </row>
    <row r="340" spans="6:9" x14ac:dyDescent="0.25">
      <c r="F340" s="85"/>
      <c r="I340" s="85"/>
    </row>
    <row r="341" spans="6:9" x14ac:dyDescent="0.25">
      <c r="F341" s="85"/>
      <c r="I341" s="85"/>
    </row>
    <row r="342" spans="6:9" x14ac:dyDescent="0.25">
      <c r="F342" s="85"/>
      <c r="I342" s="85"/>
    </row>
    <row r="343" spans="6:9" x14ac:dyDescent="0.25">
      <c r="F343" s="85"/>
      <c r="I343" s="85"/>
    </row>
    <row r="344" spans="6:9" x14ac:dyDescent="0.25">
      <c r="F344" s="85"/>
      <c r="I344" s="85"/>
    </row>
    <row r="345" spans="6:9" x14ac:dyDescent="0.25">
      <c r="F345" s="85"/>
      <c r="I345" s="85"/>
    </row>
    <row r="346" spans="6:9" x14ac:dyDescent="0.25">
      <c r="F346" s="85"/>
      <c r="I346" s="85"/>
    </row>
    <row r="347" spans="6:9" x14ac:dyDescent="0.25">
      <c r="F347" s="85"/>
      <c r="I347" s="85"/>
    </row>
    <row r="348" spans="6:9" x14ac:dyDescent="0.25">
      <c r="F348" s="85"/>
      <c r="I348" s="85"/>
    </row>
    <row r="349" spans="6:9" x14ac:dyDescent="0.25">
      <c r="F349" s="85"/>
      <c r="I349" s="85"/>
    </row>
    <row r="350" spans="6:9" x14ac:dyDescent="0.25">
      <c r="F350" s="85"/>
      <c r="I350" s="85"/>
    </row>
    <row r="351" spans="6:9" x14ac:dyDescent="0.25">
      <c r="F351" s="85"/>
      <c r="I351" s="85"/>
    </row>
    <row r="352" spans="6:9" x14ac:dyDescent="0.25">
      <c r="F352" s="85"/>
      <c r="I352" s="85"/>
    </row>
    <row r="353" spans="6:9" x14ac:dyDescent="0.25">
      <c r="F353" s="85"/>
      <c r="I353" s="85"/>
    </row>
    <row r="354" spans="6:9" x14ac:dyDescent="0.25">
      <c r="F354" s="85"/>
      <c r="I354" s="85"/>
    </row>
    <row r="355" spans="6:9" x14ac:dyDescent="0.25">
      <c r="F355" s="85"/>
      <c r="I355" s="85"/>
    </row>
    <row r="356" spans="6:9" x14ac:dyDescent="0.25">
      <c r="F356" s="85"/>
      <c r="I356" s="85"/>
    </row>
    <row r="357" spans="6:9" x14ac:dyDescent="0.25">
      <c r="F357" s="85"/>
      <c r="I357" s="85"/>
    </row>
    <row r="358" spans="6:9" x14ac:dyDescent="0.25">
      <c r="F358" s="85"/>
      <c r="I358" s="85"/>
    </row>
    <row r="359" spans="6:9" x14ac:dyDescent="0.25">
      <c r="F359" s="85"/>
      <c r="I359" s="85"/>
    </row>
    <row r="360" spans="6:9" x14ac:dyDescent="0.25">
      <c r="F360" s="85"/>
      <c r="I360" s="85"/>
    </row>
    <row r="361" spans="6:9" x14ac:dyDescent="0.25">
      <c r="F361" s="85"/>
      <c r="I361" s="85"/>
    </row>
    <row r="362" spans="6:9" x14ac:dyDescent="0.25">
      <c r="F362" s="85"/>
      <c r="I362" s="85"/>
    </row>
    <row r="363" spans="6:9" x14ac:dyDescent="0.25">
      <c r="F363" s="85"/>
      <c r="I363" s="85"/>
    </row>
    <row r="364" spans="6:9" x14ac:dyDescent="0.25">
      <c r="F364" s="85"/>
      <c r="I364" s="85"/>
    </row>
    <row r="365" spans="6:9" x14ac:dyDescent="0.25">
      <c r="F365" s="85"/>
      <c r="I365" s="85"/>
    </row>
    <row r="366" spans="6:9" x14ac:dyDescent="0.25">
      <c r="F366" s="85"/>
      <c r="I366" s="85"/>
    </row>
    <row r="367" spans="6:9" x14ac:dyDescent="0.25">
      <c r="F367" s="85"/>
      <c r="I367" s="85"/>
    </row>
    <row r="368" spans="6:9" x14ac:dyDescent="0.25">
      <c r="F368" s="85"/>
      <c r="I368" s="85"/>
    </row>
    <row r="369" spans="6:9" x14ac:dyDescent="0.25">
      <c r="F369" s="85"/>
      <c r="I369" s="85"/>
    </row>
    <row r="370" spans="6:9" x14ac:dyDescent="0.25">
      <c r="F370" s="85"/>
      <c r="I370" s="85"/>
    </row>
    <row r="371" spans="6:9" x14ac:dyDescent="0.25">
      <c r="F371" s="85"/>
      <c r="I371" s="85"/>
    </row>
    <row r="372" spans="6:9" x14ac:dyDescent="0.25">
      <c r="F372" s="85"/>
      <c r="I372" s="85"/>
    </row>
    <row r="373" spans="6:9" x14ac:dyDescent="0.25">
      <c r="F373" s="85"/>
      <c r="I373" s="85"/>
    </row>
    <row r="374" spans="6:9" x14ac:dyDescent="0.25">
      <c r="F374" s="85"/>
      <c r="I374" s="85"/>
    </row>
    <row r="375" spans="6:9" x14ac:dyDescent="0.25">
      <c r="F375" s="85"/>
      <c r="I375" s="85"/>
    </row>
    <row r="376" spans="6:9" x14ac:dyDescent="0.25">
      <c r="F376" s="85"/>
      <c r="I376" s="85"/>
    </row>
    <row r="377" spans="6:9" x14ac:dyDescent="0.25">
      <c r="F377" s="85"/>
      <c r="I377" s="85"/>
    </row>
    <row r="378" spans="6:9" x14ac:dyDescent="0.25">
      <c r="F378" s="85"/>
      <c r="I378" s="85"/>
    </row>
    <row r="379" spans="6:9" x14ac:dyDescent="0.25">
      <c r="F379" s="85"/>
      <c r="I379" s="85"/>
    </row>
    <row r="380" spans="6:9" x14ac:dyDescent="0.25">
      <c r="F380" s="85"/>
      <c r="I380" s="85"/>
    </row>
    <row r="381" spans="6:9" x14ac:dyDescent="0.25">
      <c r="F381" s="85"/>
      <c r="I381" s="85"/>
    </row>
    <row r="382" spans="6:9" x14ac:dyDescent="0.25">
      <c r="F382" s="85"/>
      <c r="I382" s="85"/>
    </row>
    <row r="383" spans="6:9" x14ac:dyDescent="0.25">
      <c r="F383" s="85"/>
      <c r="I383" s="85"/>
    </row>
    <row r="384" spans="6:9" x14ac:dyDescent="0.25">
      <c r="F384" s="85"/>
      <c r="I384" s="85"/>
    </row>
    <row r="385" spans="6:9" x14ac:dyDescent="0.25">
      <c r="F385" s="85"/>
      <c r="I385" s="85"/>
    </row>
    <row r="386" spans="6:9" x14ac:dyDescent="0.25">
      <c r="F386" s="85"/>
      <c r="I386" s="85"/>
    </row>
    <row r="387" spans="6:9" x14ac:dyDescent="0.25">
      <c r="F387" s="85"/>
      <c r="I387" s="85"/>
    </row>
    <row r="388" spans="6:9" x14ac:dyDescent="0.25">
      <c r="F388" s="85"/>
      <c r="I388" s="85"/>
    </row>
    <row r="389" spans="6:9" x14ac:dyDescent="0.25">
      <c r="F389" s="85"/>
      <c r="I389" s="85"/>
    </row>
    <row r="390" spans="6:9" x14ac:dyDescent="0.25">
      <c r="F390" s="85"/>
      <c r="I390" s="85"/>
    </row>
    <row r="391" spans="6:9" x14ac:dyDescent="0.25">
      <c r="F391" s="85"/>
      <c r="I391" s="85"/>
    </row>
    <row r="392" spans="6:9" x14ac:dyDescent="0.25">
      <c r="F392" s="85"/>
      <c r="I392" s="85"/>
    </row>
    <row r="393" spans="6:9" x14ac:dyDescent="0.25">
      <c r="F393" s="85"/>
      <c r="I393" s="85"/>
    </row>
    <row r="394" spans="6:9" x14ac:dyDescent="0.25">
      <c r="F394" s="85"/>
      <c r="I394" s="85"/>
    </row>
    <row r="395" spans="6:9" x14ac:dyDescent="0.25">
      <c r="F395" s="85"/>
      <c r="I395" s="85"/>
    </row>
    <row r="396" spans="6:9" x14ac:dyDescent="0.25">
      <c r="F396" s="85"/>
      <c r="I396" s="85"/>
    </row>
    <row r="397" spans="6:9" x14ac:dyDescent="0.25">
      <c r="F397" s="85"/>
      <c r="I397" s="85"/>
    </row>
    <row r="398" spans="6:9" x14ac:dyDescent="0.25">
      <c r="F398" s="85"/>
      <c r="I398" s="85"/>
    </row>
    <row r="399" spans="6:9" x14ac:dyDescent="0.25">
      <c r="F399" s="85"/>
      <c r="I399" s="85"/>
    </row>
    <row r="400" spans="6:9" x14ac:dyDescent="0.25">
      <c r="F400" s="85"/>
      <c r="I400" s="85"/>
    </row>
    <row r="401" spans="6:9" x14ac:dyDescent="0.25">
      <c r="F401" s="85"/>
      <c r="I401" s="85"/>
    </row>
    <row r="402" spans="6:9" x14ac:dyDescent="0.25">
      <c r="F402" s="85"/>
      <c r="I402" s="85"/>
    </row>
    <row r="403" spans="6:9" x14ac:dyDescent="0.25">
      <c r="F403" s="85"/>
      <c r="I403" s="85"/>
    </row>
    <row r="404" spans="6:9" x14ac:dyDescent="0.25">
      <c r="F404" s="85"/>
      <c r="I404" s="85"/>
    </row>
    <row r="405" spans="6:9" x14ac:dyDescent="0.25">
      <c r="F405" s="85"/>
      <c r="I405" s="85"/>
    </row>
    <row r="406" spans="6:9" x14ac:dyDescent="0.25">
      <c r="F406" s="85"/>
      <c r="I406" s="85"/>
    </row>
    <row r="407" spans="6:9" x14ac:dyDescent="0.25">
      <c r="F407" s="85"/>
      <c r="I407" s="85"/>
    </row>
    <row r="408" spans="6:9" x14ac:dyDescent="0.25">
      <c r="F408" s="85"/>
      <c r="I408" s="85"/>
    </row>
    <row r="409" spans="6:9" x14ac:dyDescent="0.25">
      <c r="F409" s="85"/>
      <c r="I409" s="85"/>
    </row>
    <row r="410" spans="6:9" x14ac:dyDescent="0.25">
      <c r="F410" s="85"/>
      <c r="I410" s="85"/>
    </row>
    <row r="411" spans="6:9" x14ac:dyDescent="0.25">
      <c r="F411" s="85"/>
      <c r="I411" s="85"/>
    </row>
    <row r="412" spans="6:9" x14ac:dyDescent="0.25">
      <c r="F412" s="85"/>
      <c r="I412" s="85"/>
    </row>
    <row r="413" spans="6:9" x14ac:dyDescent="0.25">
      <c r="F413" s="85"/>
      <c r="I413" s="85"/>
    </row>
    <row r="414" spans="6:9" x14ac:dyDescent="0.25">
      <c r="F414" s="85"/>
      <c r="I414" s="85"/>
    </row>
    <row r="415" spans="6:9" x14ac:dyDescent="0.25">
      <c r="F415" s="85"/>
      <c r="I415" s="85"/>
    </row>
    <row r="416" spans="6:9" x14ac:dyDescent="0.25">
      <c r="F416" s="85"/>
      <c r="I416" s="85"/>
    </row>
    <row r="417" spans="6:9" x14ac:dyDescent="0.25">
      <c r="F417" s="85"/>
      <c r="I417" s="85"/>
    </row>
    <row r="418" spans="6:9" x14ac:dyDescent="0.25">
      <c r="F418" s="85"/>
      <c r="I418" s="85"/>
    </row>
    <row r="419" spans="6:9" x14ac:dyDescent="0.25">
      <c r="F419" s="85"/>
      <c r="I419" s="85"/>
    </row>
    <row r="420" spans="6:9" x14ac:dyDescent="0.25">
      <c r="F420" s="85"/>
      <c r="I420" s="85"/>
    </row>
    <row r="421" spans="6:9" x14ac:dyDescent="0.25">
      <c r="F421" s="85"/>
      <c r="I421" s="85"/>
    </row>
    <row r="422" spans="6:9" x14ac:dyDescent="0.25">
      <c r="F422" s="85"/>
      <c r="I422" s="85"/>
    </row>
    <row r="423" spans="6:9" x14ac:dyDescent="0.25">
      <c r="F423" s="85"/>
      <c r="I423" s="85"/>
    </row>
    <row r="424" spans="6:9" x14ac:dyDescent="0.25">
      <c r="F424" s="85"/>
      <c r="I424" s="85"/>
    </row>
    <row r="425" spans="6:9" x14ac:dyDescent="0.25">
      <c r="F425" s="85"/>
      <c r="I425" s="85"/>
    </row>
    <row r="426" spans="6:9" x14ac:dyDescent="0.25">
      <c r="F426" s="85"/>
      <c r="I426" s="85"/>
    </row>
    <row r="427" spans="6:9" x14ac:dyDescent="0.25">
      <c r="F427" s="85"/>
      <c r="I427" s="85"/>
    </row>
    <row r="428" spans="6:9" x14ac:dyDescent="0.25">
      <c r="F428" s="85"/>
      <c r="I428" s="85"/>
    </row>
    <row r="429" spans="6:9" x14ac:dyDescent="0.25">
      <c r="F429" s="85"/>
      <c r="I429" s="85"/>
    </row>
    <row r="430" spans="6:9" x14ac:dyDescent="0.25">
      <c r="F430" s="85"/>
      <c r="I430" s="85"/>
    </row>
    <row r="431" spans="6:9" x14ac:dyDescent="0.25">
      <c r="F431" s="85"/>
      <c r="I431" s="85"/>
    </row>
    <row r="432" spans="6:9" x14ac:dyDescent="0.25">
      <c r="F432" s="85"/>
      <c r="I432" s="85"/>
    </row>
    <row r="433" spans="6:9" x14ac:dyDescent="0.25">
      <c r="F433" s="85"/>
      <c r="I433" s="85"/>
    </row>
    <row r="434" spans="6:9" x14ac:dyDescent="0.25">
      <c r="F434" s="85"/>
      <c r="I434" s="85"/>
    </row>
    <row r="435" spans="6:9" x14ac:dyDescent="0.25">
      <c r="F435" s="85"/>
      <c r="I435" s="85"/>
    </row>
    <row r="436" spans="6:9" x14ac:dyDescent="0.25">
      <c r="F436" s="85"/>
      <c r="I436" s="85"/>
    </row>
    <row r="437" spans="6:9" x14ac:dyDescent="0.25">
      <c r="F437" s="85"/>
      <c r="I437" s="85"/>
    </row>
    <row r="438" spans="6:9" x14ac:dyDescent="0.25">
      <c r="F438" s="85"/>
      <c r="I438" s="85"/>
    </row>
    <row r="439" spans="6:9" x14ac:dyDescent="0.25">
      <c r="F439" s="85"/>
      <c r="I439" s="85"/>
    </row>
    <row r="440" spans="6:9" x14ac:dyDescent="0.25">
      <c r="F440" s="85"/>
      <c r="I440" s="85"/>
    </row>
    <row r="441" spans="6:9" x14ac:dyDescent="0.25">
      <c r="F441" s="85"/>
      <c r="I441" s="85"/>
    </row>
    <row r="442" spans="6:9" x14ac:dyDescent="0.25">
      <c r="F442" s="85"/>
      <c r="I442" s="85"/>
    </row>
    <row r="443" spans="6:9" x14ac:dyDescent="0.25">
      <c r="F443" s="85"/>
      <c r="I443" s="85"/>
    </row>
    <row r="444" spans="6:9" x14ac:dyDescent="0.25">
      <c r="F444" s="85"/>
      <c r="I444" s="85"/>
    </row>
    <row r="445" spans="6:9" x14ac:dyDescent="0.25">
      <c r="F445" s="85"/>
      <c r="I445" s="85"/>
    </row>
    <row r="446" spans="6:9" x14ac:dyDescent="0.25">
      <c r="F446" s="85"/>
      <c r="I446" s="85"/>
    </row>
    <row r="447" spans="6:9" x14ac:dyDescent="0.25">
      <c r="F447" s="85"/>
      <c r="I447" s="85"/>
    </row>
    <row r="448" spans="6:9" x14ac:dyDescent="0.25">
      <c r="F448" s="85"/>
      <c r="I448" s="85"/>
    </row>
    <row r="449" spans="6:9" x14ac:dyDescent="0.25">
      <c r="F449" s="85"/>
      <c r="I449" s="85"/>
    </row>
    <row r="450" spans="6:9" x14ac:dyDescent="0.25">
      <c r="F450" s="85"/>
      <c r="I450" s="85"/>
    </row>
    <row r="451" spans="6:9" x14ac:dyDescent="0.25">
      <c r="F451" s="85"/>
      <c r="I451" s="85"/>
    </row>
    <row r="452" spans="6:9" x14ac:dyDescent="0.25">
      <c r="F452" s="85"/>
      <c r="I452" s="85"/>
    </row>
    <row r="453" spans="6:9" x14ac:dyDescent="0.25">
      <c r="F453" s="85"/>
      <c r="I453" s="85"/>
    </row>
    <row r="454" spans="6:9" x14ac:dyDescent="0.25">
      <c r="F454" s="85"/>
      <c r="I454" s="85"/>
    </row>
    <row r="455" spans="6:9" x14ac:dyDescent="0.25">
      <c r="F455" s="85"/>
      <c r="I455" s="85"/>
    </row>
    <row r="456" spans="6:9" x14ac:dyDescent="0.25">
      <c r="F456" s="85"/>
      <c r="I456" s="85"/>
    </row>
    <row r="457" spans="6:9" x14ac:dyDescent="0.25">
      <c r="F457" s="85"/>
      <c r="I457" s="85"/>
    </row>
    <row r="458" spans="6:9" x14ac:dyDescent="0.25">
      <c r="F458" s="85"/>
      <c r="I458" s="85"/>
    </row>
    <row r="459" spans="6:9" x14ac:dyDescent="0.25">
      <c r="F459" s="85"/>
      <c r="I459" s="85"/>
    </row>
    <row r="460" spans="6:9" x14ac:dyDescent="0.25">
      <c r="F460" s="85"/>
      <c r="I460" s="85"/>
    </row>
    <row r="461" spans="6:9" x14ac:dyDescent="0.25">
      <c r="F461" s="85"/>
      <c r="I461" s="85"/>
    </row>
    <row r="462" spans="6:9" x14ac:dyDescent="0.25">
      <c r="F462" s="85"/>
      <c r="I462" s="85"/>
    </row>
    <row r="463" spans="6:9" x14ac:dyDescent="0.25">
      <c r="F463" s="85"/>
      <c r="I463" s="85"/>
    </row>
    <row r="464" spans="6:9" x14ac:dyDescent="0.25">
      <c r="F464" s="85"/>
      <c r="I464" s="85"/>
    </row>
    <row r="465" spans="6:9" x14ac:dyDescent="0.25">
      <c r="F465" s="85"/>
      <c r="I465" s="85"/>
    </row>
    <row r="466" spans="6:9" x14ac:dyDescent="0.25">
      <c r="F466" s="85"/>
      <c r="I466" s="85"/>
    </row>
    <row r="467" spans="6:9" x14ac:dyDescent="0.25">
      <c r="F467" s="85"/>
      <c r="I467" s="85"/>
    </row>
    <row r="468" spans="6:9" x14ac:dyDescent="0.25">
      <c r="F468" s="85"/>
      <c r="I468" s="85"/>
    </row>
    <row r="469" spans="6:9" x14ac:dyDescent="0.25">
      <c r="F469" s="85"/>
      <c r="I469" s="85"/>
    </row>
    <row r="470" spans="6:9" x14ac:dyDescent="0.25">
      <c r="F470" s="85"/>
      <c r="I470" s="85"/>
    </row>
    <row r="471" spans="6:9" x14ac:dyDescent="0.25">
      <c r="F471" s="85"/>
      <c r="I471" s="85"/>
    </row>
    <row r="472" spans="6:9" x14ac:dyDescent="0.25">
      <c r="F472" s="85"/>
      <c r="I472" s="85"/>
    </row>
    <row r="473" spans="6:9" x14ac:dyDescent="0.25">
      <c r="F473" s="85"/>
      <c r="I473" s="85"/>
    </row>
    <row r="474" spans="6:9" x14ac:dyDescent="0.25">
      <c r="F474" s="85"/>
      <c r="I474" s="85"/>
    </row>
    <row r="475" spans="6:9" x14ac:dyDescent="0.25">
      <c r="F475" s="85"/>
      <c r="I475" s="85"/>
    </row>
    <row r="476" spans="6:9" x14ac:dyDescent="0.25">
      <c r="F476" s="85"/>
      <c r="I476" s="85"/>
    </row>
    <row r="477" spans="6:9" x14ac:dyDescent="0.25">
      <c r="F477" s="85"/>
      <c r="I477" s="85"/>
    </row>
    <row r="478" spans="6:9" x14ac:dyDescent="0.25">
      <c r="F478" s="85"/>
      <c r="I478" s="85"/>
    </row>
    <row r="479" spans="6:9" x14ac:dyDescent="0.25">
      <c r="F479" s="85"/>
      <c r="I479" s="85"/>
    </row>
    <row r="480" spans="6:9" x14ac:dyDescent="0.25">
      <c r="F480" s="85"/>
      <c r="I480" s="85"/>
    </row>
    <row r="481" spans="6:9" x14ac:dyDescent="0.25">
      <c r="F481" s="85"/>
      <c r="I481" s="85"/>
    </row>
    <row r="482" spans="6:9" x14ac:dyDescent="0.25">
      <c r="F482" s="85"/>
      <c r="I482" s="85"/>
    </row>
    <row r="483" spans="6:9" x14ac:dyDescent="0.25">
      <c r="F483" s="85"/>
      <c r="I483" s="85"/>
    </row>
    <row r="484" spans="6:9" x14ac:dyDescent="0.25">
      <c r="F484" s="85"/>
      <c r="I484" s="85"/>
    </row>
    <row r="485" spans="6:9" x14ac:dyDescent="0.25">
      <c r="F485" s="85"/>
      <c r="I485" s="85"/>
    </row>
    <row r="486" spans="6:9" x14ac:dyDescent="0.25">
      <c r="F486" s="85"/>
      <c r="I486" s="85"/>
    </row>
    <row r="487" spans="6:9" x14ac:dyDescent="0.25">
      <c r="F487" s="85"/>
      <c r="I487" s="85"/>
    </row>
    <row r="488" spans="6:9" x14ac:dyDescent="0.25">
      <c r="F488" s="85"/>
      <c r="I488" s="85"/>
    </row>
    <row r="489" spans="6:9" x14ac:dyDescent="0.25">
      <c r="F489" s="85"/>
      <c r="I489" s="85"/>
    </row>
    <row r="490" spans="6:9" x14ac:dyDescent="0.25">
      <c r="F490" s="85"/>
      <c r="I490" s="85"/>
    </row>
    <row r="491" spans="6:9" x14ac:dyDescent="0.25">
      <c r="F491" s="85"/>
      <c r="I491" s="85"/>
    </row>
    <row r="492" spans="6:9" x14ac:dyDescent="0.25">
      <c r="F492" s="85"/>
      <c r="I492" s="85"/>
    </row>
    <row r="493" spans="6:9" x14ac:dyDescent="0.25">
      <c r="F493" s="85"/>
      <c r="I493" s="85"/>
    </row>
    <row r="494" spans="6:9" x14ac:dyDescent="0.25">
      <c r="F494" s="85"/>
      <c r="I494" s="85"/>
    </row>
    <row r="495" spans="6:9" x14ac:dyDescent="0.25">
      <c r="F495" s="85"/>
      <c r="I495" s="85"/>
    </row>
    <row r="496" spans="6:9" x14ac:dyDescent="0.25">
      <c r="F496" s="85"/>
      <c r="I496" s="85"/>
    </row>
    <row r="497" spans="6:9" x14ac:dyDescent="0.25">
      <c r="F497" s="85"/>
      <c r="I497" s="85"/>
    </row>
    <row r="498" spans="6:9" x14ac:dyDescent="0.25">
      <c r="F498" s="85"/>
      <c r="I498" s="85"/>
    </row>
    <row r="499" spans="6:9" x14ac:dyDescent="0.25">
      <c r="F499" s="85"/>
      <c r="I499" s="85"/>
    </row>
    <row r="500" spans="6:9" x14ac:dyDescent="0.25">
      <c r="F500" s="85"/>
      <c r="I500" s="85"/>
    </row>
    <row r="501" spans="6:9" x14ac:dyDescent="0.25">
      <c r="F501" s="85"/>
      <c r="I501" s="85"/>
    </row>
    <row r="502" spans="6:9" x14ac:dyDescent="0.25">
      <c r="F502" s="85"/>
      <c r="I502" s="85"/>
    </row>
    <row r="503" spans="6:9" x14ac:dyDescent="0.25">
      <c r="F503" s="85"/>
      <c r="I503" s="85"/>
    </row>
    <row r="504" spans="6:9" x14ac:dyDescent="0.25">
      <c r="F504" s="85"/>
      <c r="I504" s="85"/>
    </row>
    <row r="505" spans="6:9" x14ac:dyDescent="0.25">
      <c r="F505" s="85"/>
      <c r="I505" s="85"/>
    </row>
    <row r="506" spans="6:9" x14ac:dyDescent="0.25">
      <c r="F506" s="85"/>
      <c r="I506" s="85"/>
    </row>
    <row r="507" spans="6:9" x14ac:dyDescent="0.25">
      <c r="F507" s="85"/>
      <c r="I507" s="85"/>
    </row>
    <row r="508" spans="6:9" x14ac:dyDescent="0.25">
      <c r="F508" s="85"/>
      <c r="I508" s="85"/>
    </row>
    <row r="509" spans="6:9" x14ac:dyDescent="0.25">
      <c r="F509" s="85"/>
      <c r="I509" s="85"/>
    </row>
    <row r="510" spans="6:9" x14ac:dyDescent="0.25">
      <c r="F510" s="85"/>
      <c r="I510" s="85"/>
    </row>
    <row r="511" spans="6:9" x14ac:dyDescent="0.25">
      <c r="F511" s="85"/>
      <c r="I511" s="85"/>
    </row>
    <row r="512" spans="6:9" x14ac:dyDescent="0.25">
      <c r="F512" s="85"/>
      <c r="I512" s="85"/>
    </row>
    <row r="513" spans="6:9" x14ac:dyDescent="0.25">
      <c r="F513" s="85"/>
      <c r="I513" s="85"/>
    </row>
    <row r="514" spans="6:9" x14ac:dyDescent="0.25">
      <c r="F514" s="85"/>
      <c r="I514" s="85"/>
    </row>
    <row r="515" spans="6:9" x14ac:dyDescent="0.25">
      <c r="F515" s="85"/>
      <c r="I515" s="85"/>
    </row>
    <row r="516" spans="6:9" x14ac:dyDescent="0.25">
      <c r="F516" s="85"/>
      <c r="I516" s="85"/>
    </row>
    <row r="517" spans="6:9" x14ac:dyDescent="0.25">
      <c r="F517" s="85"/>
      <c r="I517" s="85"/>
    </row>
    <row r="518" spans="6:9" x14ac:dyDescent="0.25">
      <c r="F518" s="85"/>
      <c r="I518" s="85"/>
    </row>
    <row r="519" spans="6:9" x14ac:dyDescent="0.25">
      <c r="F519" s="85"/>
      <c r="I519" s="85"/>
    </row>
    <row r="520" spans="6:9" x14ac:dyDescent="0.25">
      <c r="F520" s="85"/>
      <c r="I520" s="85"/>
    </row>
    <row r="521" spans="6:9" x14ac:dyDescent="0.25">
      <c r="F521" s="85"/>
      <c r="I521" s="85"/>
    </row>
    <row r="522" spans="6:9" x14ac:dyDescent="0.25">
      <c r="F522" s="85"/>
      <c r="I522" s="85"/>
    </row>
    <row r="523" spans="6:9" x14ac:dyDescent="0.25">
      <c r="F523" s="85"/>
      <c r="I523" s="85"/>
    </row>
    <row r="524" spans="6:9" x14ac:dyDescent="0.25">
      <c r="F524" s="85"/>
      <c r="I524" s="85"/>
    </row>
    <row r="525" spans="6:9" x14ac:dyDescent="0.25">
      <c r="F525" s="85"/>
      <c r="I525" s="85"/>
    </row>
    <row r="526" spans="6:9" x14ac:dyDescent="0.25">
      <c r="F526" s="85"/>
      <c r="I526" s="85"/>
    </row>
    <row r="527" spans="6:9" x14ac:dyDescent="0.25">
      <c r="F527" s="85"/>
      <c r="I527" s="85"/>
    </row>
    <row r="528" spans="6:9" x14ac:dyDescent="0.25">
      <c r="F528" s="85"/>
      <c r="I528" s="85"/>
    </row>
    <row r="529" spans="6:9" x14ac:dyDescent="0.25">
      <c r="F529" s="85"/>
      <c r="I529" s="85"/>
    </row>
    <row r="530" spans="6:9" x14ac:dyDescent="0.25">
      <c r="F530" s="85"/>
      <c r="I530" s="85"/>
    </row>
    <row r="531" spans="6:9" x14ac:dyDescent="0.25">
      <c r="F531" s="85"/>
      <c r="I531" s="85"/>
    </row>
    <row r="532" spans="6:9" x14ac:dyDescent="0.25">
      <c r="F532" s="85"/>
      <c r="I532" s="85"/>
    </row>
    <row r="533" spans="6:9" x14ac:dyDescent="0.25">
      <c r="F533" s="85"/>
      <c r="I533" s="85"/>
    </row>
    <row r="534" spans="6:9" x14ac:dyDescent="0.25">
      <c r="F534" s="85"/>
      <c r="I534" s="85"/>
    </row>
    <row r="535" spans="6:9" x14ac:dyDescent="0.25">
      <c r="F535" s="85"/>
      <c r="I535" s="85"/>
    </row>
    <row r="536" spans="6:9" x14ac:dyDescent="0.25">
      <c r="F536" s="85"/>
      <c r="I536" s="85"/>
    </row>
    <row r="537" spans="6:9" x14ac:dyDescent="0.25">
      <c r="F537" s="85"/>
      <c r="I537" s="85"/>
    </row>
    <row r="538" spans="6:9" x14ac:dyDescent="0.25">
      <c r="F538" s="85"/>
      <c r="I538" s="85"/>
    </row>
    <row r="539" spans="6:9" x14ac:dyDescent="0.25">
      <c r="F539" s="85"/>
      <c r="I539" s="85"/>
    </row>
    <row r="540" spans="6:9" x14ac:dyDescent="0.25">
      <c r="F540" s="85"/>
      <c r="I540" s="85"/>
    </row>
    <row r="541" spans="6:9" x14ac:dyDescent="0.25">
      <c r="F541" s="85"/>
      <c r="I541" s="85"/>
    </row>
    <row r="542" spans="6:9" x14ac:dyDescent="0.25">
      <c r="F542" s="85"/>
      <c r="I542" s="85"/>
    </row>
    <row r="543" spans="6:9" x14ac:dyDescent="0.25">
      <c r="F543" s="85"/>
      <c r="I543" s="85"/>
    </row>
    <row r="544" spans="6:9" x14ac:dyDescent="0.25">
      <c r="F544" s="85"/>
      <c r="I544" s="85"/>
    </row>
    <row r="545" spans="6:9" x14ac:dyDescent="0.25">
      <c r="F545" s="85"/>
      <c r="I545" s="85"/>
    </row>
    <row r="546" spans="6:9" x14ac:dyDescent="0.25">
      <c r="F546" s="85"/>
      <c r="I546" s="85"/>
    </row>
    <row r="547" spans="6:9" x14ac:dyDescent="0.25">
      <c r="F547" s="85"/>
      <c r="I547" s="85"/>
    </row>
    <row r="548" spans="6:9" x14ac:dyDescent="0.25">
      <c r="F548" s="85"/>
      <c r="I548" s="85"/>
    </row>
    <row r="549" spans="6:9" x14ac:dyDescent="0.25">
      <c r="F549" s="85"/>
      <c r="I549" s="85"/>
    </row>
    <row r="550" spans="6:9" x14ac:dyDescent="0.25">
      <c r="F550" s="85"/>
      <c r="I550" s="85"/>
    </row>
    <row r="551" spans="6:9" x14ac:dyDescent="0.25">
      <c r="F551" s="85"/>
      <c r="I551" s="85"/>
    </row>
    <row r="552" spans="6:9" x14ac:dyDescent="0.25">
      <c r="F552" s="85"/>
      <c r="I552" s="85"/>
    </row>
    <row r="553" spans="6:9" x14ac:dyDescent="0.25">
      <c r="F553" s="85"/>
      <c r="I553" s="85"/>
    </row>
    <row r="554" spans="6:9" x14ac:dyDescent="0.25">
      <c r="F554" s="85"/>
      <c r="I554" s="85"/>
    </row>
    <row r="555" spans="6:9" x14ac:dyDescent="0.25">
      <c r="F555" s="85"/>
      <c r="I555" s="85"/>
    </row>
    <row r="556" spans="6:9" x14ac:dyDescent="0.25">
      <c r="F556" s="85"/>
      <c r="I556" s="85"/>
    </row>
    <row r="557" spans="6:9" x14ac:dyDescent="0.25">
      <c r="F557" s="85"/>
      <c r="I557" s="85"/>
    </row>
    <row r="558" spans="6:9" x14ac:dyDescent="0.25">
      <c r="F558" s="85"/>
      <c r="I558" s="85"/>
    </row>
    <row r="559" spans="6:9" x14ac:dyDescent="0.25">
      <c r="F559" s="85"/>
      <c r="I559" s="85"/>
    </row>
    <row r="560" spans="6:9" x14ac:dyDescent="0.25">
      <c r="F560" s="85"/>
      <c r="I560" s="85"/>
    </row>
    <row r="561" spans="6:9" x14ac:dyDescent="0.25">
      <c r="F561" s="85"/>
      <c r="I561" s="85"/>
    </row>
    <row r="562" spans="6:9" x14ac:dyDescent="0.25">
      <c r="F562" s="85"/>
      <c r="I562" s="85"/>
    </row>
    <row r="563" spans="6:9" x14ac:dyDescent="0.25">
      <c r="F563" s="85"/>
      <c r="I563" s="85"/>
    </row>
    <row r="564" spans="6:9" x14ac:dyDescent="0.25">
      <c r="F564" s="85"/>
      <c r="I564" s="85"/>
    </row>
    <row r="565" spans="6:9" x14ac:dyDescent="0.25">
      <c r="F565" s="85"/>
      <c r="I565" s="85"/>
    </row>
    <row r="566" spans="6:9" x14ac:dyDescent="0.25">
      <c r="F566" s="85"/>
      <c r="I566" s="85"/>
    </row>
    <row r="567" spans="6:9" x14ac:dyDescent="0.25">
      <c r="F567" s="85"/>
      <c r="I567" s="85"/>
    </row>
    <row r="568" spans="6:9" x14ac:dyDescent="0.25">
      <c r="F568" s="85"/>
      <c r="I568" s="85"/>
    </row>
    <row r="569" spans="6:9" x14ac:dyDescent="0.25">
      <c r="F569" s="85"/>
      <c r="I569" s="85"/>
    </row>
    <row r="570" spans="6:9" x14ac:dyDescent="0.25">
      <c r="F570" s="85"/>
      <c r="I570" s="85"/>
    </row>
    <row r="571" spans="6:9" x14ac:dyDescent="0.25">
      <c r="F571" s="85"/>
      <c r="I571" s="85"/>
    </row>
    <row r="572" spans="6:9" x14ac:dyDescent="0.25">
      <c r="F572" s="85"/>
      <c r="I572" s="85"/>
    </row>
    <row r="573" spans="6:9" x14ac:dyDescent="0.25">
      <c r="F573" s="85"/>
      <c r="I573" s="85"/>
    </row>
    <row r="574" spans="6:9" x14ac:dyDescent="0.25">
      <c r="F574" s="85"/>
      <c r="I574" s="85"/>
    </row>
    <row r="575" spans="6:9" x14ac:dyDescent="0.25">
      <c r="F575" s="85"/>
      <c r="I575" s="85"/>
    </row>
    <row r="576" spans="6:9" x14ac:dyDescent="0.25">
      <c r="F576" s="85"/>
      <c r="I576" s="85"/>
    </row>
    <row r="577" spans="6:9" x14ac:dyDescent="0.25">
      <c r="F577" s="85"/>
      <c r="I577" s="85"/>
    </row>
    <row r="578" spans="6:9" x14ac:dyDescent="0.25">
      <c r="F578" s="85"/>
      <c r="I578" s="85"/>
    </row>
    <row r="579" spans="6:9" x14ac:dyDescent="0.25">
      <c r="F579" s="85"/>
      <c r="I579" s="85"/>
    </row>
    <row r="580" spans="6:9" x14ac:dyDescent="0.25">
      <c r="F580" s="85"/>
      <c r="I580" s="85"/>
    </row>
    <row r="581" spans="6:9" x14ac:dyDescent="0.25">
      <c r="F581" s="85"/>
      <c r="I581" s="85"/>
    </row>
    <row r="582" spans="6:9" x14ac:dyDescent="0.25">
      <c r="F582" s="85"/>
      <c r="I582" s="85"/>
    </row>
    <row r="583" spans="6:9" x14ac:dyDescent="0.25">
      <c r="F583" s="85"/>
      <c r="I583" s="85"/>
    </row>
    <row r="584" spans="6:9" x14ac:dyDescent="0.25">
      <c r="F584" s="85"/>
      <c r="I584" s="85"/>
    </row>
    <row r="585" spans="6:9" x14ac:dyDescent="0.25">
      <c r="F585" s="85"/>
      <c r="I585" s="85"/>
    </row>
    <row r="586" spans="6:9" x14ac:dyDescent="0.25">
      <c r="F586" s="85"/>
      <c r="I586" s="85"/>
    </row>
    <row r="587" spans="6:9" x14ac:dyDescent="0.25">
      <c r="F587" s="85"/>
      <c r="I587" s="85"/>
    </row>
    <row r="588" spans="6:9" x14ac:dyDescent="0.25">
      <c r="F588" s="85"/>
      <c r="I588" s="85"/>
    </row>
    <row r="589" spans="6:9" x14ac:dyDescent="0.25">
      <c r="F589" s="85"/>
      <c r="I589" s="85"/>
    </row>
    <row r="590" spans="6:9" x14ac:dyDescent="0.25">
      <c r="F590" s="85"/>
      <c r="I590" s="85"/>
    </row>
    <row r="591" spans="6:9" x14ac:dyDescent="0.25">
      <c r="F591" s="85"/>
      <c r="I591" s="85"/>
    </row>
    <row r="592" spans="6:9" x14ac:dyDescent="0.25">
      <c r="F592" s="85"/>
      <c r="I592" s="85"/>
    </row>
    <row r="593" spans="6:9" x14ac:dyDescent="0.25">
      <c r="F593" s="85"/>
      <c r="I593" s="85"/>
    </row>
    <row r="594" spans="6:9" x14ac:dyDescent="0.25">
      <c r="F594" s="85"/>
      <c r="I594" s="85"/>
    </row>
    <row r="595" spans="6:9" x14ac:dyDescent="0.25">
      <c r="F595" s="85"/>
      <c r="I595" s="85"/>
    </row>
    <row r="596" spans="6:9" x14ac:dyDescent="0.25">
      <c r="F596" s="85"/>
      <c r="I596" s="85"/>
    </row>
    <row r="597" spans="6:9" x14ac:dyDescent="0.25">
      <c r="F597" s="85"/>
      <c r="I597" s="85"/>
    </row>
    <row r="598" spans="6:9" x14ac:dyDescent="0.25">
      <c r="F598" s="85"/>
      <c r="I598" s="85"/>
    </row>
    <row r="599" spans="6:9" x14ac:dyDescent="0.25">
      <c r="F599" s="85"/>
      <c r="I599" s="85"/>
    </row>
    <row r="600" spans="6:9" x14ac:dyDescent="0.25">
      <c r="F600" s="85"/>
      <c r="I600" s="85"/>
    </row>
    <row r="601" spans="6:9" x14ac:dyDescent="0.25">
      <c r="F601" s="85"/>
      <c r="I601" s="85"/>
    </row>
    <row r="602" spans="6:9" x14ac:dyDescent="0.25">
      <c r="F602" s="85"/>
      <c r="I602" s="85"/>
    </row>
    <row r="603" spans="6:9" x14ac:dyDescent="0.25">
      <c r="F603" s="85"/>
      <c r="I603" s="85"/>
    </row>
    <row r="604" spans="6:9" x14ac:dyDescent="0.25">
      <c r="F604" s="85"/>
      <c r="I604" s="85"/>
    </row>
    <row r="605" spans="6:9" x14ac:dyDescent="0.25">
      <c r="F605" s="85"/>
      <c r="I605" s="85"/>
    </row>
    <row r="606" spans="6:9" x14ac:dyDescent="0.25">
      <c r="F606" s="85"/>
      <c r="I606" s="85"/>
    </row>
    <row r="607" spans="6:9" x14ac:dyDescent="0.25">
      <c r="F607" s="85"/>
      <c r="I607" s="85"/>
    </row>
    <row r="608" spans="6:9" x14ac:dyDescent="0.25">
      <c r="F608" s="85"/>
      <c r="I608" s="85"/>
    </row>
    <row r="609" spans="6:9" x14ac:dyDescent="0.25">
      <c r="F609" s="85"/>
      <c r="I609" s="85"/>
    </row>
    <row r="610" spans="6:9" x14ac:dyDescent="0.25">
      <c r="F610" s="85"/>
      <c r="I610" s="85"/>
    </row>
    <row r="611" spans="6:9" x14ac:dyDescent="0.25">
      <c r="F611" s="85"/>
      <c r="I611" s="85"/>
    </row>
    <row r="612" spans="6:9" x14ac:dyDescent="0.25">
      <c r="F612" s="85"/>
      <c r="I612" s="85"/>
    </row>
    <row r="613" spans="6:9" x14ac:dyDescent="0.25">
      <c r="F613" s="85"/>
      <c r="I613" s="85"/>
    </row>
    <row r="614" spans="6:9" x14ac:dyDescent="0.25">
      <c r="F614" s="85"/>
      <c r="I614" s="85"/>
    </row>
    <row r="615" spans="6:9" x14ac:dyDescent="0.25">
      <c r="F615" s="85"/>
      <c r="I615" s="85"/>
    </row>
    <row r="616" spans="6:9" x14ac:dyDescent="0.25">
      <c r="F616" s="85"/>
      <c r="I616" s="85"/>
    </row>
    <row r="617" spans="6:9" x14ac:dyDescent="0.25">
      <c r="F617" s="85"/>
      <c r="I617" s="85"/>
    </row>
    <row r="618" spans="6:9" x14ac:dyDescent="0.25">
      <c r="F618" s="85"/>
      <c r="I618" s="85"/>
    </row>
    <row r="619" spans="6:9" x14ac:dyDescent="0.25">
      <c r="F619" s="85"/>
      <c r="I619" s="85"/>
    </row>
    <row r="620" spans="6:9" x14ac:dyDescent="0.25">
      <c r="F620" s="85"/>
      <c r="I620" s="85"/>
    </row>
    <row r="621" spans="6:9" x14ac:dyDescent="0.25">
      <c r="F621" s="85"/>
      <c r="I621" s="85"/>
    </row>
    <row r="622" spans="6:9" x14ac:dyDescent="0.25">
      <c r="F622" s="85"/>
      <c r="I622" s="85"/>
    </row>
    <row r="623" spans="6:9" x14ac:dyDescent="0.25">
      <c r="F623" s="85"/>
      <c r="I623" s="85"/>
    </row>
    <row r="624" spans="6:9" x14ac:dyDescent="0.25">
      <c r="F624" s="85"/>
      <c r="I624" s="85"/>
    </row>
    <row r="625" spans="6:9" x14ac:dyDescent="0.25">
      <c r="F625" s="85"/>
      <c r="I625" s="85"/>
    </row>
    <row r="626" spans="6:9" x14ac:dyDescent="0.25">
      <c r="F626" s="85"/>
      <c r="I626" s="85"/>
    </row>
    <row r="627" spans="6:9" x14ac:dyDescent="0.25">
      <c r="F627" s="85"/>
      <c r="I627" s="85"/>
    </row>
    <row r="628" spans="6:9" x14ac:dyDescent="0.25">
      <c r="F628" s="85"/>
      <c r="I628" s="85"/>
    </row>
    <row r="629" spans="6:9" x14ac:dyDescent="0.25">
      <c r="F629" s="85"/>
      <c r="I629" s="85"/>
    </row>
    <row r="630" spans="6:9" x14ac:dyDescent="0.25">
      <c r="F630" s="85"/>
      <c r="I630" s="85"/>
    </row>
    <row r="631" spans="6:9" x14ac:dyDescent="0.25">
      <c r="F631" s="85"/>
      <c r="I631" s="85"/>
    </row>
    <row r="632" spans="6:9" x14ac:dyDescent="0.25">
      <c r="F632" s="85"/>
      <c r="I632" s="85"/>
    </row>
    <row r="633" spans="6:9" x14ac:dyDescent="0.25">
      <c r="F633" s="85"/>
      <c r="I633" s="85"/>
    </row>
    <row r="634" spans="6:9" x14ac:dyDescent="0.25">
      <c r="F634" s="85"/>
      <c r="I634" s="85"/>
    </row>
    <row r="635" spans="6:9" x14ac:dyDescent="0.25">
      <c r="F635" s="85"/>
      <c r="I635" s="85"/>
    </row>
    <row r="636" spans="6:9" x14ac:dyDescent="0.25">
      <c r="F636" s="85"/>
      <c r="I636" s="85"/>
    </row>
    <row r="637" spans="6:9" x14ac:dyDescent="0.25">
      <c r="F637" s="85"/>
      <c r="I637" s="85"/>
    </row>
    <row r="638" spans="6:9" x14ac:dyDescent="0.25">
      <c r="F638" s="85"/>
      <c r="I638" s="85"/>
    </row>
    <row r="639" spans="6:9" x14ac:dyDescent="0.25">
      <c r="F639" s="85"/>
      <c r="I639" s="85"/>
    </row>
    <row r="640" spans="6:9" x14ac:dyDescent="0.25">
      <c r="F640" s="85"/>
      <c r="I640" s="85"/>
    </row>
    <row r="641" spans="6:9" x14ac:dyDescent="0.25">
      <c r="F641" s="85"/>
      <c r="I641" s="85"/>
    </row>
    <row r="642" spans="6:9" x14ac:dyDescent="0.25">
      <c r="F642" s="85"/>
      <c r="I642" s="85"/>
    </row>
    <row r="643" spans="6:9" x14ac:dyDescent="0.25">
      <c r="F643" s="85"/>
      <c r="I643" s="85"/>
    </row>
    <row r="644" spans="6:9" x14ac:dyDescent="0.25">
      <c r="F644" s="85"/>
      <c r="I644" s="85"/>
    </row>
    <row r="645" spans="6:9" x14ac:dyDescent="0.25">
      <c r="F645" s="85"/>
      <c r="I645" s="85"/>
    </row>
    <row r="646" spans="6:9" x14ac:dyDescent="0.25">
      <c r="F646" s="85"/>
      <c r="I646" s="85"/>
    </row>
    <row r="647" spans="6:9" x14ac:dyDescent="0.25">
      <c r="F647" s="85"/>
      <c r="I647" s="85"/>
    </row>
    <row r="648" spans="6:9" x14ac:dyDescent="0.25">
      <c r="F648" s="85"/>
      <c r="I648" s="85"/>
    </row>
    <row r="649" spans="6:9" x14ac:dyDescent="0.25">
      <c r="F649" s="85"/>
      <c r="I649" s="85"/>
    </row>
    <row r="650" spans="6:9" x14ac:dyDescent="0.25">
      <c r="F650" s="85"/>
      <c r="I650" s="85"/>
    </row>
    <row r="651" spans="6:9" x14ac:dyDescent="0.25">
      <c r="F651" s="85"/>
      <c r="I651" s="85"/>
    </row>
    <row r="652" spans="6:9" x14ac:dyDescent="0.25">
      <c r="F652" s="85"/>
      <c r="I652" s="85"/>
    </row>
    <row r="653" spans="6:9" x14ac:dyDescent="0.25">
      <c r="F653" s="85"/>
      <c r="I653" s="85"/>
    </row>
    <row r="654" spans="6:9" x14ac:dyDescent="0.25">
      <c r="F654" s="85"/>
      <c r="I654" s="85"/>
    </row>
    <row r="655" spans="6:9" x14ac:dyDescent="0.25">
      <c r="F655" s="85"/>
      <c r="I655" s="85"/>
    </row>
    <row r="656" spans="6:9" x14ac:dyDescent="0.25">
      <c r="F656" s="85"/>
      <c r="I656" s="85"/>
    </row>
    <row r="657" spans="6:9" x14ac:dyDescent="0.25">
      <c r="F657" s="85"/>
      <c r="I657" s="85"/>
    </row>
    <row r="658" spans="6:9" x14ac:dyDescent="0.25">
      <c r="F658" s="85"/>
      <c r="I658" s="85"/>
    </row>
    <row r="659" spans="6:9" x14ac:dyDescent="0.25">
      <c r="F659" s="85"/>
      <c r="I659" s="85"/>
    </row>
    <row r="660" spans="6:9" x14ac:dyDescent="0.25">
      <c r="F660" s="85"/>
      <c r="I660" s="85"/>
    </row>
    <row r="661" spans="6:9" x14ac:dyDescent="0.25">
      <c r="F661" s="85"/>
      <c r="I661" s="85"/>
    </row>
    <row r="662" spans="6:9" x14ac:dyDescent="0.25">
      <c r="F662" s="85"/>
      <c r="I662" s="85"/>
    </row>
    <row r="663" spans="6:9" x14ac:dyDescent="0.25">
      <c r="F663" s="85"/>
      <c r="I663" s="85"/>
    </row>
    <row r="664" spans="6:9" x14ac:dyDescent="0.25">
      <c r="F664" s="85"/>
      <c r="I664" s="85"/>
    </row>
    <row r="665" spans="6:9" x14ac:dyDescent="0.25">
      <c r="F665" s="85"/>
      <c r="I665" s="85"/>
    </row>
    <row r="666" spans="6:9" x14ac:dyDescent="0.25">
      <c r="F666" s="85"/>
      <c r="I666" s="85"/>
    </row>
    <row r="667" spans="6:9" x14ac:dyDescent="0.25">
      <c r="F667" s="85"/>
      <c r="I667" s="85"/>
    </row>
    <row r="668" spans="6:9" x14ac:dyDescent="0.25">
      <c r="F668" s="85"/>
      <c r="I668" s="85"/>
    </row>
    <row r="669" spans="6:9" x14ac:dyDescent="0.25">
      <c r="F669" s="85"/>
      <c r="I669" s="85"/>
    </row>
    <row r="670" spans="6:9" x14ac:dyDescent="0.25">
      <c r="F670" s="85"/>
      <c r="I670" s="85"/>
    </row>
    <row r="671" spans="6:9" x14ac:dyDescent="0.25">
      <c r="F671" s="85"/>
      <c r="I671" s="85"/>
    </row>
    <row r="672" spans="6:9" x14ac:dyDescent="0.25">
      <c r="F672" s="85"/>
      <c r="I672" s="85"/>
    </row>
    <row r="673" spans="6:9" x14ac:dyDescent="0.25">
      <c r="F673" s="85"/>
      <c r="I673" s="85"/>
    </row>
    <row r="674" spans="6:9" x14ac:dyDescent="0.25">
      <c r="F674" s="85"/>
      <c r="I674" s="85"/>
    </row>
    <row r="675" spans="6:9" x14ac:dyDescent="0.25">
      <c r="F675" s="85"/>
      <c r="I675" s="85"/>
    </row>
    <row r="676" spans="6:9" x14ac:dyDescent="0.25">
      <c r="F676" s="85"/>
      <c r="I676" s="85"/>
    </row>
    <row r="677" spans="6:9" x14ac:dyDescent="0.25">
      <c r="F677" s="85"/>
      <c r="I677" s="85"/>
    </row>
    <row r="678" spans="6:9" x14ac:dyDescent="0.25">
      <c r="F678" s="85"/>
      <c r="I678" s="85"/>
    </row>
    <row r="679" spans="6:9" x14ac:dyDescent="0.25">
      <c r="F679" s="85"/>
      <c r="I679" s="85"/>
    </row>
    <row r="680" spans="6:9" x14ac:dyDescent="0.25">
      <c r="F680" s="85"/>
      <c r="I680" s="85"/>
    </row>
    <row r="681" spans="6:9" x14ac:dyDescent="0.25">
      <c r="F681" s="85"/>
      <c r="I681" s="85"/>
    </row>
    <row r="682" spans="6:9" x14ac:dyDescent="0.25">
      <c r="F682" s="85"/>
      <c r="I682" s="85"/>
    </row>
    <row r="683" spans="6:9" x14ac:dyDescent="0.25">
      <c r="F683" s="85"/>
      <c r="I683" s="85"/>
    </row>
    <row r="684" spans="6:9" x14ac:dyDescent="0.25">
      <c r="F684" s="85"/>
      <c r="I684" s="85"/>
    </row>
    <row r="685" spans="6:9" x14ac:dyDescent="0.25">
      <c r="F685" s="85"/>
      <c r="I685" s="85"/>
    </row>
    <row r="686" spans="6:9" x14ac:dyDescent="0.25">
      <c r="F686" s="85"/>
      <c r="I686" s="85"/>
    </row>
    <row r="687" spans="6:9" x14ac:dyDescent="0.25">
      <c r="F687" s="85"/>
      <c r="I687" s="85"/>
    </row>
    <row r="688" spans="6:9" x14ac:dyDescent="0.25">
      <c r="F688" s="85"/>
      <c r="I688" s="85"/>
    </row>
    <row r="689" spans="6:9" x14ac:dyDescent="0.25">
      <c r="F689" s="85"/>
      <c r="I689" s="85"/>
    </row>
    <row r="690" spans="6:9" x14ac:dyDescent="0.25">
      <c r="F690" s="85"/>
      <c r="I690" s="85"/>
    </row>
    <row r="691" spans="6:9" x14ac:dyDescent="0.25">
      <c r="F691" s="85"/>
      <c r="I691" s="85"/>
    </row>
    <row r="692" spans="6:9" x14ac:dyDescent="0.25">
      <c r="F692" s="85"/>
      <c r="I692" s="85"/>
    </row>
    <row r="693" spans="6:9" x14ac:dyDescent="0.25">
      <c r="F693" s="85"/>
      <c r="I693" s="85"/>
    </row>
    <row r="694" spans="6:9" x14ac:dyDescent="0.25">
      <c r="F694" s="85"/>
      <c r="I694" s="85"/>
    </row>
    <row r="695" spans="6:9" x14ac:dyDescent="0.25">
      <c r="F695" s="85"/>
      <c r="I695" s="85"/>
    </row>
    <row r="696" spans="6:9" x14ac:dyDescent="0.25">
      <c r="F696" s="85"/>
      <c r="I696" s="85"/>
    </row>
    <row r="697" spans="6:9" x14ac:dyDescent="0.25">
      <c r="F697" s="85"/>
      <c r="I697" s="85"/>
    </row>
    <row r="698" spans="6:9" x14ac:dyDescent="0.25">
      <c r="F698" s="85"/>
      <c r="I698" s="85"/>
    </row>
    <row r="699" spans="6:9" x14ac:dyDescent="0.25">
      <c r="F699" s="85"/>
      <c r="I699" s="85"/>
    </row>
    <row r="700" spans="6:9" x14ac:dyDescent="0.25">
      <c r="F700" s="85"/>
      <c r="I700" s="85"/>
    </row>
    <row r="701" spans="6:9" x14ac:dyDescent="0.25">
      <c r="F701" s="85"/>
      <c r="I701" s="85"/>
    </row>
    <row r="702" spans="6:9" x14ac:dyDescent="0.25">
      <c r="F702" s="85"/>
      <c r="I702" s="85"/>
    </row>
    <row r="703" spans="6:9" x14ac:dyDescent="0.25">
      <c r="F703" s="85"/>
      <c r="I703" s="85"/>
    </row>
    <row r="704" spans="6:9" x14ac:dyDescent="0.25">
      <c r="F704" s="85"/>
      <c r="I704" s="85"/>
    </row>
    <row r="705" spans="6:9" x14ac:dyDescent="0.25">
      <c r="F705" s="85"/>
      <c r="I705" s="85"/>
    </row>
    <row r="706" spans="6:9" x14ac:dyDescent="0.25">
      <c r="F706" s="85"/>
      <c r="I706" s="85"/>
    </row>
    <row r="707" spans="6:9" x14ac:dyDescent="0.25">
      <c r="F707" s="85"/>
      <c r="I707" s="85"/>
    </row>
    <row r="708" spans="6:9" x14ac:dyDescent="0.25">
      <c r="F708" s="85"/>
      <c r="I708" s="85"/>
    </row>
    <row r="709" spans="6:9" x14ac:dyDescent="0.25">
      <c r="F709" s="85"/>
      <c r="I709" s="85"/>
    </row>
    <row r="710" spans="6:9" x14ac:dyDescent="0.25">
      <c r="F710" s="85"/>
      <c r="I710" s="85"/>
    </row>
    <row r="711" spans="6:9" x14ac:dyDescent="0.25">
      <c r="F711" s="85"/>
      <c r="I711" s="85"/>
    </row>
    <row r="712" spans="6:9" x14ac:dyDescent="0.25">
      <c r="F712" s="85"/>
      <c r="I712" s="85"/>
    </row>
    <row r="713" spans="6:9" x14ac:dyDescent="0.25">
      <c r="F713" s="85"/>
      <c r="I713" s="85"/>
    </row>
    <row r="714" spans="6:9" x14ac:dyDescent="0.25">
      <c r="F714" s="85"/>
      <c r="I714" s="85"/>
    </row>
    <row r="715" spans="6:9" x14ac:dyDescent="0.25">
      <c r="F715" s="85"/>
      <c r="I715" s="85"/>
    </row>
    <row r="716" spans="6:9" x14ac:dyDescent="0.25">
      <c r="F716" s="85"/>
      <c r="I716" s="85"/>
    </row>
    <row r="717" spans="6:9" x14ac:dyDescent="0.25">
      <c r="F717" s="85"/>
      <c r="I717" s="85"/>
    </row>
    <row r="718" spans="6:9" x14ac:dyDescent="0.25">
      <c r="F718" s="85"/>
      <c r="I718" s="85"/>
    </row>
    <row r="719" spans="6:9" x14ac:dyDescent="0.25">
      <c r="F719" s="85"/>
      <c r="I719" s="85"/>
    </row>
    <row r="720" spans="6:9" x14ac:dyDescent="0.25">
      <c r="F720" s="85"/>
      <c r="I720" s="85"/>
    </row>
    <row r="721" spans="6:9" x14ac:dyDescent="0.25">
      <c r="F721" s="85"/>
      <c r="I721" s="85"/>
    </row>
    <row r="722" spans="6:9" x14ac:dyDescent="0.25">
      <c r="F722" s="85"/>
      <c r="I722" s="85"/>
    </row>
    <row r="723" spans="6:9" x14ac:dyDescent="0.25">
      <c r="F723" s="85"/>
      <c r="I723" s="85"/>
    </row>
    <row r="724" spans="6:9" x14ac:dyDescent="0.25">
      <c r="F724" s="85"/>
      <c r="I724" s="85"/>
    </row>
    <row r="725" spans="6:9" x14ac:dyDescent="0.25">
      <c r="F725" s="85"/>
      <c r="I725" s="85"/>
    </row>
    <row r="726" spans="6:9" x14ac:dyDescent="0.25">
      <c r="F726" s="85"/>
      <c r="I726" s="85"/>
    </row>
    <row r="727" spans="6:9" x14ac:dyDescent="0.25">
      <c r="F727" s="85"/>
      <c r="I727" s="85"/>
    </row>
    <row r="728" spans="6:9" x14ac:dyDescent="0.25">
      <c r="F728" s="85"/>
      <c r="I728" s="85"/>
    </row>
    <row r="729" spans="6:9" x14ac:dyDescent="0.25">
      <c r="F729" s="85"/>
      <c r="I729" s="85"/>
    </row>
    <row r="730" spans="6:9" x14ac:dyDescent="0.25">
      <c r="F730" s="85"/>
      <c r="I730" s="85"/>
    </row>
    <row r="731" spans="6:9" x14ac:dyDescent="0.25">
      <c r="F731" s="85"/>
      <c r="I731" s="85"/>
    </row>
    <row r="732" spans="6:9" x14ac:dyDescent="0.25">
      <c r="F732" s="85"/>
      <c r="I732" s="85"/>
    </row>
    <row r="733" spans="6:9" x14ac:dyDescent="0.25">
      <c r="F733" s="85"/>
      <c r="I733" s="85"/>
    </row>
    <row r="734" spans="6:9" x14ac:dyDescent="0.25">
      <c r="F734" s="85"/>
      <c r="I734" s="85"/>
    </row>
    <row r="735" spans="6:9" x14ac:dyDescent="0.25">
      <c r="F735" s="85"/>
      <c r="I735" s="85"/>
    </row>
    <row r="736" spans="6:9" x14ac:dyDescent="0.25">
      <c r="F736" s="85"/>
      <c r="I736" s="85"/>
    </row>
    <row r="737" spans="6:9" x14ac:dyDescent="0.25">
      <c r="F737" s="85"/>
      <c r="I737" s="85"/>
    </row>
    <row r="738" spans="6:9" x14ac:dyDescent="0.25">
      <c r="F738" s="85"/>
      <c r="I738" s="85"/>
    </row>
    <row r="739" spans="6:9" x14ac:dyDescent="0.25">
      <c r="F739" s="85"/>
      <c r="I739" s="85"/>
    </row>
    <row r="740" spans="6:9" x14ac:dyDescent="0.25">
      <c r="F740" s="85"/>
      <c r="I740" s="85"/>
    </row>
    <row r="741" spans="6:9" x14ac:dyDescent="0.25">
      <c r="F741" s="85"/>
      <c r="I741" s="85"/>
    </row>
    <row r="742" spans="6:9" x14ac:dyDescent="0.25">
      <c r="F742" s="85"/>
      <c r="I742" s="85"/>
    </row>
    <row r="743" spans="6:9" x14ac:dyDescent="0.25">
      <c r="F743" s="85"/>
      <c r="I743" s="85"/>
    </row>
    <row r="744" spans="6:9" x14ac:dyDescent="0.25">
      <c r="F744" s="85"/>
      <c r="I744" s="85"/>
    </row>
    <row r="745" spans="6:9" x14ac:dyDescent="0.25">
      <c r="F745" s="85"/>
      <c r="I745" s="85"/>
    </row>
    <row r="746" spans="6:9" x14ac:dyDescent="0.25">
      <c r="F746" s="85"/>
      <c r="I746" s="85"/>
    </row>
    <row r="747" spans="6:9" x14ac:dyDescent="0.25">
      <c r="F747" s="85"/>
      <c r="I747" s="85"/>
    </row>
    <row r="748" spans="6:9" x14ac:dyDescent="0.25">
      <c r="F748" s="85"/>
      <c r="I748" s="85"/>
    </row>
    <row r="749" spans="6:9" x14ac:dyDescent="0.25">
      <c r="F749" s="85"/>
      <c r="I749" s="85"/>
    </row>
    <row r="750" spans="6:9" x14ac:dyDescent="0.25">
      <c r="F750" s="85"/>
      <c r="I750" s="85"/>
    </row>
    <row r="751" spans="6:9" x14ac:dyDescent="0.25">
      <c r="F751" s="85"/>
      <c r="I751" s="85"/>
    </row>
    <row r="752" spans="6:9" x14ac:dyDescent="0.25">
      <c r="F752" s="85"/>
      <c r="I752" s="85"/>
    </row>
    <row r="753" spans="6:9" x14ac:dyDescent="0.25">
      <c r="F753" s="85"/>
      <c r="I753" s="85"/>
    </row>
    <row r="754" spans="6:9" x14ac:dyDescent="0.25">
      <c r="F754" s="85"/>
      <c r="I754" s="85"/>
    </row>
    <row r="755" spans="6:9" x14ac:dyDescent="0.25">
      <c r="F755" s="85"/>
      <c r="I755" s="85"/>
    </row>
    <row r="756" spans="6:9" x14ac:dyDescent="0.25">
      <c r="F756" s="85"/>
      <c r="I756" s="85"/>
    </row>
    <row r="757" spans="6:9" x14ac:dyDescent="0.25">
      <c r="F757" s="85"/>
      <c r="I757" s="85"/>
    </row>
    <row r="758" spans="6:9" x14ac:dyDescent="0.25">
      <c r="F758" s="85"/>
      <c r="I758" s="85"/>
    </row>
    <row r="759" spans="6:9" x14ac:dyDescent="0.25">
      <c r="F759" s="85"/>
      <c r="I759" s="85"/>
    </row>
    <row r="760" spans="6:9" x14ac:dyDescent="0.25">
      <c r="F760" s="85"/>
      <c r="I760" s="85"/>
    </row>
    <row r="761" spans="6:9" x14ac:dyDescent="0.25">
      <c r="F761" s="85"/>
      <c r="I761" s="85"/>
    </row>
    <row r="762" spans="6:9" x14ac:dyDescent="0.25">
      <c r="F762" s="85"/>
      <c r="I762" s="85"/>
    </row>
    <row r="763" spans="6:9" x14ac:dyDescent="0.25">
      <c r="F763" s="85"/>
      <c r="I763" s="85"/>
    </row>
    <row r="764" spans="6:9" x14ac:dyDescent="0.25">
      <c r="F764" s="85"/>
      <c r="I764" s="85"/>
    </row>
    <row r="765" spans="6:9" x14ac:dyDescent="0.25">
      <c r="F765" s="85"/>
      <c r="I765" s="85"/>
    </row>
    <row r="766" spans="6:9" x14ac:dyDescent="0.25">
      <c r="F766" s="85"/>
      <c r="I766" s="85"/>
    </row>
    <row r="767" spans="6:9" x14ac:dyDescent="0.25">
      <c r="F767" s="85"/>
      <c r="I767" s="85"/>
    </row>
    <row r="768" spans="6:9" x14ac:dyDescent="0.25">
      <c r="F768" s="85"/>
      <c r="I768" s="85"/>
    </row>
    <row r="769" spans="6:9" x14ac:dyDescent="0.25">
      <c r="F769" s="85"/>
      <c r="I769" s="85"/>
    </row>
    <row r="770" spans="6:9" x14ac:dyDescent="0.25">
      <c r="F770" s="85"/>
      <c r="I770" s="85"/>
    </row>
    <row r="771" spans="6:9" x14ac:dyDescent="0.25">
      <c r="F771" s="85"/>
      <c r="I771" s="85"/>
    </row>
    <row r="772" spans="6:9" x14ac:dyDescent="0.25">
      <c r="F772" s="85"/>
      <c r="I772" s="85"/>
    </row>
    <row r="773" spans="6:9" x14ac:dyDescent="0.25">
      <c r="F773" s="85"/>
      <c r="I773" s="85"/>
    </row>
    <row r="774" spans="6:9" x14ac:dyDescent="0.25">
      <c r="F774" s="85"/>
      <c r="I774" s="85"/>
    </row>
    <row r="775" spans="6:9" x14ac:dyDescent="0.25">
      <c r="F775" s="85"/>
      <c r="I775" s="85"/>
    </row>
    <row r="776" spans="6:9" x14ac:dyDescent="0.25">
      <c r="F776" s="85"/>
      <c r="I776" s="85"/>
    </row>
    <row r="777" spans="6:9" x14ac:dyDescent="0.25">
      <c r="F777" s="85"/>
      <c r="I777" s="85"/>
    </row>
    <row r="778" spans="6:9" x14ac:dyDescent="0.25">
      <c r="F778" s="85"/>
      <c r="I778" s="85"/>
    </row>
    <row r="779" spans="6:9" x14ac:dyDescent="0.25">
      <c r="F779" s="85"/>
      <c r="I779" s="85"/>
    </row>
    <row r="780" spans="6:9" x14ac:dyDescent="0.25">
      <c r="F780" s="85"/>
      <c r="I780" s="85"/>
    </row>
    <row r="781" spans="6:9" x14ac:dyDescent="0.25">
      <c r="F781" s="85"/>
      <c r="I781" s="85"/>
    </row>
    <row r="782" spans="6:9" x14ac:dyDescent="0.25">
      <c r="F782" s="85"/>
      <c r="I782" s="85"/>
    </row>
    <row r="783" spans="6:9" x14ac:dyDescent="0.25">
      <c r="F783" s="85"/>
      <c r="I783" s="85"/>
    </row>
    <row r="784" spans="6:9" x14ac:dyDescent="0.25">
      <c r="F784" s="85"/>
      <c r="I784" s="85"/>
    </row>
    <row r="785" spans="6:9" x14ac:dyDescent="0.25">
      <c r="F785" s="85"/>
      <c r="I785" s="85"/>
    </row>
    <row r="786" spans="6:9" x14ac:dyDescent="0.25">
      <c r="F786" s="85"/>
      <c r="I786" s="85"/>
    </row>
    <row r="787" spans="6:9" x14ac:dyDescent="0.25">
      <c r="F787" s="85"/>
      <c r="I787" s="85"/>
    </row>
    <row r="788" spans="6:9" x14ac:dyDescent="0.25">
      <c r="F788" s="85"/>
      <c r="I788" s="85"/>
    </row>
    <row r="789" spans="6:9" x14ac:dyDescent="0.25">
      <c r="F789" s="85"/>
      <c r="I789" s="85"/>
    </row>
    <row r="790" spans="6:9" x14ac:dyDescent="0.25">
      <c r="F790" s="85"/>
      <c r="I790" s="85"/>
    </row>
    <row r="791" spans="6:9" x14ac:dyDescent="0.25">
      <c r="F791" s="85"/>
      <c r="I791" s="85"/>
    </row>
    <row r="792" spans="6:9" x14ac:dyDescent="0.25">
      <c r="F792" s="85"/>
      <c r="I792" s="85"/>
    </row>
    <row r="793" spans="6:9" x14ac:dyDescent="0.25">
      <c r="F793" s="85"/>
      <c r="I793" s="85"/>
    </row>
    <row r="794" spans="6:9" x14ac:dyDescent="0.25">
      <c r="F794" s="85"/>
      <c r="I794" s="85"/>
    </row>
    <row r="795" spans="6:9" x14ac:dyDescent="0.25">
      <c r="F795" s="85"/>
      <c r="I795" s="85"/>
    </row>
    <row r="796" spans="6:9" x14ac:dyDescent="0.25">
      <c r="F796" s="85"/>
      <c r="I796" s="85"/>
    </row>
    <row r="797" spans="6:9" x14ac:dyDescent="0.25">
      <c r="F797" s="85"/>
      <c r="I797" s="85"/>
    </row>
    <row r="798" spans="6:9" x14ac:dyDescent="0.25">
      <c r="F798" s="85"/>
      <c r="I798" s="85"/>
    </row>
    <row r="799" spans="6:9" x14ac:dyDescent="0.25">
      <c r="F799" s="85"/>
      <c r="I799" s="85"/>
    </row>
    <row r="800" spans="6:9" x14ac:dyDescent="0.25">
      <c r="F800" s="85"/>
      <c r="I800" s="85"/>
    </row>
    <row r="801" spans="6:9" x14ac:dyDescent="0.25">
      <c r="F801" s="85"/>
      <c r="I801" s="85"/>
    </row>
    <row r="802" spans="6:9" x14ac:dyDescent="0.25">
      <c r="F802" s="85"/>
      <c r="I802" s="85"/>
    </row>
    <row r="803" spans="6:9" x14ac:dyDescent="0.25">
      <c r="F803" s="85"/>
      <c r="I803" s="85"/>
    </row>
    <row r="804" spans="6:9" x14ac:dyDescent="0.25">
      <c r="F804" s="85"/>
      <c r="I804" s="85"/>
    </row>
    <row r="805" spans="6:9" x14ac:dyDescent="0.25">
      <c r="F805" s="85"/>
      <c r="I805" s="85"/>
    </row>
    <row r="806" spans="6:9" x14ac:dyDescent="0.25">
      <c r="F806" s="85"/>
      <c r="I806" s="85"/>
    </row>
    <row r="807" spans="6:9" x14ac:dyDescent="0.25">
      <c r="F807" s="85"/>
      <c r="I807" s="85"/>
    </row>
    <row r="808" spans="6:9" x14ac:dyDescent="0.25">
      <c r="F808" s="85"/>
      <c r="I808" s="85"/>
    </row>
    <row r="809" spans="6:9" x14ac:dyDescent="0.25">
      <c r="F809" s="85"/>
      <c r="I809" s="85"/>
    </row>
    <row r="810" spans="6:9" x14ac:dyDescent="0.25">
      <c r="F810" s="85"/>
      <c r="I810" s="85"/>
    </row>
    <row r="811" spans="6:9" x14ac:dyDescent="0.25">
      <c r="F811" s="85"/>
      <c r="I811" s="85"/>
    </row>
    <row r="812" spans="6:9" x14ac:dyDescent="0.25">
      <c r="F812" s="85"/>
      <c r="I812" s="85"/>
    </row>
    <row r="813" spans="6:9" x14ac:dyDescent="0.25">
      <c r="F813" s="85"/>
      <c r="I813" s="85"/>
    </row>
    <row r="814" spans="6:9" x14ac:dyDescent="0.25">
      <c r="F814" s="85"/>
      <c r="I814" s="85"/>
    </row>
    <row r="815" spans="6:9" x14ac:dyDescent="0.25">
      <c r="F815" s="85"/>
      <c r="I815" s="85"/>
    </row>
    <row r="816" spans="6:9" x14ac:dyDescent="0.25">
      <c r="F816" s="85"/>
      <c r="I816" s="85"/>
    </row>
    <row r="817" spans="6:9" x14ac:dyDescent="0.25">
      <c r="F817" s="85"/>
      <c r="I817" s="85"/>
    </row>
    <row r="818" spans="6:9" x14ac:dyDescent="0.25">
      <c r="F818" s="85"/>
      <c r="I818" s="85"/>
    </row>
    <row r="819" spans="6:9" x14ac:dyDescent="0.25">
      <c r="F819" s="85"/>
      <c r="I819" s="85"/>
    </row>
    <row r="820" spans="6:9" x14ac:dyDescent="0.25">
      <c r="F820" s="85"/>
      <c r="I820" s="85"/>
    </row>
    <row r="821" spans="6:9" x14ac:dyDescent="0.25">
      <c r="F821" s="85"/>
      <c r="I821" s="85"/>
    </row>
    <row r="822" spans="6:9" x14ac:dyDescent="0.25">
      <c r="F822" s="85"/>
      <c r="I822" s="85"/>
    </row>
    <row r="823" spans="6:9" x14ac:dyDescent="0.25">
      <c r="F823" s="85"/>
      <c r="I823" s="85"/>
    </row>
    <row r="824" spans="6:9" x14ac:dyDescent="0.25">
      <c r="F824" s="85"/>
      <c r="I824" s="85"/>
    </row>
    <row r="825" spans="6:9" x14ac:dyDescent="0.25">
      <c r="F825" s="85"/>
      <c r="I825" s="85"/>
    </row>
    <row r="826" spans="6:9" x14ac:dyDescent="0.25">
      <c r="F826" s="85"/>
      <c r="I826" s="85"/>
    </row>
    <row r="827" spans="6:9" x14ac:dyDescent="0.25">
      <c r="F827" s="85"/>
      <c r="I827" s="85"/>
    </row>
    <row r="828" spans="6:9" x14ac:dyDescent="0.25">
      <c r="F828" s="85"/>
      <c r="I828" s="85"/>
    </row>
    <row r="829" spans="6:9" x14ac:dyDescent="0.25">
      <c r="F829" s="85"/>
      <c r="I829" s="85"/>
    </row>
    <row r="830" spans="6:9" x14ac:dyDescent="0.25">
      <c r="F830" s="85"/>
      <c r="I830" s="85"/>
    </row>
    <row r="831" spans="6:9" x14ac:dyDescent="0.25">
      <c r="F831" s="85"/>
      <c r="I831" s="85"/>
    </row>
    <row r="832" spans="6:9" x14ac:dyDescent="0.25">
      <c r="F832" s="85"/>
      <c r="I832" s="85"/>
    </row>
    <row r="833" spans="6:9" x14ac:dyDescent="0.25">
      <c r="F833" s="85"/>
      <c r="I833" s="85"/>
    </row>
    <row r="834" spans="6:9" x14ac:dyDescent="0.25">
      <c r="F834" s="85"/>
      <c r="I834" s="85"/>
    </row>
    <row r="835" spans="6:9" x14ac:dyDescent="0.25">
      <c r="F835" s="85"/>
      <c r="I835" s="85"/>
    </row>
    <row r="836" spans="6:9" x14ac:dyDescent="0.25">
      <c r="F836" s="85"/>
      <c r="I836" s="85"/>
    </row>
    <row r="837" spans="6:9" x14ac:dyDescent="0.25">
      <c r="F837" s="85"/>
      <c r="I837" s="85"/>
    </row>
    <row r="838" spans="6:9" x14ac:dyDescent="0.25">
      <c r="F838" s="85"/>
      <c r="I838" s="85"/>
    </row>
    <row r="839" spans="6:9" x14ac:dyDescent="0.25">
      <c r="F839" s="85"/>
      <c r="I839" s="85"/>
    </row>
    <row r="840" spans="6:9" x14ac:dyDescent="0.25">
      <c r="F840" s="85"/>
      <c r="I840" s="85"/>
    </row>
    <row r="841" spans="6:9" x14ac:dyDescent="0.25">
      <c r="F841" s="85"/>
      <c r="I841" s="85"/>
    </row>
    <row r="842" spans="6:9" x14ac:dyDescent="0.25">
      <c r="F842" s="85"/>
      <c r="I842" s="85"/>
    </row>
    <row r="843" spans="6:9" x14ac:dyDescent="0.25">
      <c r="F843" s="85"/>
      <c r="I843" s="85"/>
    </row>
    <row r="844" spans="6:9" x14ac:dyDescent="0.25">
      <c r="F844" s="85"/>
      <c r="I844" s="85"/>
    </row>
    <row r="845" spans="6:9" x14ac:dyDescent="0.25">
      <c r="F845" s="85"/>
      <c r="I845" s="85"/>
    </row>
    <row r="846" spans="6:9" x14ac:dyDescent="0.25">
      <c r="F846" s="85"/>
      <c r="I846" s="85"/>
    </row>
    <row r="847" spans="6:9" x14ac:dyDescent="0.25">
      <c r="F847" s="85"/>
      <c r="I847" s="85"/>
    </row>
    <row r="848" spans="6:9" x14ac:dyDescent="0.25">
      <c r="F848" s="85"/>
      <c r="I848" s="85"/>
    </row>
    <row r="849" spans="6:9" x14ac:dyDescent="0.25">
      <c r="F849" s="85"/>
      <c r="I849" s="85"/>
    </row>
    <row r="850" spans="6:9" x14ac:dyDescent="0.25">
      <c r="F850" s="85"/>
      <c r="I850" s="85"/>
    </row>
    <row r="851" spans="6:9" x14ac:dyDescent="0.25">
      <c r="F851" s="85"/>
      <c r="I851" s="85"/>
    </row>
    <row r="852" spans="6:9" x14ac:dyDescent="0.25">
      <c r="F852" s="85"/>
      <c r="I852" s="85"/>
    </row>
    <row r="853" spans="6:9" x14ac:dyDescent="0.25">
      <c r="F853" s="85"/>
      <c r="I853" s="85"/>
    </row>
    <row r="854" spans="6:9" x14ac:dyDescent="0.25">
      <c r="F854" s="85"/>
      <c r="I854" s="85"/>
    </row>
    <row r="855" spans="6:9" x14ac:dyDescent="0.25">
      <c r="F855" s="85"/>
      <c r="I855" s="85"/>
    </row>
    <row r="856" spans="6:9" x14ac:dyDescent="0.25">
      <c r="F856" s="85"/>
      <c r="I856" s="85"/>
    </row>
    <row r="857" spans="6:9" x14ac:dyDescent="0.25">
      <c r="F857" s="85"/>
      <c r="I857" s="85"/>
    </row>
    <row r="858" spans="6:9" x14ac:dyDescent="0.25">
      <c r="F858" s="85"/>
      <c r="I858" s="85"/>
    </row>
    <row r="859" spans="6:9" x14ac:dyDescent="0.25">
      <c r="F859" s="85"/>
      <c r="I859" s="85"/>
    </row>
    <row r="860" spans="6:9" x14ac:dyDescent="0.25">
      <c r="F860" s="85"/>
      <c r="I860" s="85"/>
    </row>
    <row r="861" spans="6:9" x14ac:dyDescent="0.25">
      <c r="F861" s="85"/>
      <c r="I861" s="85"/>
    </row>
    <row r="862" spans="6:9" x14ac:dyDescent="0.25">
      <c r="F862" s="85"/>
      <c r="I862" s="85"/>
    </row>
    <row r="863" spans="6:9" x14ac:dyDescent="0.25">
      <c r="F863" s="85"/>
      <c r="I863" s="85"/>
    </row>
    <row r="864" spans="6:9" x14ac:dyDescent="0.25">
      <c r="F864" s="85"/>
      <c r="I864" s="85"/>
    </row>
    <row r="865" spans="6:9" x14ac:dyDescent="0.25">
      <c r="F865" s="85"/>
      <c r="I865" s="85"/>
    </row>
    <row r="866" spans="6:9" x14ac:dyDescent="0.25">
      <c r="F866" s="85"/>
      <c r="I866" s="85"/>
    </row>
    <row r="867" spans="6:9" x14ac:dyDescent="0.25">
      <c r="F867" s="85"/>
      <c r="I867" s="85"/>
    </row>
    <row r="868" spans="6:9" x14ac:dyDescent="0.25">
      <c r="F868" s="85"/>
      <c r="I868" s="85"/>
    </row>
    <row r="869" spans="6:9" x14ac:dyDescent="0.25">
      <c r="F869" s="85"/>
      <c r="I869" s="85"/>
    </row>
    <row r="870" spans="6:9" x14ac:dyDescent="0.25">
      <c r="F870" s="85"/>
      <c r="I870" s="85"/>
    </row>
    <row r="871" spans="6:9" x14ac:dyDescent="0.25">
      <c r="F871" s="85"/>
      <c r="I871" s="85"/>
    </row>
    <row r="872" spans="6:9" x14ac:dyDescent="0.25">
      <c r="F872" s="85"/>
      <c r="I872" s="85"/>
    </row>
    <row r="873" spans="6:9" x14ac:dyDescent="0.25">
      <c r="F873" s="85"/>
      <c r="I873" s="85"/>
    </row>
    <row r="874" spans="6:9" x14ac:dyDescent="0.25">
      <c r="F874" s="85"/>
      <c r="I874" s="85"/>
    </row>
    <row r="875" spans="6:9" x14ac:dyDescent="0.25">
      <c r="F875" s="85"/>
      <c r="I875" s="85"/>
    </row>
    <row r="876" spans="6:9" x14ac:dyDescent="0.25">
      <c r="F876" s="85"/>
      <c r="I876" s="85"/>
    </row>
    <row r="877" spans="6:9" x14ac:dyDescent="0.25">
      <c r="F877" s="85"/>
      <c r="I877" s="85"/>
    </row>
    <row r="878" spans="6:9" x14ac:dyDescent="0.25">
      <c r="F878" s="85"/>
      <c r="I878" s="85"/>
    </row>
    <row r="879" spans="6:9" x14ac:dyDescent="0.25">
      <c r="F879" s="85"/>
      <c r="I879" s="85"/>
    </row>
    <row r="880" spans="6:9" x14ac:dyDescent="0.25">
      <c r="F880" s="85"/>
      <c r="I880" s="85"/>
    </row>
    <row r="881" spans="6:9" x14ac:dyDescent="0.25">
      <c r="F881" s="85"/>
      <c r="I881" s="85"/>
    </row>
    <row r="882" spans="6:9" x14ac:dyDescent="0.25">
      <c r="F882" s="85"/>
      <c r="I882" s="85"/>
    </row>
    <row r="883" spans="6:9" x14ac:dyDescent="0.25">
      <c r="F883" s="85"/>
      <c r="I883" s="85"/>
    </row>
    <row r="884" spans="6:9" x14ac:dyDescent="0.25">
      <c r="F884" s="85"/>
      <c r="I884" s="85"/>
    </row>
    <row r="885" spans="6:9" x14ac:dyDescent="0.25">
      <c r="F885" s="85"/>
      <c r="I885" s="85"/>
    </row>
    <row r="886" spans="6:9" x14ac:dyDescent="0.25">
      <c r="F886" s="85"/>
      <c r="I886" s="85"/>
    </row>
    <row r="887" spans="6:9" x14ac:dyDescent="0.25">
      <c r="F887" s="85"/>
      <c r="I887" s="85"/>
    </row>
    <row r="888" spans="6:9" x14ac:dyDescent="0.25">
      <c r="F888" s="85"/>
      <c r="I888" s="85"/>
    </row>
    <row r="889" spans="6:9" x14ac:dyDescent="0.25">
      <c r="F889" s="85"/>
      <c r="I889" s="85"/>
    </row>
    <row r="890" spans="6:9" x14ac:dyDescent="0.25">
      <c r="F890" s="85"/>
      <c r="I890" s="85"/>
    </row>
    <row r="891" spans="6:9" x14ac:dyDescent="0.25">
      <c r="F891" s="85"/>
      <c r="I891" s="85"/>
    </row>
    <row r="892" spans="6:9" x14ac:dyDescent="0.25">
      <c r="F892" s="85"/>
      <c r="I892" s="85"/>
    </row>
    <row r="893" spans="6:9" x14ac:dyDescent="0.25">
      <c r="F893" s="85"/>
      <c r="I893" s="85"/>
    </row>
    <row r="894" spans="6:9" x14ac:dyDescent="0.25">
      <c r="F894" s="85"/>
      <c r="I894" s="85"/>
    </row>
    <row r="895" spans="6:9" x14ac:dyDescent="0.25">
      <c r="F895" s="85"/>
      <c r="I895" s="85"/>
    </row>
    <row r="896" spans="6:9" x14ac:dyDescent="0.25">
      <c r="F896" s="85"/>
      <c r="I896" s="85"/>
    </row>
    <row r="897" spans="6:9" x14ac:dyDescent="0.25">
      <c r="F897" s="85"/>
      <c r="I897" s="85"/>
    </row>
    <row r="898" spans="6:9" x14ac:dyDescent="0.25">
      <c r="F898" s="85"/>
      <c r="I898" s="85"/>
    </row>
    <row r="899" spans="6:9" x14ac:dyDescent="0.25">
      <c r="F899" s="85"/>
      <c r="I899" s="85"/>
    </row>
    <row r="900" spans="6:9" x14ac:dyDescent="0.25">
      <c r="F900" s="85"/>
      <c r="I900" s="85"/>
    </row>
    <row r="901" spans="6:9" x14ac:dyDescent="0.25">
      <c r="F901" s="85"/>
      <c r="I901" s="85"/>
    </row>
    <row r="902" spans="6:9" x14ac:dyDescent="0.25">
      <c r="F902" s="85"/>
      <c r="I902" s="85"/>
    </row>
    <row r="903" spans="6:9" x14ac:dyDescent="0.25">
      <c r="F903" s="85"/>
      <c r="I903" s="85"/>
    </row>
    <row r="904" spans="6:9" x14ac:dyDescent="0.25">
      <c r="F904" s="85"/>
      <c r="I904" s="85"/>
    </row>
    <row r="905" spans="6:9" x14ac:dyDescent="0.25">
      <c r="F905" s="85"/>
      <c r="I905" s="85"/>
    </row>
    <row r="906" spans="6:9" x14ac:dyDescent="0.25">
      <c r="F906" s="85"/>
      <c r="I906" s="85"/>
    </row>
    <row r="907" spans="6:9" x14ac:dyDescent="0.25">
      <c r="F907" s="85"/>
      <c r="I907" s="85"/>
    </row>
    <row r="908" spans="6:9" x14ac:dyDescent="0.25">
      <c r="F908" s="85"/>
      <c r="I908" s="85"/>
    </row>
    <row r="909" spans="6:9" x14ac:dyDescent="0.25">
      <c r="F909" s="85"/>
      <c r="I909" s="85"/>
    </row>
    <row r="910" spans="6:9" x14ac:dyDescent="0.25">
      <c r="F910" s="85"/>
      <c r="I910" s="85"/>
    </row>
    <row r="911" spans="6:9" x14ac:dyDescent="0.25">
      <c r="F911" s="85"/>
      <c r="I911" s="85"/>
    </row>
    <row r="912" spans="6:9" x14ac:dyDescent="0.25">
      <c r="F912" s="85"/>
      <c r="I912" s="85"/>
    </row>
    <row r="913" spans="6:9" x14ac:dyDescent="0.25">
      <c r="F913" s="85"/>
      <c r="I913" s="85"/>
    </row>
    <row r="914" spans="6:9" x14ac:dyDescent="0.25">
      <c r="F914" s="85"/>
      <c r="I914" s="85"/>
    </row>
    <row r="915" spans="6:9" x14ac:dyDescent="0.25">
      <c r="F915" s="85"/>
      <c r="I915" s="85"/>
    </row>
    <row r="916" spans="6:9" x14ac:dyDescent="0.25">
      <c r="F916" s="85"/>
      <c r="I916" s="85"/>
    </row>
    <row r="917" spans="6:9" x14ac:dyDescent="0.25">
      <c r="F917" s="85"/>
      <c r="I917" s="85"/>
    </row>
    <row r="918" spans="6:9" x14ac:dyDescent="0.25">
      <c r="F918" s="85"/>
      <c r="I918" s="85"/>
    </row>
    <row r="919" spans="6:9" x14ac:dyDescent="0.25">
      <c r="F919" s="85"/>
      <c r="I919" s="85"/>
    </row>
    <row r="920" spans="6:9" x14ac:dyDescent="0.25">
      <c r="F920" s="85"/>
      <c r="I920" s="85"/>
    </row>
    <row r="921" spans="6:9" x14ac:dyDescent="0.25">
      <c r="F921" s="85"/>
      <c r="I921" s="85"/>
    </row>
    <row r="922" spans="6:9" x14ac:dyDescent="0.25">
      <c r="F922" s="85"/>
      <c r="I922" s="85"/>
    </row>
    <row r="923" spans="6:9" x14ac:dyDescent="0.25">
      <c r="F923" s="85"/>
      <c r="I923" s="85"/>
    </row>
    <row r="924" spans="6:9" x14ac:dyDescent="0.25">
      <c r="F924" s="85"/>
      <c r="I924" s="85"/>
    </row>
    <row r="925" spans="6:9" x14ac:dyDescent="0.25">
      <c r="F925" s="85"/>
      <c r="I925" s="85"/>
    </row>
    <row r="926" spans="6:9" x14ac:dyDescent="0.25">
      <c r="F926" s="85"/>
      <c r="I926" s="85"/>
    </row>
    <row r="927" spans="6:9" x14ac:dyDescent="0.25">
      <c r="F927" s="85"/>
      <c r="I927" s="85"/>
    </row>
    <row r="928" spans="6:9" x14ac:dyDescent="0.25">
      <c r="F928" s="85"/>
      <c r="I928" s="85"/>
    </row>
    <row r="929" spans="6:9" x14ac:dyDescent="0.25">
      <c r="F929" s="85"/>
      <c r="I929" s="85"/>
    </row>
    <row r="930" spans="6:9" x14ac:dyDescent="0.25">
      <c r="F930" s="85"/>
      <c r="I930" s="85"/>
    </row>
    <row r="931" spans="6:9" x14ac:dyDescent="0.25">
      <c r="F931" s="85"/>
      <c r="I931" s="85"/>
    </row>
    <row r="932" spans="6:9" x14ac:dyDescent="0.25">
      <c r="F932" s="85"/>
      <c r="I932" s="85"/>
    </row>
    <row r="933" spans="6:9" x14ac:dyDescent="0.25">
      <c r="F933" s="85"/>
      <c r="I933" s="85"/>
    </row>
    <row r="934" spans="6:9" x14ac:dyDescent="0.25">
      <c r="F934" s="85"/>
      <c r="I934" s="85"/>
    </row>
    <row r="935" spans="6:9" x14ac:dyDescent="0.25">
      <c r="F935" s="85"/>
      <c r="I935" s="85"/>
    </row>
    <row r="936" spans="6:9" x14ac:dyDescent="0.25">
      <c r="F936" s="85"/>
      <c r="I936" s="85"/>
    </row>
    <row r="937" spans="6:9" x14ac:dyDescent="0.25">
      <c r="F937" s="85"/>
      <c r="I937" s="85"/>
    </row>
    <row r="938" spans="6:9" x14ac:dyDescent="0.25">
      <c r="F938" s="85"/>
      <c r="I938" s="85"/>
    </row>
    <row r="939" spans="6:9" x14ac:dyDescent="0.25">
      <c r="F939" s="85"/>
      <c r="I939" s="85"/>
    </row>
    <row r="940" spans="6:9" x14ac:dyDescent="0.25">
      <c r="F940" s="85"/>
      <c r="I940" s="85"/>
    </row>
    <row r="941" spans="6:9" x14ac:dyDescent="0.25">
      <c r="F941" s="85"/>
      <c r="I941" s="85"/>
    </row>
    <row r="942" spans="6:9" x14ac:dyDescent="0.25">
      <c r="F942" s="85"/>
      <c r="I942" s="85"/>
    </row>
    <row r="943" spans="6:9" x14ac:dyDescent="0.25">
      <c r="F943" s="85"/>
      <c r="I943" s="85"/>
    </row>
    <row r="944" spans="6:9" x14ac:dyDescent="0.25">
      <c r="F944" s="85"/>
      <c r="I944" s="85"/>
    </row>
    <row r="945" spans="6:9" x14ac:dyDescent="0.25">
      <c r="F945" s="85"/>
      <c r="I945" s="85"/>
    </row>
    <row r="946" spans="6:9" x14ac:dyDescent="0.25">
      <c r="F946" s="85"/>
      <c r="I946" s="85"/>
    </row>
    <row r="947" spans="6:9" x14ac:dyDescent="0.25">
      <c r="F947" s="85"/>
      <c r="I947" s="85"/>
    </row>
    <row r="948" spans="6:9" x14ac:dyDescent="0.25">
      <c r="F948" s="85"/>
      <c r="I948" s="85"/>
    </row>
    <row r="949" spans="6:9" x14ac:dyDescent="0.25">
      <c r="F949" s="85"/>
      <c r="I949" s="85"/>
    </row>
    <row r="950" spans="6:9" x14ac:dyDescent="0.25">
      <c r="F950" s="85"/>
      <c r="I950" s="85"/>
    </row>
    <row r="951" spans="6:9" x14ac:dyDescent="0.25">
      <c r="F951" s="85"/>
      <c r="I951" s="85"/>
    </row>
    <row r="952" spans="6:9" x14ac:dyDescent="0.25">
      <c r="F952" s="85"/>
      <c r="I952" s="85"/>
    </row>
    <row r="953" spans="6:9" x14ac:dyDescent="0.25">
      <c r="F953" s="85"/>
      <c r="I953" s="85"/>
    </row>
    <row r="954" spans="6:9" x14ac:dyDescent="0.25">
      <c r="F954" s="85"/>
      <c r="I954" s="85"/>
    </row>
    <row r="955" spans="6:9" x14ac:dyDescent="0.25">
      <c r="F955" s="85"/>
      <c r="I955" s="85"/>
    </row>
    <row r="956" spans="6:9" x14ac:dyDescent="0.25">
      <c r="F956" s="85"/>
      <c r="I956" s="85"/>
    </row>
    <row r="957" spans="6:9" x14ac:dyDescent="0.25">
      <c r="F957" s="85"/>
      <c r="I957" s="85"/>
    </row>
    <row r="958" spans="6:9" x14ac:dyDescent="0.25">
      <c r="F958" s="85"/>
      <c r="I958" s="85"/>
    </row>
    <row r="959" spans="6:9" x14ac:dyDescent="0.25">
      <c r="F959" s="85"/>
      <c r="I959" s="85"/>
    </row>
    <row r="960" spans="6:9" x14ac:dyDescent="0.25">
      <c r="F960" s="85"/>
      <c r="I960" s="85"/>
    </row>
    <row r="961" spans="6:9" x14ac:dyDescent="0.25">
      <c r="F961" s="85"/>
      <c r="I961" s="85"/>
    </row>
    <row r="962" spans="6:9" x14ac:dyDescent="0.25">
      <c r="F962" s="85"/>
      <c r="I962" s="85"/>
    </row>
    <row r="963" spans="6:9" x14ac:dyDescent="0.25">
      <c r="F963" s="85"/>
      <c r="I963" s="85"/>
    </row>
    <row r="964" spans="6:9" x14ac:dyDescent="0.25">
      <c r="F964" s="85"/>
      <c r="I964" s="85"/>
    </row>
    <row r="965" spans="6:9" x14ac:dyDescent="0.25">
      <c r="F965" s="85"/>
      <c r="I965" s="85"/>
    </row>
    <row r="966" spans="6:9" x14ac:dyDescent="0.25">
      <c r="F966" s="85"/>
      <c r="I966" s="85"/>
    </row>
    <row r="967" spans="6:9" x14ac:dyDescent="0.25">
      <c r="F967" s="85"/>
      <c r="I967" s="85"/>
    </row>
    <row r="968" spans="6:9" x14ac:dyDescent="0.25">
      <c r="F968" s="85"/>
      <c r="I968" s="85"/>
    </row>
    <row r="969" spans="6:9" x14ac:dyDescent="0.25">
      <c r="F969" s="85"/>
      <c r="I969" s="85"/>
    </row>
    <row r="970" spans="6:9" x14ac:dyDescent="0.25">
      <c r="F970" s="85"/>
      <c r="I970" s="85"/>
    </row>
    <row r="971" spans="6:9" x14ac:dyDescent="0.25">
      <c r="F971" s="85"/>
      <c r="I971" s="85"/>
    </row>
    <row r="972" spans="6:9" x14ac:dyDescent="0.25">
      <c r="F972" s="85"/>
      <c r="I972" s="85"/>
    </row>
    <row r="973" spans="6:9" x14ac:dyDescent="0.25">
      <c r="F973" s="85"/>
      <c r="I973" s="85"/>
    </row>
    <row r="974" spans="6:9" x14ac:dyDescent="0.25">
      <c r="F974" s="85"/>
      <c r="I974" s="85"/>
    </row>
    <row r="975" spans="6:9" x14ac:dyDescent="0.25">
      <c r="F975" s="85"/>
      <c r="I975" s="85"/>
    </row>
    <row r="976" spans="6:9" x14ac:dyDescent="0.25">
      <c r="F976" s="85"/>
      <c r="I976" s="85"/>
    </row>
    <row r="977" spans="6:9" x14ac:dyDescent="0.25">
      <c r="F977" s="85"/>
      <c r="I977" s="85"/>
    </row>
    <row r="978" spans="6:9" x14ac:dyDescent="0.25">
      <c r="F978" s="85"/>
      <c r="I978" s="85"/>
    </row>
    <row r="979" spans="6:9" x14ac:dyDescent="0.25">
      <c r="F979" s="85"/>
      <c r="I979" s="85"/>
    </row>
    <row r="980" spans="6:9" x14ac:dyDescent="0.25">
      <c r="F980" s="85"/>
      <c r="I980" s="85"/>
    </row>
    <row r="981" spans="6:9" x14ac:dyDescent="0.25">
      <c r="F981" s="85"/>
      <c r="I981" s="85"/>
    </row>
    <row r="982" spans="6:9" x14ac:dyDescent="0.25">
      <c r="F982" s="85"/>
      <c r="I982" s="85"/>
    </row>
    <row r="983" spans="6:9" x14ac:dyDescent="0.25">
      <c r="F983" s="85"/>
      <c r="I983" s="85"/>
    </row>
    <row r="984" spans="6:9" x14ac:dyDescent="0.25">
      <c r="F984" s="85"/>
      <c r="I984" s="85"/>
    </row>
    <row r="985" spans="6:9" x14ac:dyDescent="0.25">
      <c r="F985" s="85"/>
      <c r="I985" s="85"/>
    </row>
    <row r="986" spans="6:9" x14ac:dyDescent="0.25">
      <c r="F986" s="85"/>
      <c r="I986" s="85"/>
    </row>
    <row r="987" spans="6:9" x14ac:dyDescent="0.25">
      <c r="F987" s="85"/>
      <c r="I987" s="85"/>
    </row>
    <row r="988" spans="6:9" x14ac:dyDescent="0.25">
      <c r="F988" s="85"/>
      <c r="I988" s="85"/>
    </row>
    <row r="989" spans="6:9" x14ac:dyDescent="0.25">
      <c r="F989" s="85"/>
      <c r="I989" s="85"/>
    </row>
    <row r="990" spans="6:9" x14ac:dyDescent="0.25">
      <c r="F990" s="85"/>
      <c r="I990" s="85"/>
    </row>
    <row r="991" spans="6:9" x14ac:dyDescent="0.25">
      <c r="F991" s="85"/>
      <c r="I991" s="85"/>
    </row>
    <row r="992" spans="6:9" x14ac:dyDescent="0.25">
      <c r="F992" s="85"/>
      <c r="I992" s="85"/>
    </row>
    <row r="993" spans="6:9" x14ac:dyDescent="0.25">
      <c r="F993" s="85"/>
      <c r="I993" s="85"/>
    </row>
    <row r="994" spans="6:9" x14ac:dyDescent="0.25">
      <c r="F994" s="85"/>
      <c r="I994" s="85"/>
    </row>
    <row r="995" spans="6:9" x14ac:dyDescent="0.25">
      <c r="F995" s="85"/>
      <c r="I995" s="85"/>
    </row>
    <row r="996" spans="6:9" x14ac:dyDescent="0.25">
      <c r="F996" s="85"/>
      <c r="I996" s="85"/>
    </row>
    <row r="997" spans="6:9" x14ac:dyDescent="0.25">
      <c r="F997" s="85"/>
      <c r="I997" s="85"/>
    </row>
    <row r="998" spans="6:9" x14ac:dyDescent="0.25">
      <c r="F998" s="85"/>
      <c r="I998" s="85"/>
    </row>
    <row r="999" spans="6:9" x14ac:dyDescent="0.25">
      <c r="F999" s="85"/>
      <c r="I999" s="85"/>
    </row>
    <row r="1000" spans="6:9" x14ac:dyDescent="0.25">
      <c r="F1000" s="85"/>
      <c r="I1000" s="85"/>
    </row>
    <row r="1001" spans="6:9" x14ac:dyDescent="0.25">
      <c r="F1001" s="85"/>
      <c r="I1001" s="85"/>
    </row>
    <row r="1002" spans="6:9" x14ac:dyDescent="0.25">
      <c r="F1002" s="85"/>
      <c r="I1002" s="85"/>
    </row>
    <row r="1003" spans="6:9" x14ac:dyDescent="0.25">
      <c r="F1003" s="85"/>
      <c r="I1003" s="85"/>
    </row>
    <row r="1004" spans="6:9" x14ac:dyDescent="0.25">
      <c r="F1004" s="85"/>
      <c r="I1004" s="85"/>
    </row>
    <row r="1005" spans="6:9" x14ac:dyDescent="0.25">
      <c r="F1005" s="85"/>
      <c r="I1005" s="85"/>
    </row>
    <row r="1006" spans="6:9" x14ac:dyDescent="0.25">
      <c r="F1006" s="85"/>
      <c r="I1006" s="85"/>
    </row>
    <row r="1007" spans="6:9" x14ac:dyDescent="0.25">
      <c r="F1007" s="85"/>
      <c r="I1007" s="85"/>
    </row>
    <row r="1008" spans="6:9" x14ac:dyDescent="0.25">
      <c r="F1008" s="85"/>
      <c r="I1008" s="85"/>
    </row>
    <row r="1009" spans="6:9" x14ac:dyDescent="0.25">
      <c r="F1009" s="85"/>
      <c r="I1009" s="85"/>
    </row>
    <row r="1010" spans="6:9" x14ac:dyDescent="0.25">
      <c r="F1010" s="85"/>
      <c r="I1010" s="85"/>
    </row>
    <row r="1011" spans="6:9" x14ac:dyDescent="0.25">
      <c r="F1011" s="85"/>
      <c r="I1011" s="85"/>
    </row>
    <row r="1012" spans="6:9" x14ac:dyDescent="0.25">
      <c r="F1012" s="85"/>
      <c r="I1012" s="85"/>
    </row>
    <row r="1013" spans="6:9" x14ac:dyDescent="0.25">
      <c r="F1013" s="85"/>
      <c r="I1013" s="85"/>
    </row>
    <row r="1014" spans="6:9" x14ac:dyDescent="0.25">
      <c r="F1014" s="85"/>
      <c r="I1014" s="85"/>
    </row>
    <row r="1015" spans="6:9" x14ac:dyDescent="0.25">
      <c r="F1015" s="85"/>
      <c r="I1015" s="85"/>
    </row>
    <row r="1016" spans="6:9" x14ac:dyDescent="0.25">
      <c r="F1016" s="85"/>
      <c r="I1016" s="85"/>
    </row>
    <row r="1017" spans="6:9" x14ac:dyDescent="0.25">
      <c r="F1017" s="85"/>
      <c r="I1017" s="85"/>
    </row>
    <row r="1018" spans="6:9" x14ac:dyDescent="0.25">
      <c r="F1018" s="85"/>
      <c r="I1018" s="85"/>
    </row>
    <row r="1019" spans="6:9" x14ac:dyDescent="0.25">
      <c r="F1019" s="85"/>
      <c r="I1019" s="85"/>
    </row>
    <row r="1020" spans="6:9" x14ac:dyDescent="0.25">
      <c r="F1020" s="85"/>
      <c r="I1020" s="85"/>
    </row>
    <row r="1021" spans="6:9" x14ac:dyDescent="0.25">
      <c r="F1021" s="85"/>
      <c r="I1021" s="85"/>
    </row>
    <row r="1022" spans="6:9" x14ac:dyDescent="0.25">
      <c r="F1022" s="85"/>
      <c r="I1022" s="85"/>
    </row>
    <row r="1023" spans="6:9" x14ac:dyDescent="0.25">
      <c r="F1023" s="85"/>
      <c r="I1023" s="85"/>
    </row>
    <row r="1024" spans="6:9" x14ac:dyDescent="0.25">
      <c r="F1024" s="85"/>
      <c r="I1024" s="85"/>
    </row>
    <row r="1025" spans="6:9" x14ac:dyDescent="0.25">
      <c r="F1025" s="85"/>
      <c r="I1025" s="85"/>
    </row>
    <row r="1026" spans="6:9" x14ac:dyDescent="0.25">
      <c r="F1026" s="85"/>
      <c r="I1026" s="85"/>
    </row>
    <row r="1027" spans="6:9" x14ac:dyDescent="0.25">
      <c r="F1027" s="85"/>
      <c r="I1027" s="85"/>
    </row>
    <row r="1028" spans="6:9" x14ac:dyDescent="0.25">
      <c r="F1028" s="85"/>
      <c r="I1028" s="85"/>
    </row>
    <row r="1029" spans="6:9" x14ac:dyDescent="0.25">
      <c r="F1029" s="85"/>
      <c r="I1029" s="85"/>
    </row>
    <row r="1030" spans="6:9" x14ac:dyDescent="0.25">
      <c r="F1030" s="85"/>
      <c r="I1030" s="85"/>
    </row>
    <row r="1031" spans="6:9" x14ac:dyDescent="0.25">
      <c r="F1031" s="85"/>
      <c r="I1031" s="85"/>
    </row>
    <row r="1032" spans="6:9" x14ac:dyDescent="0.25">
      <c r="F1032" s="85"/>
      <c r="I1032" s="85"/>
    </row>
    <row r="1033" spans="6:9" x14ac:dyDescent="0.25">
      <c r="F1033" s="85"/>
      <c r="I1033" s="85"/>
    </row>
    <row r="1034" spans="6:9" x14ac:dyDescent="0.25">
      <c r="F1034" s="85"/>
      <c r="I1034" s="85"/>
    </row>
    <row r="1035" spans="6:9" x14ac:dyDescent="0.25">
      <c r="F1035" s="85"/>
      <c r="I1035" s="85"/>
    </row>
    <row r="1036" spans="6:9" x14ac:dyDescent="0.25">
      <c r="F1036" s="85"/>
      <c r="I1036" s="85"/>
    </row>
    <row r="1037" spans="6:9" x14ac:dyDescent="0.25">
      <c r="F1037" s="85"/>
      <c r="I1037" s="85"/>
    </row>
    <row r="1038" spans="6:9" x14ac:dyDescent="0.25">
      <c r="F1038" s="85"/>
      <c r="I1038" s="85"/>
    </row>
    <row r="1039" spans="6:9" x14ac:dyDescent="0.25">
      <c r="F1039" s="85"/>
      <c r="I1039" s="85"/>
    </row>
    <row r="1040" spans="6:9" x14ac:dyDescent="0.25">
      <c r="F1040" s="85"/>
      <c r="I1040" s="85"/>
    </row>
    <row r="1041" spans="6:9" x14ac:dyDescent="0.25">
      <c r="F1041" s="85"/>
      <c r="I1041" s="85"/>
    </row>
    <row r="1042" spans="6:9" x14ac:dyDescent="0.25">
      <c r="F1042" s="85"/>
      <c r="I1042" s="85"/>
    </row>
    <row r="1043" spans="6:9" x14ac:dyDescent="0.25">
      <c r="F1043" s="85"/>
      <c r="I1043" s="85"/>
    </row>
    <row r="1044" spans="6:9" x14ac:dyDescent="0.25">
      <c r="F1044" s="85"/>
      <c r="I1044" s="85"/>
    </row>
    <row r="1045" spans="6:9" x14ac:dyDescent="0.25">
      <c r="F1045" s="85"/>
      <c r="I1045" s="85"/>
    </row>
    <row r="1046" spans="6:9" x14ac:dyDescent="0.25">
      <c r="F1046" s="85"/>
      <c r="I1046" s="85"/>
    </row>
    <row r="1047" spans="6:9" x14ac:dyDescent="0.25">
      <c r="F1047" s="85"/>
      <c r="I1047" s="85"/>
    </row>
    <row r="1048" spans="6:9" x14ac:dyDescent="0.25">
      <c r="F1048" s="85"/>
      <c r="I1048" s="85"/>
    </row>
    <row r="1049" spans="6:9" x14ac:dyDescent="0.25">
      <c r="F1049" s="85"/>
      <c r="I1049" s="85"/>
    </row>
    <row r="1050" spans="6:9" x14ac:dyDescent="0.25">
      <c r="F1050" s="85"/>
      <c r="I1050" s="85"/>
    </row>
    <row r="1051" spans="6:9" x14ac:dyDescent="0.25">
      <c r="F1051" s="85"/>
      <c r="I1051" s="85"/>
    </row>
    <row r="1052" spans="6:9" x14ac:dyDescent="0.25">
      <c r="F1052" s="85"/>
      <c r="I1052" s="85"/>
    </row>
    <row r="1053" spans="6:9" x14ac:dyDescent="0.25">
      <c r="F1053" s="85"/>
      <c r="I1053" s="85"/>
    </row>
    <row r="1054" spans="6:9" x14ac:dyDescent="0.25">
      <c r="F1054" s="85"/>
      <c r="I1054" s="85"/>
    </row>
    <row r="1055" spans="6:9" x14ac:dyDescent="0.25">
      <c r="F1055" s="85"/>
      <c r="I1055" s="85"/>
    </row>
    <row r="1056" spans="6:9" x14ac:dyDescent="0.25">
      <c r="F1056" s="85"/>
      <c r="I1056" s="85"/>
    </row>
    <row r="1057" spans="6:9" x14ac:dyDescent="0.25">
      <c r="F1057" s="85"/>
      <c r="I1057" s="85"/>
    </row>
    <row r="1058" spans="6:9" x14ac:dyDescent="0.25">
      <c r="F1058" s="85"/>
      <c r="I1058" s="85"/>
    </row>
    <row r="1059" spans="6:9" x14ac:dyDescent="0.25">
      <c r="F1059" s="85"/>
      <c r="I1059" s="85"/>
    </row>
    <row r="1060" spans="6:9" x14ac:dyDescent="0.25">
      <c r="F1060" s="85"/>
      <c r="I1060" s="85"/>
    </row>
    <row r="1061" spans="6:9" x14ac:dyDescent="0.25">
      <c r="F1061" s="85"/>
      <c r="I1061" s="85"/>
    </row>
    <row r="1062" spans="6:9" x14ac:dyDescent="0.25">
      <c r="F1062" s="85"/>
      <c r="I1062" s="85"/>
    </row>
    <row r="1063" spans="6:9" x14ac:dyDescent="0.25">
      <c r="F1063" s="85"/>
      <c r="I1063" s="85"/>
    </row>
    <row r="1064" spans="6:9" x14ac:dyDescent="0.25">
      <c r="F1064" s="85"/>
      <c r="I1064" s="85"/>
    </row>
    <row r="1065" spans="6:9" x14ac:dyDescent="0.25">
      <c r="F1065" s="85"/>
      <c r="I1065" s="85"/>
    </row>
    <row r="1066" spans="6:9" x14ac:dyDescent="0.25">
      <c r="F1066" s="85"/>
      <c r="I1066" s="85"/>
    </row>
    <row r="1067" spans="6:9" x14ac:dyDescent="0.25">
      <c r="F1067" s="85"/>
      <c r="I1067" s="85"/>
    </row>
    <row r="1068" spans="6:9" x14ac:dyDescent="0.25">
      <c r="F1068" s="85"/>
      <c r="I1068" s="85"/>
    </row>
    <row r="1069" spans="6:9" x14ac:dyDescent="0.25">
      <c r="F1069" s="85"/>
      <c r="I1069" s="85"/>
    </row>
    <row r="1070" spans="6:9" x14ac:dyDescent="0.25">
      <c r="F1070" s="85"/>
      <c r="I1070" s="85"/>
    </row>
    <row r="1071" spans="6:9" x14ac:dyDescent="0.25">
      <c r="F1071" s="85"/>
      <c r="I1071" s="85"/>
    </row>
    <row r="1072" spans="6:9" x14ac:dyDescent="0.25">
      <c r="F1072" s="85"/>
      <c r="I1072" s="85"/>
    </row>
    <row r="1073" spans="6:9" x14ac:dyDescent="0.25">
      <c r="F1073" s="85"/>
      <c r="I1073" s="85"/>
    </row>
    <row r="1074" spans="6:9" x14ac:dyDescent="0.25">
      <c r="F1074" s="85"/>
      <c r="I1074" s="85"/>
    </row>
    <row r="1075" spans="6:9" x14ac:dyDescent="0.25">
      <c r="F1075" s="85"/>
      <c r="I1075" s="85"/>
    </row>
    <row r="1076" spans="6:9" x14ac:dyDescent="0.25">
      <c r="F1076" s="85"/>
      <c r="I1076" s="85"/>
    </row>
    <row r="1077" spans="6:9" x14ac:dyDescent="0.25">
      <c r="F1077" s="85"/>
      <c r="I1077" s="85"/>
    </row>
    <row r="1078" spans="6:9" x14ac:dyDescent="0.25">
      <c r="F1078" s="85"/>
      <c r="I1078" s="85"/>
    </row>
    <row r="1079" spans="6:9" x14ac:dyDescent="0.25">
      <c r="F1079" s="85"/>
      <c r="I1079" s="85"/>
    </row>
    <row r="1080" spans="6:9" x14ac:dyDescent="0.25">
      <c r="F1080" s="85"/>
      <c r="I1080" s="85"/>
    </row>
    <row r="1081" spans="6:9" x14ac:dyDescent="0.25">
      <c r="F1081" s="85"/>
      <c r="I1081" s="85"/>
    </row>
    <row r="1082" spans="6:9" x14ac:dyDescent="0.25">
      <c r="F1082" s="85"/>
      <c r="I1082" s="85"/>
    </row>
    <row r="1083" spans="6:9" x14ac:dyDescent="0.25">
      <c r="F1083" s="85"/>
      <c r="I1083" s="85"/>
    </row>
    <row r="1084" spans="6:9" x14ac:dyDescent="0.25">
      <c r="F1084" s="85"/>
      <c r="I1084" s="85"/>
    </row>
    <row r="1085" spans="6:9" x14ac:dyDescent="0.25">
      <c r="F1085" s="85"/>
      <c r="I1085" s="85"/>
    </row>
    <row r="1086" spans="6:9" x14ac:dyDescent="0.25">
      <c r="F1086" s="85"/>
      <c r="I1086" s="85"/>
    </row>
    <row r="1087" spans="6:9" x14ac:dyDescent="0.25">
      <c r="F1087" s="85"/>
      <c r="I1087" s="85"/>
    </row>
    <row r="1088" spans="6:9" x14ac:dyDescent="0.25">
      <c r="F1088" s="85"/>
      <c r="I1088" s="85"/>
    </row>
    <row r="1089" spans="6:9" x14ac:dyDescent="0.25">
      <c r="F1089" s="85"/>
      <c r="I1089" s="85"/>
    </row>
    <row r="1090" spans="6:9" x14ac:dyDescent="0.25">
      <c r="F1090" s="85"/>
      <c r="I1090" s="85"/>
    </row>
    <row r="1091" spans="6:9" x14ac:dyDescent="0.25">
      <c r="F1091" s="85"/>
      <c r="I1091" s="85"/>
    </row>
    <row r="1092" spans="6:9" x14ac:dyDescent="0.25">
      <c r="F1092" s="85"/>
      <c r="I1092" s="85"/>
    </row>
    <row r="1093" spans="6:9" x14ac:dyDescent="0.25">
      <c r="F1093" s="85"/>
      <c r="I1093" s="85"/>
    </row>
    <row r="1094" spans="6:9" x14ac:dyDescent="0.25">
      <c r="F1094" s="85"/>
      <c r="I1094" s="85"/>
    </row>
    <row r="1095" spans="6:9" x14ac:dyDescent="0.25">
      <c r="F1095" s="85"/>
      <c r="I1095" s="85"/>
    </row>
    <row r="1096" spans="6:9" x14ac:dyDescent="0.25">
      <c r="F1096" s="85"/>
      <c r="I1096" s="85"/>
    </row>
    <row r="1097" spans="6:9" x14ac:dyDescent="0.25">
      <c r="F1097" s="85"/>
      <c r="I1097" s="85"/>
    </row>
    <row r="1098" spans="6:9" x14ac:dyDescent="0.25">
      <c r="F1098" s="85"/>
      <c r="I1098" s="85"/>
    </row>
    <row r="1099" spans="6:9" x14ac:dyDescent="0.25">
      <c r="F1099" s="85"/>
      <c r="I1099" s="85"/>
    </row>
    <row r="1100" spans="6:9" x14ac:dyDescent="0.25">
      <c r="F1100" s="85"/>
      <c r="I1100" s="85"/>
    </row>
    <row r="1101" spans="6:9" x14ac:dyDescent="0.25">
      <c r="F1101" s="85"/>
      <c r="I1101" s="85"/>
    </row>
    <row r="1102" spans="6:9" x14ac:dyDescent="0.25">
      <c r="F1102" s="85"/>
      <c r="I1102" s="85"/>
    </row>
    <row r="1103" spans="6:9" x14ac:dyDescent="0.25">
      <c r="F1103" s="85"/>
      <c r="I1103" s="85"/>
    </row>
    <row r="1104" spans="6:9" x14ac:dyDescent="0.25">
      <c r="F1104" s="85"/>
      <c r="I1104" s="85"/>
    </row>
    <row r="1105" spans="6:9" x14ac:dyDescent="0.25">
      <c r="F1105" s="85"/>
      <c r="I1105" s="85"/>
    </row>
    <row r="1106" spans="6:9" x14ac:dyDescent="0.25">
      <c r="F1106" s="85"/>
      <c r="I1106" s="85"/>
    </row>
    <row r="1107" spans="6:9" x14ac:dyDescent="0.25">
      <c r="F1107" s="85"/>
      <c r="I1107" s="85"/>
    </row>
    <row r="1108" spans="6:9" x14ac:dyDescent="0.25">
      <c r="F1108" s="85"/>
      <c r="I1108" s="85"/>
    </row>
    <row r="1109" spans="6:9" x14ac:dyDescent="0.25">
      <c r="F1109" s="85"/>
      <c r="I1109" s="85"/>
    </row>
    <row r="1110" spans="6:9" x14ac:dyDescent="0.25">
      <c r="F1110" s="85"/>
      <c r="I1110" s="85"/>
    </row>
    <row r="1111" spans="6:9" x14ac:dyDescent="0.25">
      <c r="F1111" s="85"/>
      <c r="I1111" s="85"/>
    </row>
    <row r="1112" spans="6:9" x14ac:dyDescent="0.25">
      <c r="F1112" s="85"/>
      <c r="I1112" s="85"/>
    </row>
    <row r="1113" spans="6:9" x14ac:dyDescent="0.25">
      <c r="F1113" s="85"/>
      <c r="I1113" s="85"/>
    </row>
    <row r="1114" spans="6:9" x14ac:dyDescent="0.25">
      <c r="F1114" s="85"/>
      <c r="I1114" s="85"/>
    </row>
    <row r="1115" spans="6:9" x14ac:dyDescent="0.25">
      <c r="F1115" s="85"/>
      <c r="I1115" s="85"/>
    </row>
    <row r="1116" spans="6:9" x14ac:dyDescent="0.25">
      <c r="F1116" s="85"/>
      <c r="I1116" s="85"/>
    </row>
    <row r="1117" spans="6:9" x14ac:dyDescent="0.25">
      <c r="F1117" s="85"/>
      <c r="I1117" s="85"/>
    </row>
    <row r="1118" spans="6:9" x14ac:dyDescent="0.25">
      <c r="F1118" s="85"/>
      <c r="I1118" s="85"/>
    </row>
    <row r="1119" spans="6:9" x14ac:dyDescent="0.25">
      <c r="F1119" s="85"/>
      <c r="I1119" s="85"/>
    </row>
    <row r="1120" spans="6:9" x14ac:dyDescent="0.25">
      <c r="F1120" s="85"/>
      <c r="I1120" s="85"/>
    </row>
    <row r="1121" spans="6:9" x14ac:dyDescent="0.25">
      <c r="F1121" s="85"/>
      <c r="I1121" s="85"/>
    </row>
    <row r="1122" spans="6:9" x14ac:dyDescent="0.25">
      <c r="F1122" s="85"/>
      <c r="I1122" s="85"/>
    </row>
    <row r="1123" spans="6:9" x14ac:dyDescent="0.25">
      <c r="F1123" s="85"/>
      <c r="I1123" s="85"/>
    </row>
    <row r="1124" spans="6:9" x14ac:dyDescent="0.25">
      <c r="F1124" s="85"/>
      <c r="I1124" s="85"/>
    </row>
    <row r="1125" spans="6:9" x14ac:dyDescent="0.25">
      <c r="F1125" s="85"/>
      <c r="I1125" s="85"/>
    </row>
    <row r="1126" spans="6:9" x14ac:dyDescent="0.25">
      <c r="F1126" s="85"/>
      <c r="I1126" s="85"/>
    </row>
    <row r="1127" spans="6:9" x14ac:dyDescent="0.25">
      <c r="F1127" s="85"/>
      <c r="I1127" s="85"/>
    </row>
    <row r="1128" spans="6:9" x14ac:dyDescent="0.25">
      <c r="F1128" s="85"/>
      <c r="I1128" s="85"/>
    </row>
    <row r="1129" spans="6:9" x14ac:dyDescent="0.25">
      <c r="F1129" s="85"/>
      <c r="I1129" s="85"/>
    </row>
    <row r="1130" spans="6:9" x14ac:dyDescent="0.25">
      <c r="F1130" s="85"/>
      <c r="I1130" s="85"/>
    </row>
    <row r="1131" spans="6:9" x14ac:dyDescent="0.25">
      <c r="F1131" s="85"/>
      <c r="I1131" s="85"/>
    </row>
    <row r="1132" spans="6:9" x14ac:dyDescent="0.25">
      <c r="F1132" s="85"/>
      <c r="I1132" s="85"/>
    </row>
    <row r="1133" spans="6:9" x14ac:dyDescent="0.25">
      <c r="F1133" s="85"/>
      <c r="I1133" s="85"/>
    </row>
    <row r="1134" spans="6:9" x14ac:dyDescent="0.25">
      <c r="F1134" s="85"/>
      <c r="I1134" s="85"/>
    </row>
    <row r="1135" spans="6:9" x14ac:dyDescent="0.25">
      <c r="F1135" s="85"/>
      <c r="I1135" s="85"/>
    </row>
    <row r="1136" spans="6:9" x14ac:dyDescent="0.25">
      <c r="F1136" s="85"/>
      <c r="I1136" s="85"/>
    </row>
    <row r="1137" spans="6:9" x14ac:dyDescent="0.25">
      <c r="F1137" s="85"/>
      <c r="I1137" s="85"/>
    </row>
    <row r="1138" spans="6:9" x14ac:dyDescent="0.25">
      <c r="F1138" s="85"/>
      <c r="I1138" s="85"/>
    </row>
    <row r="1139" spans="6:9" x14ac:dyDescent="0.25">
      <c r="F1139" s="85"/>
      <c r="I1139" s="85"/>
    </row>
    <row r="1140" spans="6:9" x14ac:dyDescent="0.25">
      <c r="F1140" s="85"/>
      <c r="I1140" s="85"/>
    </row>
    <row r="1141" spans="6:9" x14ac:dyDescent="0.25">
      <c r="F1141" s="85"/>
      <c r="I1141" s="85"/>
    </row>
    <row r="1142" spans="6:9" x14ac:dyDescent="0.25">
      <c r="F1142" s="85"/>
      <c r="I1142" s="85"/>
    </row>
    <row r="1143" spans="6:9" x14ac:dyDescent="0.25">
      <c r="F1143" s="85"/>
      <c r="I1143" s="85"/>
    </row>
    <row r="1144" spans="6:9" x14ac:dyDescent="0.25">
      <c r="F1144" s="85"/>
      <c r="I1144" s="85"/>
    </row>
    <row r="1145" spans="6:9" x14ac:dyDescent="0.25">
      <c r="F1145" s="85"/>
      <c r="I1145" s="85"/>
    </row>
    <row r="1146" spans="6:9" x14ac:dyDescent="0.25">
      <c r="F1146" s="85"/>
      <c r="I1146" s="85"/>
    </row>
    <row r="1147" spans="6:9" x14ac:dyDescent="0.25">
      <c r="F1147" s="85"/>
      <c r="I1147" s="85"/>
    </row>
    <row r="1148" spans="6:9" x14ac:dyDescent="0.25">
      <c r="F1148" s="85"/>
      <c r="I1148" s="85"/>
    </row>
    <row r="1149" spans="6:9" x14ac:dyDescent="0.25">
      <c r="F1149" s="85"/>
      <c r="I1149" s="85"/>
    </row>
    <row r="1150" spans="6:9" x14ac:dyDescent="0.25">
      <c r="F1150" s="85"/>
      <c r="I1150" s="85"/>
    </row>
    <row r="1151" spans="6:9" x14ac:dyDescent="0.25">
      <c r="F1151" s="85"/>
      <c r="I1151" s="85"/>
    </row>
    <row r="1152" spans="6:9" x14ac:dyDescent="0.25">
      <c r="F1152" s="85"/>
      <c r="I1152" s="85"/>
    </row>
    <row r="1153" spans="6:9" x14ac:dyDescent="0.25">
      <c r="F1153" s="85"/>
      <c r="I1153" s="85"/>
    </row>
    <row r="1154" spans="6:9" x14ac:dyDescent="0.25">
      <c r="F1154" s="85"/>
      <c r="I1154" s="85"/>
    </row>
    <row r="1155" spans="6:9" x14ac:dyDescent="0.25">
      <c r="F1155" s="85"/>
      <c r="I1155" s="85"/>
    </row>
    <row r="1156" spans="6:9" x14ac:dyDescent="0.25">
      <c r="F1156" s="85"/>
      <c r="I1156" s="85"/>
    </row>
    <row r="1157" spans="6:9" x14ac:dyDescent="0.25">
      <c r="F1157" s="85"/>
      <c r="I1157" s="85"/>
    </row>
    <row r="1158" spans="6:9" x14ac:dyDescent="0.25">
      <c r="F1158" s="85"/>
      <c r="I1158" s="85"/>
    </row>
    <row r="1159" spans="6:9" x14ac:dyDescent="0.25">
      <c r="F1159" s="85"/>
      <c r="I1159" s="85"/>
    </row>
    <row r="1160" spans="6:9" x14ac:dyDescent="0.25">
      <c r="F1160" s="85"/>
      <c r="I1160" s="85"/>
    </row>
    <row r="1161" spans="6:9" x14ac:dyDescent="0.25">
      <c r="F1161" s="85"/>
      <c r="I1161" s="85"/>
    </row>
    <row r="1162" spans="6:9" x14ac:dyDescent="0.25">
      <c r="F1162" s="85"/>
      <c r="I1162" s="85"/>
    </row>
    <row r="1163" spans="6:9" x14ac:dyDescent="0.25">
      <c r="F1163" s="85"/>
      <c r="I1163" s="85"/>
    </row>
    <row r="1164" spans="6:9" x14ac:dyDescent="0.25">
      <c r="F1164" s="85"/>
      <c r="I1164" s="85"/>
    </row>
    <row r="1165" spans="6:9" x14ac:dyDescent="0.25">
      <c r="F1165" s="85"/>
      <c r="I1165" s="85"/>
    </row>
    <row r="1166" spans="6:9" x14ac:dyDescent="0.25">
      <c r="F1166" s="85"/>
      <c r="I1166" s="85"/>
    </row>
    <row r="1167" spans="6:9" x14ac:dyDescent="0.25">
      <c r="F1167" s="85"/>
      <c r="I1167" s="85"/>
    </row>
    <row r="1168" spans="6:9" x14ac:dyDescent="0.25">
      <c r="F1168" s="85"/>
      <c r="I1168" s="85"/>
    </row>
    <row r="1169" spans="6:9" x14ac:dyDescent="0.25">
      <c r="F1169" s="85"/>
      <c r="I1169" s="85"/>
    </row>
    <row r="1170" spans="6:9" x14ac:dyDescent="0.25">
      <c r="F1170" s="85"/>
      <c r="I1170" s="85"/>
    </row>
    <row r="1171" spans="6:9" x14ac:dyDescent="0.25">
      <c r="F1171" s="85"/>
      <c r="I1171" s="85"/>
    </row>
    <row r="1172" spans="6:9" x14ac:dyDescent="0.25">
      <c r="F1172" s="85"/>
      <c r="I1172" s="85"/>
    </row>
    <row r="1173" spans="6:9" x14ac:dyDescent="0.25">
      <c r="F1173" s="85"/>
      <c r="I1173" s="85"/>
    </row>
    <row r="1174" spans="6:9" x14ac:dyDescent="0.25">
      <c r="F1174" s="85"/>
      <c r="I1174" s="85"/>
    </row>
    <row r="1175" spans="6:9" x14ac:dyDescent="0.25">
      <c r="F1175" s="85"/>
      <c r="I1175" s="85"/>
    </row>
    <row r="1176" spans="6:9" x14ac:dyDescent="0.25">
      <c r="F1176" s="85"/>
      <c r="I1176" s="85"/>
    </row>
    <row r="1177" spans="6:9" x14ac:dyDescent="0.25">
      <c r="F1177" s="85"/>
      <c r="I1177" s="85"/>
    </row>
    <row r="1178" spans="6:9" x14ac:dyDescent="0.25">
      <c r="F1178" s="85"/>
      <c r="I1178" s="85"/>
    </row>
    <row r="1179" spans="6:9" x14ac:dyDescent="0.25">
      <c r="F1179" s="85"/>
      <c r="I1179" s="85"/>
    </row>
    <row r="1180" spans="6:9" x14ac:dyDescent="0.25">
      <c r="F1180" s="85"/>
      <c r="I1180" s="85"/>
    </row>
    <row r="1181" spans="6:9" x14ac:dyDescent="0.25">
      <c r="F1181" s="85"/>
      <c r="I1181" s="85"/>
    </row>
    <row r="1182" spans="6:9" x14ac:dyDescent="0.25">
      <c r="F1182" s="85"/>
      <c r="I1182" s="85"/>
    </row>
    <row r="1183" spans="6:9" x14ac:dyDescent="0.25">
      <c r="F1183" s="85"/>
      <c r="I1183" s="85"/>
    </row>
    <row r="1184" spans="6:9" x14ac:dyDescent="0.25">
      <c r="F1184" s="85"/>
      <c r="I1184" s="85"/>
    </row>
    <row r="1185" spans="6:9" x14ac:dyDescent="0.25">
      <c r="F1185" s="85"/>
      <c r="I1185" s="85"/>
    </row>
    <row r="1186" spans="6:9" x14ac:dyDescent="0.25">
      <c r="F1186" s="85"/>
      <c r="I1186" s="85"/>
    </row>
    <row r="1187" spans="6:9" x14ac:dyDescent="0.25">
      <c r="F1187" s="85"/>
      <c r="I1187" s="85"/>
    </row>
    <row r="1188" spans="6:9" x14ac:dyDescent="0.25">
      <c r="F1188" s="85"/>
      <c r="I1188" s="85"/>
    </row>
    <row r="1189" spans="6:9" x14ac:dyDescent="0.25">
      <c r="F1189" s="85"/>
      <c r="I1189" s="85"/>
    </row>
    <row r="1190" spans="6:9" x14ac:dyDescent="0.25">
      <c r="F1190" s="85"/>
      <c r="I1190" s="85"/>
    </row>
    <row r="1191" spans="6:9" x14ac:dyDescent="0.25">
      <c r="F1191" s="85"/>
      <c r="I1191" s="85"/>
    </row>
    <row r="1192" spans="6:9" x14ac:dyDescent="0.25">
      <c r="F1192" s="85"/>
      <c r="I1192" s="85"/>
    </row>
    <row r="1193" spans="6:9" x14ac:dyDescent="0.25">
      <c r="F1193" s="85"/>
      <c r="I1193" s="85"/>
    </row>
    <row r="1194" spans="6:9" x14ac:dyDescent="0.25">
      <c r="F1194" s="85"/>
      <c r="I1194" s="85"/>
    </row>
    <row r="1195" spans="6:9" x14ac:dyDescent="0.25">
      <c r="F1195" s="85"/>
      <c r="I1195" s="85"/>
    </row>
    <row r="1196" spans="6:9" x14ac:dyDescent="0.25">
      <c r="F1196" s="85"/>
      <c r="I1196" s="85"/>
    </row>
    <row r="1197" spans="6:9" x14ac:dyDescent="0.25">
      <c r="F1197" s="85"/>
      <c r="I1197" s="85"/>
    </row>
    <row r="1198" spans="6:9" x14ac:dyDescent="0.25">
      <c r="F1198" s="85"/>
      <c r="I1198" s="85"/>
    </row>
    <row r="1199" spans="6:9" x14ac:dyDescent="0.25">
      <c r="F1199" s="85"/>
      <c r="I1199" s="85"/>
    </row>
    <row r="1200" spans="6:9" x14ac:dyDescent="0.25">
      <c r="F1200" s="85"/>
      <c r="I1200" s="85"/>
    </row>
    <row r="1201" spans="6:9" x14ac:dyDescent="0.25">
      <c r="F1201" s="85"/>
      <c r="I1201" s="85"/>
    </row>
    <row r="1202" spans="6:9" x14ac:dyDescent="0.25">
      <c r="F1202" s="85"/>
      <c r="I1202" s="85"/>
    </row>
    <row r="1203" spans="6:9" x14ac:dyDescent="0.25">
      <c r="F1203" s="85"/>
      <c r="I1203" s="85"/>
    </row>
    <row r="1204" spans="6:9" x14ac:dyDescent="0.25">
      <c r="F1204" s="85"/>
      <c r="I1204" s="85"/>
    </row>
    <row r="1205" spans="6:9" x14ac:dyDescent="0.25">
      <c r="F1205" s="85"/>
      <c r="I1205" s="85"/>
    </row>
    <row r="1206" spans="6:9" x14ac:dyDescent="0.25">
      <c r="F1206" s="85"/>
      <c r="I1206" s="85"/>
    </row>
    <row r="1207" spans="6:9" x14ac:dyDescent="0.25">
      <c r="F1207" s="85"/>
      <c r="I1207" s="85"/>
    </row>
    <row r="1208" spans="6:9" x14ac:dyDescent="0.25">
      <c r="F1208" s="85"/>
      <c r="I1208" s="85"/>
    </row>
    <row r="1209" spans="6:9" x14ac:dyDescent="0.25">
      <c r="F1209" s="85"/>
      <c r="I1209" s="85"/>
    </row>
    <row r="1210" spans="6:9" x14ac:dyDescent="0.25">
      <c r="F1210" s="85"/>
      <c r="I1210" s="85"/>
    </row>
    <row r="1211" spans="6:9" x14ac:dyDescent="0.25">
      <c r="F1211" s="85"/>
      <c r="I1211" s="85"/>
    </row>
    <row r="1212" spans="6:9" x14ac:dyDescent="0.25">
      <c r="F1212" s="85"/>
      <c r="I1212" s="85"/>
    </row>
    <row r="1213" spans="6:9" x14ac:dyDescent="0.25">
      <c r="F1213" s="85"/>
      <c r="I1213" s="85"/>
    </row>
    <row r="1214" spans="6:9" x14ac:dyDescent="0.25">
      <c r="F1214" s="85"/>
      <c r="I1214" s="85"/>
    </row>
    <row r="1215" spans="6:9" x14ac:dyDescent="0.25">
      <c r="F1215" s="85"/>
      <c r="I1215" s="85"/>
    </row>
    <row r="1216" spans="6:9" x14ac:dyDescent="0.25">
      <c r="F1216" s="85"/>
      <c r="I1216" s="85"/>
    </row>
    <row r="1217" spans="6:9" x14ac:dyDescent="0.25">
      <c r="F1217" s="85"/>
      <c r="I1217" s="85"/>
    </row>
    <row r="1218" spans="6:9" x14ac:dyDescent="0.25">
      <c r="F1218" s="85"/>
      <c r="I1218" s="85"/>
    </row>
    <row r="1219" spans="6:9" x14ac:dyDescent="0.25">
      <c r="F1219" s="85"/>
      <c r="I1219" s="85"/>
    </row>
    <row r="1220" spans="6:9" x14ac:dyDescent="0.25">
      <c r="F1220" s="85"/>
      <c r="I1220" s="85"/>
    </row>
    <row r="1221" spans="6:9" x14ac:dyDescent="0.25">
      <c r="F1221" s="85"/>
      <c r="I1221" s="85"/>
    </row>
    <row r="1222" spans="6:9" x14ac:dyDescent="0.25">
      <c r="F1222" s="85"/>
      <c r="I1222" s="85"/>
    </row>
    <row r="1223" spans="6:9" x14ac:dyDescent="0.25">
      <c r="F1223" s="85"/>
      <c r="I1223" s="85"/>
    </row>
    <row r="1224" spans="6:9" x14ac:dyDescent="0.25">
      <c r="F1224" s="85"/>
      <c r="I1224" s="85"/>
    </row>
    <row r="1225" spans="6:9" x14ac:dyDescent="0.25">
      <c r="F1225" s="85"/>
      <c r="I1225" s="85"/>
    </row>
    <row r="1226" spans="6:9" x14ac:dyDescent="0.25">
      <c r="F1226" s="85"/>
      <c r="I1226" s="85"/>
    </row>
    <row r="1227" spans="6:9" x14ac:dyDescent="0.25">
      <c r="F1227" s="85"/>
      <c r="I1227" s="85"/>
    </row>
    <row r="1228" spans="6:9" x14ac:dyDescent="0.25">
      <c r="F1228" s="85"/>
      <c r="I1228" s="85"/>
    </row>
    <row r="1229" spans="6:9" x14ac:dyDescent="0.25">
      <c r="F1229" s="85"/>
      <c r="I1229" s="85"/>
    </row>
    <row r="1230" spans="6:9" x14ac:dyDescent="0.25">
      <c r="F1230" s="85"/>
      <c r="I1230" s="85"/>
    </row>
    <row r="1231" spans="6:9" x14ac:dyDescent="0.25">
      <c r="F1231" s="85"/>
      <c r="I1231" s="85"/>
    </row>
    <row r="1232" spans="6:9" x14ac:dyDescent="0.25">
      <c r="F1232" s="85"/>
      <c r="I1232" s="85"/>
    </row>
    <row r="1233" spans="6:9" x14ac:dyDescent="0.25">
      <c r="F1233" s="85"/>
      <c r="I1233" s="85"/>
    </row>
    <row r="1234" spans="6:9" x14ac:dyDescent="0.25">
      <c r="F1234" s="85"/>
      <c r="I1234" s="85"/>
    </row>
    <row r="1235" spans="6:9" x14ac:dyDescent="0.25">
      <c r="F1235" s="85"/>
      <c r="I1235" s="85"/>
    </row>
    <row r="1236" spans="6:9" x14ac:dyDescent="0.25">
      <c r="F1236" s="85"/>
      <c r="I1236" s="85"/>
    </row>
    <row r="1237" spans="6:9" x14ac:dyDescent="0.25">
      <c r="F1237" s="85"/>
      <c r="I1237" s="85"/>
    </row>
    <row r="1238" spans="6:9" x14ac:dyDescent="0.25">
      <c r="F1238" s="85"/>
      <c r="I1238" s="85"/>
    </row>
    <row r="1239" spans="6:9" x14ac:dyDescent="0.25">
      <c r="F1239" s="85"/>
      <c r="I1239" s="85"/>
    </row>
    <row r="1240" spans="6:9" x14ac:dyDescent="0.25">
      <c r="F1240" s="85"/>
      <c r="I1240" s="85"/>
    </row>
    <row r="1241" spans="6:9" x14ac:dyDescent="0.25">
      <c r="F1241" s="85"/>
      <c r="I1241" s="85"/>
    </row>
    <row r="1242" spans="6:9" x14ac:dyDescent="0.25">
      <c r="F1242" s="85"/>
      <c r="I1242" s="85"/>
    </row>
    <row r="1243" spans="6:9" x14ac:dyDescent="0.25">
      <c r="F1243" s="85"/>
      <c r="I1243" s="85"/>
    </row>
    <row r="1244" spans="6:9" x14ac:dyDescent="0.25">
      <c r="F1244" s="85"/>
      <c r="I1244" s="85"/>
    </row>
    <row r="1245" spans="6:9" x14ac:dyDescent="0.25">
      <c r="F1245" s="85"/>
      <c r="I1245" s="85"/>
    </row>
    <row r="1246" spans="6:9" x14ac:dyDescent="0.25">
      <c r="F1246" s="85"/>
      <c r="I1246" s="85"/>
    </row>
    <row r="1247" spans="6:9" x14ac:dyDescent="0.25">
      <c r="F1247" s="85"/>
      <c r="I1247" s="85"/>
    </row>
    <row r="1248" spans="6:9" x14ac:dyDescent="0.25">
      <c r="F1248" s="85"/>
      <c r="I1248" s="85"/>
    </row>
    <row r="1249" spans="6:9" x14ac:dyDescent="0.25">
      <c r="F1249" s="85"/>
      <c r="I1249" s="85"/>
    </row>
    <row r="1250" spans="6:9" x14ac:dyDescent="0.25">
      <c r="F1250" s="85"/>
      <c r="I1250" s="85"/>
    </row>
    <row r="1251" spans="6:9" x14ac:dyDescent="0.25">
      <c r="F1251" s="85"/>
      <c r="I1251" s="85"/>
    </row>
    <row r="1252" spans="6:9" x14ac:dyDescent="0.25">
      <c r="F1252" s="85"/>
      <c r="I1252" s="85"/>
    </row>
    <row r="1253" spans="6:9" x14ac:dyDescent="0.25">
      <c r="F1253" s="85"/>
      <c r="I1253" s="85"/>
    </row>
    <row r="1254" spans="6:9" x14ac:dyDescent="0.25">
      <c r="F1254" s="85"/>
      <c r="I1254" s="85"/>
    </row>
    <row r="1255" spans="6:9" x14ac:dyDescent="0.25">
      <c r="F1255" s="85"/>
      <c r="I1255" s="85"/>
    </row>
    <row r="1256" spans="6:9" x14ac:dyDescent="0.25">
      <c r="F1256" s="85"/>
      <c r="I1256" s="85"/>
    </row>
    <row r="1257" spans="6:9" x14ac:dyDescent="0.25">
      <c r="F1257" s="85"/>
      <c r="I1257" s="85"/>
    </row>
    <row r="1258" spans="6:9" x14ac:dyDescent="0.25">
      <c r="F1258" s="85"/>
      <c r="I1258" s="85"/>
    </row>
    <row r="1259" spans="6:9" x14ac:dyDescent="0.25">
      <c r="F1259" s="85"/>
      <c r="I1259" s="85"/>
    </row>
    <row r="1260" spans="6:9" x14ac:dyDescent="0.25">
      <c r="F1260" s="85"/>
      <c r="I1260" s="85"/>
    </row>
    <row r="1261" spans="6:9" x14ac:dyDescent="0.25">
      <c r="F1261" s="85"/>
      <c r="I1261" s="85"/>
    </row>
    <row r="1262" spans="6:9" x14ac:dyDescent="0.25">
      <c r="F1262" s="85"/>
      <c r="I1262" s="85"/>
    </row>
    <row r="1263" spans="6:9" x14ac:dyDescent="0.25">
      <c r="F1263" s="85"/>
      <c r="I1263" s="85"/>
    </row>
    <row r="1264" spans="6:9" x14ac:dyDescent="0.25">
      <c r="F1264" s="85"/>
      <c r="I1264" s="85"/>
    </row>
    <row r="1265" spans="6:9" x14ac:dyDescent="0.25">
      <c r="F1265" s="85"/>
      <c r="I1265" s="85"/>
    </row>
    <row r="1266" spans="6:9" x14ac:dyDescent="0.25">
      <c r="F1266" s="85"/>
      <c r="I1266" s="85"/>
    </row>
    <row r="1267" spans="6:9" x14ac:dyDescent="0.25">
      <c r="F1267" s="85"/>
      <c r="I1267" s="85"/>
    </row>
    <row r="1268" spans="6:9" x14ac:dyDescent="0.25">
      <c r="F1268" s="85"/>
      <c r="I1268" s="85"/>
    </row>
    <row r="1269" spans="6:9" x14ac:dyDescent="0.25">
      <c r="F1269" s="85"/>
      <c r="I1269" s="85"/>
    </row>
    <row r="1270" spans="6:9" x14ac:dyDescent="0.25">
      <c r="F1270" s="85"/>
      <c r="I1270" s="85"/>
    </row>
    <row r="1271" spans="6:9" x14ac:dyDescent="0.25">
      <c r="F1271" s="85"/>
      <c r="I1271" s="85"/>
    </row>
    <row r="1272" spans="6:9" x14ac:dyDescent="0.25">
      <c r="F1272" s="85"/>
      <c r="I1272" s="85"/>
    </row>
    <row r="1273" spans="6:9" x14ac:dyDescent="0.25">
      <c r="F1273" s="85"/>
      <c r="I1273" s="85"/>
    </row>
    <row r="1274" spans="6:9" x14ac:dyDescent="0.25">
      <c r="F1274" s="85"/>
      <c r="I1274" s="85"/>
    </row>
    <row r="1275" spans="6:9" x14ac:dyDescent="0.25">
      <c r="F1275" s="85"/>
      <c r="I1275" s="85"/>
    </row>
    <row r="1276" spans="6:9" x14ac:dyDescent="0.25">
      <c r="F1276" s="85"/>
      <c r="I1276" s="85"/>
    </row>
    <row r="1277" spans="6:9" x14ac:dyDescent="0.25">
      <c r="F1277" s="85"/>
      <c r="I1277" s="85"/>
    </row>
    <row r="1278" spans="6:9" x14ac:dyDescent="0.25">
      <c r="F1278" s="85"/>
      <c r="I1278" s="85"/>
    </row>
    <row r="1279" spans="6:9" x14ac:dyDescent="0.25">
      <c r="F1279" s="85"/>
      <c r="I1279" s="85"/>
    </row>
    <row r="1280" spans="6:9" x14ac:dyDescent="0.25">
      <c r="F1280" s="85"/>
      <c r="I1280" s="85"/>
    </row>
    <row r="1281" spans="6:9" x14ac:dyDescent="0.25">
      <c r="F1281" s="85"/>
      <c r="I1281" s="85"/>
    </row>
    <row r="1282" spans="6:9" x14ac:dyDescent="0.25">
      <c r="F1282" s="85"/>
      <c r="I1282" s="85"/>
    </row>
    <row r="1283" spans="6:9" x14ac:dyDescent="0.25">
      <c r="F1283" s="85"/>
      <c r="I1283" s="85"/>
    </row>
    <row r="1284" spans="6:9" x14ac:dyDescent="0.25">
      <c r="F1284" s="85"/>
      <c r="I1284" s="85"/>
    </row>
    <row r="1285" spans="6:9" x14ac:dyDescent="0.25">
      <c r="F1285" s="85"/>
      <c r="I1285" s="85"/>
    </row>
    <row r="1286" spans="6:9" x14ac:dyDescent="0.25">
      <c r="F1286" s="85"/>
      <c r="I1286" s="85"/>
    </row>
    <row r="1287" spans="6:9" x14ac:dyDescent="0.25">
      <c r="F1287" s="85"/>
      <c r="I1287" s="85"/>
    </row>
    <row r="1288" spans="6:9" x14ac:dyDescent="0.25">
      <c r="F1288" s="85"/>
      <c r="I1288" s="85"/>
    </row>
    <row r="1289" spans="6:9" x14ac:dyDescent="0.25">
      <c r="F1289" s="85"/>
      <c r="I1289" s="85"/>
    </row>
    <row r="1290" spans="6:9" x14ac:dyDescent="0.25">
      <c r="F1290" s="85"/>
      <c r="I1290" s="85"/>
    </row>
    <row r="1291" spans="6:9" x14ac:dyDescent="0.25">
      <c r="F1291" s="85"/>
      <c r="I1291" s="85"/>
    </row>
    <row r="1292" spans="6:9" x14ac:dyDescent="0.25">
      <c r="F1292" s="85"/>
      <c r="I1292" s="85"/>
    </row>
    <row r="1293" spans="6:9" x14ac:dyDescent="0.25">
      <c r="F1293" s="85"/>
      <c r="I1293" s="85"/>
    </row>
    <row r="1294" spans="6:9" x14ac:dyDescent="0.25">
      <c r="F1294" s="85"/>
      <c r="I1294" s="85"/>
    </row>
    <row r="1295" spans="6:9" x14ac:dyDescent="0.25">
      <c r="F1295" s="85"/>
      <c r="I1295" s="85"/>
    </row>
    <row r="1296" spans="6:9" x14ac:dyDescent="0.25">
      <c r="F1296" s="85"/>
      <c r="I1296" s="85"/>
    </row>
    <row r="1297" spans="6:9" x14ac:dyDescent="0.25">
      <c r="F1297" s="85"/>
      <c r="I1297" s="85"/>
    </row>
    <row r="1298" spans="6:9" x14ac:dyDescent="0.25">
      <c r="F1298" s="85"/>
      <c r="I1298" s="85"/>
    </row>
    <row r="1299" spans="6:9" x14ac:dyDescent="0.25">
      <c r="F1299" s="85"/>
      <c r="I1299" s="85"/>
    </row>
    <row r="1300" spans="6:9" x14ac:dyDescent="0.25">
      <c r="F1300" s="85"/>
      <c r="I1300" s="85"/>
    </row>
    <row r="1301" spans="6:9" x14ac:dyDescent="0.25">
      <c r="F1301" s="85"/>
      <c r="I1301" s="85"/>
    </row>
    <row r="1302" spans="6:9" x14ac:dyDescent="0.25">
      <c r="F1302" s="85"/>
      <c r="I1302" s="85"/>
    </row>
    <row r="1303" spans="6:9" x14ac:dyDescent="0.25">
      <c r="F1303" s="85"/>
      <c r="I1303" s="85"/>
    </row>
    <row r="1304" spans="6:9" x14ac:dyDescent="0.25">
      <c r="F1304" s="85"/>
      <c r="I1304" s="85"/>
    </row>
    <row r="1305" spans="6:9" x14ac:dyDescent="0.25">
      <c r="F1305" s="85"/>
      <c r="I1305" s="85"/>
    </row>
    <row r="1306" spans="6:9" x14ac:dyDescent="0.25">
      <c r="F1306" s="85"/>
      <c r="I1306" s="85"/>
    </row>
    <row r="1307" spans="6:9" x14ac:dyDescent="0.25">
      <c r="F1307" s="85"/>
      <c r="I1307" s="85"/>
    </row>
    <row r="1308" spans="6:9" x14ac:dyDescent="0.25">
      <c r="F1308" s="85"/>
      <c r="I1308" s="85"/>
    </row>
    <row r="1309" spans="6:9" x14ac:dyDescent="0.25">
      <c r="F1309" s="85"/>
      <c r="I1309" s="85"/>
    </row>
    <row r="1310" spans="6:9" x14ac:dyDescent="0.25">
      <c r="F1310" s="85"/>
      <c r="I1310" s="85"/>
    </row>
    <row r="1311" spans="6:9" x14ac:dyDescent="0.25">
      <c r="F1311" s="85"/>
      <c r="I1311" s="85"/>
    </row>
    <row r="1312" spans="6:9" x14ac:dyDescent="0.25">
      <c r="F1312" s="85"/>
      <c r="I1312" s="85"/>
    </row>
    <row r="1313" spans="6:9" x14ac:dyDescent="0.25">
      <c r="F1313" s="85"/>
      <c r="I1313" s="85"/>
    </row>
    <row r="1314" spans="6:9" x14ac:dyDescent="0.25">
      <c r="F1314" s="85"/>
      <c r="I1314" s="85"/>
    </row>
    <row r="1315" spans="6:9" x14ac:dyDescent="0.25">
      <c r="F1315" s="85"/>
      <c r="I1315" s="85"/>
    </row>
    <row r="1316" spans="6:9" x14ac:dyDescent="0.25">
      <c r="F1316" s="85"/>
      <c r="I1316" s="85"/>
    </row>
    <row r="1317" spans="6:9" x14ac:dyDescent="0.25">
      <c r="F1317" s="85"/>
      <c r="I1317" s="85"/>
    </row>
    <row r="1318" spans="6:9" x14ac:dyDescent="0.25">
      <c r="F1318" s="85"/>
      <c r="I1318" s="85"/>
    </row>
    <row r="1319" spans="6:9" x14ac:dyDescent="0.25">
      <c r="F1319" s="85"/>
      <c r="I1319" s="85"/>
    </row>
    <row r="1320" spans="6:9" x14ac:dyDescent="0.25">
      <c r="F1320" s="85"/>
      <c r="I1320" s="85"/>
    </row>
    <row r="1321" spans="6:9" x14ac:dyDescent="0.25">
      <c r="F1321" s="85"/>
      <c r="I1321" s="85"/>
    </row>
    <row r="1322" spans="6:9" x14ac:dyDescent="0.25">
      <c r="F1322" s="85"/>
      <c r="I1322" s="85"/>
    </row>
    <row r="1323" spans="6:9" x14ac:dyDescent="0.25">
      <c r="F1323" s="85"/>
      <c r="I1323" s="85"/>
    </row>
    <row r="1324" spans="6:9" x14ac:dyDescent="0.25">
      <c r="F1324" s="85"/>
      <c r="I1324" s="85"/>
    </row>
    <row r="1325" spans="6:9" x14ac:dyDescent="0.25">
      <c r="F1325" s="85"/>
      <c r="I1325" s="85"/>
    </row>
    <row r="1326" spans="6:9" x14ac:dyDescent="0.25">
      <c r="F1326" s="85"/>
      <c r="I1326" s="85"/>
    </row>
    <row r="1327" spans="6:9" x14ac:dyDescent="0.25">
      <c r="F1327" s="85"/>
      <c r="I1327" s="85"/>
    </row>
    <row r="1328" spans="6:9" x14ac:dyDescent="0.25">
      <c r="F1328" s="85"/>
      <c r="I1328" s="85"/>
    </row>
    <row r="1329" spans="6:9" x14ac:dyDescent="0.25">
      <c r="F1329" s="85"/>
      <c r="I1329" s="85"/>
    </row>
    <row r="1330" spans="6:9" x14ac:dyDescent="0.25">
      <c r="F1330" s="85"/>
      <c r="I1330" s="85"/>
    </row>
    <row r="1331" spans="6:9" x14ac:dyDescent="0.25">
      <c r="F1331" s="85"/>
      <c r="I1331" s="85"/>
    </row>
    <row r="1332" spans="6:9" x14ac:dyDescent="0.25">
      <c r="F1332" s="85"/>
      <c r="I1332" s="85"/>
    </row>
    <row r="1333" spans="6:9" x14ac:dyDescent="0.25">
      <c r="F1333" s="85"/>
      <c r="I1333" s="85"/>
    </row>
    <row r="1334" spans="6:9" x14ac:dyDescent="0.25">
      <c r="F1334" s="85"/>
      <c r="I1334" s="85"/>
    </row>
    <row r="1335" spans="6:9" x14ac:dyDescent="0.25">
      <c r="F1335" s="85"/>
      <c r="I1335" s="85"/>
    </row>
    <row r="1336" spans="6:9" x14ac:dyDescent="0.25">
      <c r="F1336" s="85"/>
      <c r="I1336" s="85"/>
    </row>
    <row r="1337" spans="6:9" x14ac:dyDescent="0.25">
      <c r="F1337" s="85"/>
      <c r="I1337" s="85"/>
    </row>
    <row r="1338" spans="6:9" x14ac:dyDescent="0.25">
      <c r="F1338" s="85"/>
      <c r="I1338" s="85"/>
    </row>
    <row r="1339" spans="6:9" x14ac:dyDescent="0.25">
      <c r="F1339" s="85"/>
      <c r="I1339" s="85"/>
    </row>
    <row r="1340" spans="6:9" x14ac:dyDescent="0.25">
      <c r="F1340" s="85"/>
      <c r="I1340" s="85"/>
    </row>
    <row r="1341" spans="6:9" x14ac:dyDescent="0.25">
      <c r="F1341" s="85"/>
      <c r="I1341" s="85"/>
    </row>
    <row r="1342" spans="6:9" x14ac:dyDescent="0.25">
      <c r="F1342" s="85"/>
      <c r="I1342" s="85"/>
    </row>
    <row r="1343" spans="6:9" x14ac:dyDescent="0.25">
      <c r="F1343" s="85"/>
      <c r="I1343" s="85"/>
    </row>
    <row r="1344" spans="6:9" x14ac:dyDescent="0.25">
      <c r="F1344" s="85"/>
      <c r="I1344" s="85"/>
    </row>
    <row r="1345" spans="6:9" x14ac:dyDescent="0.25">
      <c r="F1345" s="85"/>
      <c r="I1345" s="85"/>
    </row>
    <row r="1346" spans="6:9" x14ac:dyDescent="0.25">
      <c r="F1346" s="85"/>
      <c r="I1346" s="85"/>
    </row>
    <row r="1347" spans="6:9" x14ac:dyDescent="0.25">
      <c r="F1347" s="85"/>
      <c r="I1347" s="85"/>
    </row>
    <row r="1348" spans="6:9" x14ac:dyDescent="0.25">
      <c r="F1348" s="85"/>
      <c r="I1348" s="85"/>
    </row>
    <row r="1349" spans="6:9" x14ac:dyDescent="0.25">
      <c r="F1349" s="85"/>
      <c r="I1349" s="85"/>
    </row>
    <row r="1350" spans="6:9" x14ac:dyDescent="0.25">
      <c r="F1350" s="85"/>
      <c r="I1350" s="85"/>
    </row>
    <row r="1351" spans="6:9" x14ac:dyDescent="0.25">
      <c r="F1351" s="85"/>
      <c r="I1351" s="85"/>
    </row>
    <row r="1352" spans="6:9" x14ac:dyDescent="0.25">
      <c r="F1352" s="85"/>
      <c r="I1352" s="85"/>
    </row>
    <row r="1353" spans="6:9" x14ac:dyDescent="0.25">
      <c r="F1353" s="85"/>
      <c r="I1353" s="85"/>
    </row>
    <row r="1354" spans="6:9" x14ac:dyDescent="0.25">
      <c r="F1354" s="85"/>
      <c r="I1354" s="85"/>
    </row>
    <row r="1355" spans="6:9" x14ac:dyDescent="0.25">
      <c r="F1355" s="85"/>
      <c r="I1355" s="85"/>
    </row>
    <row r="1356" spans="6:9" x14ac:dyDescent="0.25">
      <c r="F1356" s="85"/>
      <c r="I1356" s="85"/>
    </row>
    <row r="1357" spans="6:9" x14ac:dyDescent="0.25">
      <c r="F1357" s="85"/>
      <c r="I1357" s="85"/>
    </row>
    <row r="1358" spans="6:9" x14ac:dyDescent="0.25">
      <c r="F1358" s="85"/>
      <c r="I1358" s="85"/>
    </row>
    <row r="1359" spans="6:9" x14ac:dyDescent="0.25">
      <c r="F1359" s="85"/>
      <c r="I1359" s="85"/>
    </row>
    <row r="1360" spans="6:9" x14ac:dyDescent="0.25">
      <c r="F1360" s="85"/>
      <c r="I1360" s="85"/>
    </row>
    <row r="1361" spans="6:9" x14ac:dyDescent="0.25">
      <c r="F1361" s="85"/>
      <c r="I1361" s="85"/>
    </row>
    <row r="1362" spans="6:9" x14ac:dyDescent="0.25">
      <c r="F1362" s="85"/>
      <c r="I1362" s="85"/>
    </row>
    <row r="1363" spans="6:9" x14ac:dyDescent="0.25">
      <c r="F1363" s="85"/>
      <c r="I1363" s="85"/>
    </row>
    <row r="1364" spans="6:9" x14ac:dyDescent="0.25">
      <c r="F1364" s="85"/>
      <c r="I1364" s="85"/>
    </row>
    <row r="1365" spans="6:9" x14ac:dyDescent="0.25">
      <c r="F1365" s="85"/>
      <c r="I1365" s="85"/>
    </row>
    <row r="1366" spans="6:9" x14ac:dyDescent="0.25">
      <c r="F1366" s="85"/>
      <c r="I1366" s="85"/>
    </row>
    <row r="1367" spans="6:9" x14ac:dyDescent="0.25">
      <c r="F1367" s="85"/>
      <c r="I1367" s="85"/>
    </row>
    <row r="1368" spans="6:9" x14ac:dyDescent="0.25">
      <c r="F1368" s="85"/>
      <c r="I1368" s="85"/>
    </row>
    <row r="1369" spans="6:9" x14ac:dyDescent="0.25">
      <c r="F1369" s="85"/>
      <c r="I1369" s="85"/>
    </row>
    <row r="1370" spans="6:9" x14ac:dyDescent="0.25">
      <c r="F1370" s="85"/>
      <c r="I1370" s="85"/>
    </row>
    <row r="1371" spans="6:9" x14ac:dyDescent="0.25">
      <c r="F1371" s="85"/>
      <c r="I1371" s="85"/>
    </row>
    <row r="1372" spans="6:9" x14ac:dyDescent="0.25">
      <c r="F1372" s="85"/>
      <c r="I1372" s="85"/>
    </row>
    <row r="1373" spans="6:9" x14ac:dyDescent="0.25">
      <c r="F1373" s="85"/>
      <c r="I1373" s="85"/>
    </row>
    <row r="1374" spans="6:9" x14ac:dyDescent="0.25">
      <c r="F1374" s="85"/>
      <c r="I1374" s="85"/>
    </row>
    <row r="1375" spans="6:9" x14ac:dyDescent="0.25">
      <c r="F1375" s="85"/>
      <c r="I1375" s="85"/>
    </row>
    <row r="1376" spans="6:9" x14ac:dyDescent="0.25">
      <c r="F1376" s="85"/>
      <c r="I1376" s="85"/>
    </row>
    <row r="1377" spans="6:9" x14ac:dyDescent="0.25">
      <c r="F1377" s="85"/>
      <c r="I1377" s="85"/>
    </row>
    <row r="1378" spans="6:9" x14ac:dyDescent="0.25">
      <c r="F1378" s="85"/>
      <c r="I1378" s="85"/>
    </row>
    <row r="1379" spans="6:9" x14ac:dyDescent="0.25">
      <c r="F1379" s="85"/>
      <c r="I1379" s="85"/>
    </row>
    <row r="1380" spans="6:9" x14ac:dyDescent="0.25">
      <c r="F1380" s="85"/>
      <c r="I1380" s="85"/>
    </row>
    <row r="1381" spans="6:9" x14ac:dyDescent="0.25">
      <c r="F1381" s="85"/>
      <c r="I1381" s="85"/>
    </row>
    <row r="1382" spans="6:9" x14ac:dyDescent="0.25">
      <c r="F1382" s="85"/>
      <c r="I1382" s="85"/>
    </row>
    <row r="1383" spans="6:9" x14ac:dyDescent="0.25">
      <c r="F1383" s="85"/>
      <c r="I1383" s="85"/>
    </row>
    <row r="1384" spans="6:9" x14ac:dyDescent="0.25">
      <c r="F1384" s="85"/>
      <c r="I1384" s="85"/>
    </row>
    <row r="1385" spans="6:9" x14ac:dyDescent="0.25">
      <c r="F1385" s="85"/>
      <c r="I1385" s="85"/>
    </row>
    <row r="1386" spans="6:9" x14ac:dyDescent="0.25">
      <c r="F1386" s="85"/>
      <c r="I1386" s="85"/>
    </row>
    <row r="1387" spans="6:9" x14ac:dyDescent="0.25">
      <c r="F1387" s="85"/>
      <c r="I1387" s="85"/>
    </row>
    <row r="1388" spans="6:9" x14ac:dyDescent="0.25">
      <c r="F1388" s="85"/>
      <c r="I1388" s="85"/>
    </row>
    <row r="1389" spans="6:9" x14ac:dyDescent="0.25">
      <c r="F1389" s="85"/>
      <c r="I1389" s="85"/>
    </row>
    <row r="1390" spans="6:9" x14ac:dyDescent="0.25">
      <c r="F1390" s="85"/>
      <c r="I1390" s="85"/>
    </row>
    <row r="1391" spans="6:9" x14ac:dyDescent="0.25">
      <c r="F1391" s="85"/>
      <c r="I1391" s="85"/>
    </row>
    <row r="1392" spans="6:9" x14ac:dyDescent="0.25">
      <c r="F1392" s="85"/>
      <c r="I1392" s="85"/>
    </row>
    <row r="1393" spans="6:9" x14ac:dyDescent="0.25">
      <c r="F1393" s="85"/>
      <c r="I1393" s="85"/>
    </row>
    <row r="1394" spans="6:9" x14ac:dyDescent="0.25">
      <c r="F1394" s="85"/>
      <c r="I1394" s="85"/>
    </row>
    <row r="1395" spans="6:9" x14ac:dyDescent="0.25">
      <c r="F1395" s="85"/>
      <c r="I1395" s="85"/>
    </row>
    <row r="1396" spans="6:9" x14ac:dyDescent="0.25">
      <c r="F1396" s="85"/>
      <c r="I1396" s="85"/>
    </row>
    <row r="1397" spans="6:9" x14ac:dyDescent="0.25">
      <c r="F1397" s="85"/>
      <c r="I1397" s="85"/>
    </row>
    <row r="1398" spans="6:9" x14ac:dyDescent="0.25">
      <c r="F1398" s="85"/>
      <c r="I1398" s="85"/>
    </row>
    <row r="1399" spans="6:9" x14ac:dyDescent="0.25">
      <c r="F1399" s="85"/>
      <c r="I1399" s="85"/>
    </row>
    <row r="1400" spans="6:9" x14ac:dyDescent="0.25">
      <c r="F1400" s="85"/>
      <c r="I1400" s="85"/>
    </row>
    <row r="1401" spans="6:9" x14ac:dyDescent="0.25">
      <c r="F1401" s="85"/>
      <c r="I1401" s="85"/>
    </row>
    <row r="1402" spans="6:9" x14ac:dyDescent="0.25">
      <c r="F1402" s="85"/>
      <c r="I1402" s="85"/>
    </row>
    <row r="1403" spans="6:9" x14ac:dyDescent="0.25">
      <c r="F1403" s="85"/>
      <c r="I1403" s="85"/>
    </row>
    <row r="1404" spans="6:9" x14ac:dyDescent="0.25">
      <c r="F1404" s="85"/>
      <c r="I1404" s="85"/>
    </row>
    <row r="1405" spans="6:9" x14ac:dyDescent="0.25">
      <c r="F1405" s="85"/>
      <c r="I1405" s="85"/>
    </row>
    <row r="1406" spans="6:9" x14ac:dyDescent="0.25">
      <c r="F1406" s="85"/>
      <c r="I1406" s="85"/>
    </row>
    <row r="1407" spans="6:9" x14ac:dyDescent="0.25">
      <c r="F1407" s="85"/>
      <c r="I1407" s="85"/>
    </row>
    <row r="1408" spans="6:9" x14ac:dyDescent="0.25">
      <c r="F1408" s="85"/>
      <c r="I1408" s="85"/>
    </row>
    <row r="1409" spans="6:9" x14ac:dyDescent="0.25">
      <c r="F1409" s="85"/>
      <c r="I1409" s="85"/>
    </row>
    <row r="1410" spans="6:9" x14ac:dyDescent="0.25">
      <c r="F1410" s="85"/>
      <c r="I1410" s="85"/>
    </row>
    <row r="1411" spans="6:9" x14ac:dyDescent="0.25">
      <c r="F1411" s="85"/>
      <c r="I1411" s="85"/>
    </row>
    <row r="1412" spans="6:9" x14ac:dyDescent="0.25">
      <c r="F1412" s="85"/>
      <c r="I1412" s="85"/>
    </row>
    <row r="1413" spans="6:9" x14ac:dyDescent="0.25">
      <c r="F1413" s="85"/>
      <c r="I1413" s="85"/>
    </row>
    <row r="1414" spans="6:9" x14ac:dyDescent="0.25">
      <c r="F1414" s="85"/>
      <c r="I1414" s="85"/>
    </row>
    <row r="1415" spans="6:9" x14ac:dyDescent="0.25">
      <c r="F1415" s="85"/>
      <c r="I1415" s="85"/>
    </row>
    <row r="1416" spans="6:9" x14ac:dyDescent="0.25">
      <c r="F1416" s="85"/>
      <c r="I1416" s="85"/>
    </row>
    <row r="1417" spans="6:9" x14ac:dyDescent="0.25">
      <c r="F1417" s="85"/>
      <c r="I1417" s="85"/>
    </row>
    <row r="1418" spans="6:9" x14ac:dyDescent="0.25">
      <c r="F1418" s="85"/>
      <c r="I1418" s="85"/>
    </row>
    <row r="1419" spans="6:9" x14ac:dyDescent="0.25">
      <c r="F1419" s="85"/>
      <c r="I1419" s="85"/>
    </row>
    <row r="1420" spans="6:9" x14ac:dyDescent="0.25">
      <c r="F1420" s="85"/>
      <c r="I1420" s="85"/>
    </row>
    <row r="1421" spans="6:9" x14ac:dyDescent="0.25">
      <c r="F1421" s="85"/>
      <c r="I1421" s="85"/>
    </row>
    <row r="1422" spans="6:9" x14ac:dyDescent="0.25">
      <c r="F1422" s="85"/>
      <c r="I1422" s="85"/>
    </row>
    <row r="1423" spans="6:9" x14ac:dyDescent="0.25">
      <c r="F1423" s="85"/>
      <c r="I1423" s="85"/>
    </row>
    <row r="1424" spans="6:9" x14ac:dyDescent="0.25">
      <c r="F1424" s="85"/>
      <c r="I1424" s="85"/>
    </row>
    <row r="1425" spans="6:9" x14ac:dyDescent="0.25">
      <c r="F1425" s="85"/>
      <c r="I1425" s="85"/>
    </row>
    <row r="1426" spans="6:9" x14ac:dyDescent="0.25">
      <c r="F1426" s="85"/>
      <c r="I1426" s="85"/>
    </row>
    <row r="1427" spans="6:9" x14ac:dyDescent="0.25">
      <c r="F1427" s="85"/>
      <c r="I1427" s="85"/>
    </row>
    <row r="1428" spans="6:9" x14ac:dyDescent="0.25">
      <c r="F1428" s="85"/>
      <c r="I1428" s="85"/>
    </row>
    <row r="1429" spans="6:9" x14ac:dyDescent="0.25">
      <c r="F1429" s="85"/>
      <c r="I1429" s="85"/>
    </row>
    <row r="1430" spans="6:9" x14ac:dyDescent="0.25">
      <c r="F1430" s="85"/>
      <c r="I1430" s="85"/>
    </row>
    <row r="1431" spans="6:9" x14ac:dyDescent="0.25">
      <c r="F1431" s="85"/>
      <c r="I1431" s="85"/>
    </row>
    <row r="1432" spans="6:9" x14ac:dyDescent="0.25">
      <c r="F1432" s="85"/>
      <c r="I1432" s="85"/>
    </row>
    <row r="1433" spans="6:9" x14ac:dyDescent="0.25">
      <c r="F1433" s="85"/>
      <c r="I1433" s="85"/>
    </row>
    <row r="1434" spans="6:9" x14ac:dyDescent="0.25">
      <c r="F1434" s="85"/>
      <c r="I1434" s="85"/>
    </row>
    <row r="1435" spans="6:9" x14ac:dyDescent="0.25">
      <c r="F1435" s="85"/>
      <c r="I1435" s="85"/>
    </row>
    <row r="1436" spans="6:9" x14ac:dyDescent="0.25">
      <c r="F1436" s="85"/>
      <c r="I1436" s="85"/>
    </row>
    <row r="1437" spans="6:9" x14ac:dyDescent="0.25">
      <c r="F1437" s="85"/>
      <c r="I1437" s="85"/>
    </row>
    <row r="1438" spans="6:9" x14ac:dyDescent="0.25">
      <c r="F1438" s="85"/>
      <c r="I1438" s="85"/>
    </row>
    <row r="1439" spans="6:9" x14ac:dyDescent="0.25">
      <c r="F1439" s="85"/>
      <c r="I1439" s="85"/>
    </row>
    <row r="1440" spans="6:9" x14ac:dyDescent="0.25">
      <c r="F1440" s="85"/>
      <c r="I1440" s="85"/>
    </row>
    <row r="1441" spans="6:9" x14ac:dyDescent="0.25">
      <c r="F1441" s="85"/>
      <c r="I1441" s="85"/>
    </row>
    <row r="1442" spans="6:9" x14ac:dyDescent="0.25">
      <c r="F1442" s="85"/>
      <c r="I1442" s="85"/>
    </row>
    <row r="1443" spans="6:9" x14ac:dyDescent="0.25">
      <c r="F1443" s="85"/>
      <c r="I1443" s="85"/>
    </row>
    <row r="1444" spans="6:9" x14ac:dyDescent="0.25">
      <c r="F1444" s="85"/>
      <c r="I1444" s="85"/>
    </row>
    <row r="1445" spans="6:9" x14ac:dyDescent="0.25">
      <c r="F1445" s="85"/>
      <c r="I1445" s="85"/>
    </row>
    <row r="1446" spans="6:9" x14ac:dyDescent="0.25">
      <c r="F1446" s="85"/>
      <c r="I1446" s="85"/>
    </row>
    <row r="1447" spans="6:9" x14ac:dyDescent="0.25">
      <c r="F1447" s="85"/>
      <c r="I1447" s="85"/>
    </row>
    <row r="1448" spans="6:9" x14ac:dyDescent="0.25">
      <c r="F1448" s="85"/>
      <c r="I1448" s="85"/>
    </row>
    <row r="1449" spans="6:9" x14ac:dyDescent="0.25">
      <c r="F1449" s="85"/>
      <c r="I1449" s="85"/>
    </row>
    <row r="1450" spans="6:9" x14ac:dyDescent="0.25">
      <c r="F1450" s="85"/>
      <c r="I1450" s="85"/>
    </row>
    <row r="1451" spans="6:9" x14ac:dyDescent="0.25">
      <c r="F1451" s="85"/>
      <c r="I1451" s="85"/>
    </row>
    <row r="1452" spans="6:9" x14ac:dyDescent="0.25">
      <c r="F1452" s="85"/>
      <c r="I1452" s="85"/>
    </row>
    <row r="1453" spans="6:9" x14ac:dyDescent="0.25">
      <c r="F1453" s="85"/>
      <c r="I1453" s="85"/>
    </row>
    <row r="1454" spans="6:9" x14ac:dyDescent="0.25">
      <c r="F1454" s="85"/>
      <c r="I1454" s="85"/>
    </row>
    <row r="1455" spans="6:9" x14ac:dyDescent="0.25">
      <c r="F1455" s="85"/>
      <c r="I1455" s="85"/>
    </row>
    <row r="1456" spans="6:9" x14ac:dyDescent="0.25">
      <c r="F1456" s="85"/>
      <c r="I1456" s="85"/>
    </row>
    <row r="1457" spans="6:9" x14ac:dyDescent="0.25">
      <c r="F1457" s="85"/>
      <c r="I1457" s="85"/>
    </row>
    <row r="1458" spans="6:9" x14ac:dyDescent="0.25">
      <c r="F1458" s="85"/>
      <c r="I1458" s="85"/>
    </row>
    <row r="1459" spans="6:9" x14ac:dyDescent="0.25">
      <c r="F1459" s="85"/>
      <c r="I1459" s="85"/>
    </row>
    <row r="1460" spans="6:9" x14ac:dyDescent="0.25">
      <c r="F1460" s="85"/>
      <c r="I1460" s="85"/>
    </row>
    <row r="1461" spans="6:9" x14ac:dyDescent="0.25">
      <c r="F1461" s="85"/>
      <c r="I1461" s="85"/>
    </row>
    <row r="1462" spans="6:9" x14ac:dyDescent="0.25">
      <c r="F1462" s="85"/>
      <c r="I1462" s="85"/>
    </row>
    <row r="1463" spans="6:9" x14ac:dyDescent="0.25">
      <c r="F1463" s="85"/>
      <c r="I1463" s="85"/>
    </row>
    <row r="1464" spans="6:9" x14ac:dyDescent="0.25">
      <c r="F1464" s="85"/>
      <c r="I1464" s="85"/>
    </row>
    <row r="1465" spans="6:9" x14ac:dyDescent="0.25">
      <c r="F1465" s="85"/>
      <c r="I1465" s="85"/>
    </row>
    <row r="1466" spans="6:9" x14ac:dyDescent="0.25">
      <c r="F1466" s="85"/>
      <c r="I1466" s="85"/>
    </row>
    <row r="1467" spans="6:9" x14ac:dyDescent="0.25">
      <c r="F1467" s="85"/>
      <c r="I1467" s="85"/>
    </row>
    <row r="1468" spans="6:9" x14ac:dyDescent="0.25">
      <c r="F1468" s="85"/>
      <c r="I1468" s="85"/>
    </row>
    <row r="1469" spans="6:9" x14ac:dyDescent="0.25">
      <c r="F1469" s="85"/>
      <c r="I1469" s="85"/>
    </row>
    <row r="1470" spans="6:9" x14ac:dyDescent="0.25">
      <c r="F1470" s="85"/>
      <c r="I1470" s="85"/>
    </row>
    <row r="1471" spans="6:9" x14ac:dyDescent="0.25">
      <c r="F1471" s="85"/>
      <c r="I1471" s="85"/>
    </row>
    <row r="1472" spans="6:9" x14ac:dyDescent="0.25">
      <c r="F1472" s="85"/>
      <c r="I1472" s="85"/>
    </row>
    <row r="1473" spans="6:9" x14ac:dyDescent="0.25">
      <c r="F1473" s="85"/>
      <c r="I1473" s="85"/>
    </row>
    <row r="1474" spans="6:9" x14ac:dyDescent="0.25">
      <c r="F1474" s="85"/>
      <c r="I1474" s="85"/>
    </row>
    <row r="1475" spans="6:9" x14ac:dyDescent="0.25">
      <c r="F1475" s="85"/>
      <c r="I1475" s="85"/>
    </row>
    <row r="1476" spans="6:9" x14ac:dyDescent="0.25">
      <c r="F1476" s="85"/>
      <c r="I1476" s="85"/>
    </row>
    <row r="1477" spans="6:9" x14ac:dyDescent="0.25">
      <c r="F1477" s="85"/>
      <c r="I1477" s="85"/>
    </row>
    <row r="1478" spans="6:9" x14ac:dyDescent="0.25">
      <c r="F1478" s="85"/>
      <c r="I1478" s="85"/>
    </row>
    <row r="1479" spans="6:9" x14ac:dyDescent="0.25">
      <c r="F1479" s="85"/>
      <c r="I1479" s="85"/>
    </row>
    <row r="1480" spans="6:9" x14ac:dyDescent="0.25">
      <c r="F1480" s="85"/>
      <c r="I1480" s="85"/>
    </row>
    <row r="1481" spans="6:9" x14ac:dyDescent="0.25">
      <c r="F1481" s="85"/>
      <c r="I1481" s="85"/>
    </row>
    <row r="1482" spans="6:9" x14ac:dyDescent="0.25">
      <c r="F1482" s="85"/>
      <c r="I1482" s="85"/>
    </row>
    <row r="1483" spans="6:9" x14ac:dyDescent="0.25">
      <c r="F1483" s="85"/>
      <c r="I1483" s="85"/>
    </row>
    <row r="1484" spans="6:9" x14ac:dyDescent="0.25">
      <c r="F1484" s="85"/>
      <c r="I1484" s="85"/>
    </row>
    <row r="1485" spans="6:9" x14ac:dyDescent="0.25">
      <c r="F1485" s="85"/>
      <c r="I1485" s="85"/>
    </row>
    <row r="1486" spans="6:9" x14ac:dyDescent="0.25">
      <c r="F1486" s="85"/>
      <c r="I1486" s="85"/>
    </row>
    <row r="1487" spans="6:9" x14ac:dyDescent="0.25">
      <c r="F1487" s="85"/>
      <c r="I1487" s="85"/>
    </row>
    <row r="1488" spans="6:9" x14ac:dyDescent="0.25">
      <c r="F1488" s="85"/>
      <c r="I1488" s="85"/>
    </row>
    <row r="1489" spans="6:9" x14ac:dyDescent="0.25">
      <c r="F1489" s="85"/>
      <c r="I1489" s="85"/>
    </row>
    <row r="1490" spans="6:9" x14ac:dyDescent="0.25">
      <c r="F1490" s="85"/>
      <c r="I1490" s="85"/>
    </row>
    <row r="1491" spans="6:9" x14ac:dyDescent="0.25">
      <c r="F1491" s="85"/>
      <c r="I1491" s="85"/>
    </row>
    <row r="1492" spans="6:9" x14ac:dyDescent="0.25">
      <c r="F1492" s="85"/>
      <c r="I1492" s="85"/>
    </row>
    <row r="1493" spans="6:9" x14ac:dyDescent="0.25">
      <c r="F1493" s="85"/>
      <c r="I1493" s="85"/>
    </row>
    <row r="1494" spans="6:9" x14ac:dyDescent="0.25">
      <c r="F1494" s="85"/>
      <c r="I1494" s="85"/>
    </row>
    <row r="1495" spans="6:9" x14ac:dyDescent="0.25">
      <c r="F1495" s="85"/>
      <c r="I1495" s="85"/>
    </row>
    <row r="1496" spans="6:9" x14ac:dyDescent="0.25">
      <c r="F1496" s="85"/>
      <c r="I1496" s="85"/>
    </row>
    <row r="1497" spans="6:9" x14ac:dyDescent="0.25">
      <c r="F1497" s="85"/>
      <c r="I1497" s="85"/>
    </row>
    <row r="1498" spans="6:9" x14ac:dyDescent="0.25">
      <c r="F1498" s="85"/>
      <c r="I1498" s="85"/>
    </row>
    <row r="1499" spans="6:9" x14ac:dyDescent="0.25">
      <c r="F1499" s="85"/>
      <c r="I1499" s="85"/>
    </row>
    <row r="1500" spans="6:9" x14ac:dyDescent="0.25">
      <c r="F1500" s="85"/>
      <c r="I1500" s="85"/>
    </row>
    <row r="1501" spans="6:9" x14ac:dyDescent="0.25">
      <c r="F1501" s="85"/>
      <c r="I1501" s="85"/>
    </row>
    <row r="1502" spans="6:9" x14ac:dyDescent="0.25">
      <c r="F1502" s="85"/>
      <c r="I1502" s="85"/>
    </row>
    <row r="1503" spans="6:9" x14ac:dyDescent="0.25">
      <c r="F1503" s="85"/>
      <c r="I1503" s="85"/>
    </row>
    <row r="1504" spans="6:9" x14ac:dyDescent="0.25">
      <c r="F1504" s="85"/>
      <c r="I1504" s="85"/>
    </row>
    <row r="1505" spans="6:9" x14ac:dyDescent="0.25">
      <c r="F1505" s="85"/>
      <c r="I1505" s="85"/>
    </row>
    <row r="1506" spans="6:9" x14ac:dyDescent="0.25">
      <c r="F1506" s="85"/>
      <c r="I1506" s="85"/>
    </row>
    <row r="1507" spans="6:9" x14ac:dyDescent="0.25">
      <c r="F1507" s="85"/>
      <c r="I1507" s="85"/>
    </row>
    <row r="1508" spans="6:9" x14ac:dyDescent="0.25">
      <c r="F1508" s="85"/>
      <c r="I1508" s="85"/>
    </row>
    <row r="1509" spans="6:9" x14ac:dyDescent="0.25">
      <c r="F1509" s="85"/>
      <c r="I1509" s="85"/>
    </row>
    <row r="1510" spans="6:9" x14ac:dyDescent="0.25">
      <c r="F1510" s="85"/>
      <c r="I1510" s="85"/>
    </row>
    <row r="1511" spans="6:9" x14ac:dyDescent="0.25">
      <c r="F1511" s="85"/>
      <c r="I1511" s="85"/>
    </row>
    <row r="1512" spans="6:9" x14ac:dyDescent="0.25">
      <c r="F1512" s="85"/>
      <c r="I1512" s="85"/>
    </row>
    <row r="1513" spans="6:9" x14ac:dyDescent="0.25">
      <c r="F1513" s="85"/>
      <c r="I1513" s="85"/>
    </row>
    <row r="1514" spans="6:9" x14ac:dyDescent="0.25">
      <c r="F1514" s="85"/>
      <c r="I1514" s="85"/>
    </row>
    <row r="1515" spans="6:9" x14ac:dyDescent="0.25">
      <c r="F1515" s="85"/>
      <c r="I1515" s="85"/>
    </row>
    <row r="1516" spans="6:9" x14ac:dyDescent="0.25">
      <c r="F1516" s="85"/>
      <c r="I1516" s="85"/>
    </row>
    <row r="1517" spans="6:9" x14ac:dyDescent="0.25">
      <c r="F1517" s="85"/>
      <c r="I1517" s="85"/>
    </row>
    <row r="1518" spans="6:9" x14ac:dyDescent="0.25">
      <c r="F1518" s="85"/>
      <c r="I1518" s="85"/>
    </row>
    <row r="1519" spans="6:9" x14ac:dyDescent="0.25">
      <c r="F1519" s="85"/>
      <c r="I1519" s="85"/>
    </row>
    <row r="1520" spans="6:9" x14ac:dyDescent="0.25">
      <c r="F1520" s="85"/>
      <c r="I1520" s="85"/>
    </row>
    <row r="1521" spans="6:9" x14ac:dyDescent="0.25">
      <c r="F1521" s="85"/>
      <c r="I1521" s="85"/>
    </row>
    <row r="1522" spans="6:9" x14ac:dyDescent="0.25">
      <c r="F1522" s="85"/>
      <c r="I1522" s="85"/>
    </row>
    <row r="1523" spans="6:9" x14ac:dyDescent="0.25">
      <c r="F1523" s="85"/>
      <c r="I1523" s="85"/>
    </row>
    <row r="1524" spans="6:9" x14ac:dyDescent="0.25">
      <c r="F1524" s="85"/>
      <c r="I1524" s="85"/>
    </row>
    <row r="1525" spans="6:9" x14ac:dyDescent="0.25">
      <c r="F1525" s="85"/>
      <c r="I1525" s="85"/>
    </row>
    <row r="1526" spans="6:9" x14ac:dyDescent="0.25">
      <c r="F1526" s="85"/>
      <c r="I1526" s="85"/>
    </row>
    <row r="1527" spans="6:9" x14ac:dyDescent="0.25">
      <c r="F1527" s="85"/>
      <c r="I1527" s="85"/>
    </row>
    <row r="1528" spans="6:9" x14ac:dyDescent="0.25">
      <c r="F1528" s="85"/>
      <c r="I1528" s="85"/>
    </row>
    <row r="1529" spans="6:9" x14ac:dyDescent="0.25">
      <c r="F1529" s="85"/>
      <c r="I1529" s="85"/>
    </row>
    <row r="1530" spans="6:9" x14ac:dyDescent="0.25">
      <c r="F1530" s="85"/>
      <c r="I1530" s="85"/>
    </row>
    <row r="1531" spans="6:9" x14ac:dyDescent="0.25">
      <c r="F1531" s="85"/>
      <c r="I1531" s="85"/>
    </row>
    <row r="1532" spans="6:9" x14ac:dyDescent="0.25">
      <c r="F1532" s="85"/>
      <c r="I1532" s="85"/>
    </row>
    <row r="1533" spans="6:9" x14ac:dyDescent="0.25">
      <c r="F1533" s="85"/>
      <c r="I1533" s="85"/>
    </row>
    <row r="1534" spans="6:9" x14ac:dyDescent="0.25">
      <c r="F1534" s="85"/>
      <c r="I1534" s="85"/>
    </row>
    <row r="1535" spans="6:9" x14ac:dyDescent="0.25">
      <c r="F1535" s="85"/>
      <c r="I1535" s="85"/>
    </row>
    <row r="1536" spans="6:9" x14ac:dyDescent="0.25">
      <c r="F1536" s="85"/>
      <c r="I1536" s="85"/>
    </row>
    <row r="1537" spans="6:9" x14ac:dyDescent="0.25">
      <c r="F1537" s="85"/>
      <c r="I1537" s="85"/>
    </row>
    <row r="1538" spans="6:9" x14ac:dyDescent="0.25">
      <c r="F1538" s="85"/>
      <c r="I1538" s="85"/>
    </row>
    <row r="1539" spans="6:9" x14ac:dyDescent="0.25">
      <c r="F1539" s="85"/>
      <c r="I1539" s="85"/>
    </row>
    <row r="1540" spans="6:9" x14ac:dyDescent="0.25">
      <c r="F1540" s="85"/>
      <c r="I1540" s="85"/>
    </row>
    <row r="1541" spans="6:9" x14ac:dyDescent="0.25">
      <c r="F1541" s="85"/>
      <c r="I1541" s="85"/>
    </row>
    <row r="1542" spans="6:9" x14ac:dyDescent="0.25">
      <c r="F1542" s="85"/>
      <c r="I1542" s="85"/>
    </row>
    <row r="1543" spans="6:9" x14ac:dyDescent="0.25">
      <c r="F1543" s="85"/>
      <c r="I1543" s="85"/>
    </row>
    <row r="1544" spans="6:9" x14ac:dyDescent="0.25">
      <c r="F1544" s="85"/>
      <c r="I1544" s="85"/>
    </row>
    <row r="1545" spans="6:9" x14ac:dyDescent="0.25">
      <c r="F1545" s="85"/>
      <c r="I1545" s="85"/>
    </row>
    <row r="1546" spans="6:9" x14ac:dyDescent="0.25">
      <c r="F1546" s="85"/>
      <c r="I1546" s="85"/>
    </row>
    <row r="1547" spans="6:9" x14ac:dyDescent="0.25">
      <c r="F1547" s="85"/>
      <c r="I1547" s="85"/>
    </row>
    <row r="1548" spans="6:9" x14ac:dyDescent="0.25">
      <c r="F1548" s="85"/>
      <c r="I1548" s="85"/>
    </row>
    <row r="1549" spans="6:9" x14ac:dyDescent="0.25">
      <c r="F1549" s="85"/>
      <c r="I1549" s="85"/>
    </row>
    <row r="1550" spans="6:9" x14ac:dyDescent="0.25">
      <c r="F1550" s="85"/>
      <c r="I1550" s="85"/>
    </row>
    <row r="1551" spans="6:9" x14ac:dyDescent="0.25">
      <c r="F1551" s="85"/>
      <c r="I1551" s="85"/>
    </row>
    <row r="1552" spans="6:9" x14ac:dyDescent="0.25">
      <c r="F1552" s="85"/>
      <c r="I1552" s="85"/>
    </row>
    <row r="1553" spans="6:9" x14ac:dyDescent="0.25">
      <c r="F1553" s="85"/>
      <c r="I1553" s="85"/>
    </row>
    <row r="1554" spans="6:9" x14ac:dyDescent="0.25">
      <c r="F1554" s="85"/>
      <c r="I1554" s="85"/>
    </row>
    <row r="1555" spans="6:9" x14ac:dyDescent="0.25">
      <c r="F1555" s="85"/>
      <c r="I1555" s="85"/>
    </row>
    <row r="1556" spans="6:9" x14ac:dyDescent="0.25">
      <c r="F1556" s="85"/>
      <c r="I1556" s="85"/>
    </row>
    <row r="1557" spans="6:9" x14ac:dyDescent="0.25">
      <c r="F1557" s="85"/>
      <c r="I1557" s="85"/>
    </row>
    <row r="1558" spans="6:9" x14ac:dyDescent="0.25">
      <c r="F1558" s="85"/>
      <c r="I1558" s="85"/>
    </row>
    <row r="1559" spans="6:9" x14ac:dyDescent="0.25">
      <c r="F1559" s="85"/>
      <c r="I1559" s="85"/>
    </row>
    <row r="1560" spans="6:9" x14ac:dyDescent="0.25">
      <c r="F1560" s="85"/>
      <c r="I1560" s="85"/>
    </row>
    <row r="1561" spans="6:9" x14ac:dyDescent="0.25">
      <c r="F1561" s="85"/>
      <c r="I1561" s="85"/>
    </row>
    <row r="1562" spans="6:9" x14ac:dyDescent="0.25">
      <c r="F1562" s="85"/>
      <c r="I1562" s="85"/>
    </row>
    <row r="1563" spans="6:9" x14ac:dyDescent="0.25">
      <c r="F1563" s="85"/>
      <c r="I1563" s="85"/>
    </row>
    <row r="1564" spans="6:9" x14ac:dyDescent="0.25">
      <c r="F1564" s="85"/>
      <c r="I1564" s="85"/>
    </row>
    <row r="1565" spans="6:9" x14ac:dyDescent="0.25">
      <c r="F1565" s="85"/>
      <c r="I1565" s="85"/>
    </row>
    <row r="1566" spans="6:9" x14ac:dyDescent="0.25">
      <c r="F1566" s="85"/>
      <c r="I1566" s="85"/>
    </row>
    <row r="1567" spans="6:9" x14ac:dyDescent="0.25">
      <c r="F1567" s="85"/>
      <c r="I1567" s="85"/>
    </row>
    <row r="1568" spans="6:9" x14ac:dyDescent="0.25">
      <c r="F1568" s="85"/>
      <c r="I1568" s="85"/>
    </row>
    <row r="1569" spans="6:9" x14ac:dyDescent="0.25">
      <c r="F1569" s="85"/>
      <c r="I1569" s="85"/>
    </row>
    <row r="1570" spans="6:9" x14ac:dyDescent="0.25">
      <c r="F1570" s="85"/>
      <c r="I1570" s="85"/>
    </row>
    <row r="1571" spans="6:9" x14ac:dyDescent="0.25">
      <c r="F1571" s="85"/>
      <c r="I1571" s="85"/>
    </row>
    <row r="1572" spans="6:9" x14ac:dyDescent="0.25">
      <c r="F1572" s="85"/>
      <c r="I1572" s="85"/>
    </row>
    <row r="1573" spans="6:9" x14ac:dyDescent="0.25">
      <c r="F1573" s="85"/>
      <c r="I1573" s="85"/>
    </row>
    <row r="1574" spans="6:9" x14ac:dyDescent="0.25">
      <c r="F1574" s="85"/>
      <c r="I1574" s="85"/>
    </row>
    <row r="1575" spans="6:9" x14ac:dyDescent="0.25">
      <c r="F1575" s="85"/>
      <c r="I1575" s="85"/>
    </row>
    <row r="1576" spans="6:9" x14ac:dyDescent="0.25">
      <c r="F1576" s="85"/>
      <c r="I1576" s="85"/>
    </row>
    <row r="1577" spans="6:9" x14ac:dyDescent="0.25">
      <c r="F1577" s="85"/>
      <c r="I1577" s="85"/>
    </row>
    <row r="1578" spans="6:9" x14ac:dyDescent="0.25">
      <c r="F1578" s="85"/>
      <c r="I1578" s="85"/>
    </row>
    <row r="1579" spans="6:9" x14ac:dyDescent="0.25">
      <c r="F1579" s="85"/>
      <c r="I1579" s="85"/>
    </row>
    <row r="1580" spans="6:9" x14ac:dyDescent="0.25">
      <c r="F1580" s="85"/>
      <c r="I1580" s="85"/>
    </row>
    <row r="1581" spans="6:9" x14ac:dyDescent="0.25">
      <c r="F1581" s="85"/>
      <c r="I1581" s="85"/>
    </row>
    <row r="1582" spans="6:9" x14ac:dyDescent="0.25">
      <c r="F1582" s="85"/>
      <c r="I1582" s="85"/>
    </row>
    <row r="1583" spans="6:9" x14ac:dyDescent="0.25">
      <c r="F1583" s="85"/>
      <c r="I1583" s="85"/>
    </row>
    <row r="1584" spans="6:9" x14ac:dyDescent="0.25">
      <c r="F1584" s="85"/>
      <c r="I1584" s="85"/>
    </row>
    <row r="1585" spans="6:9" x14ac:dyDescent="0.25">
      <c r="F1585" s="85"/>
      <c r="I1585" s="85"/>
    </row>
    <row r="1586" spans="6:9" x14ac:dyDescent="0.25">
      <c r="F1586" s="85"/>
      <c r="I1586" s="85"/>
    </row>
    <row r="1587" spans="6:9" x14ac:dyDescent="0.25">
      <c r="F1587" s="85"/>
      <c r="I1587" s="85"/>
    </row>
    <row r="1588" spans="6:9" x14ac:dyDescent="0.25">
      <c r="F1588" s="85"/>
      <c r="I1588" s="85"/>
    </row>
    <row r="1589" spans="6:9" x14ac:dyDescent="0.25">
      <c r="F1589" s="85"/>
      <c r="I1589" s="85"/>
    </row>
    <row r="1590" spans="6:9" x14ac:dyDescent="0.25">
      <c r="F1590" s="85"/>
      <c r="I1590" s="85"/>
    </row>
    <row r="1591" spans="6:9" x14ac:dyDescent="0.25">
      <c r="F1591" s="85"/>
      <c r="I1591" s="85"/>
    </row>
    <row r="1592" spans="6:9" x14ac:dyDescent="0.25">
      <c r="F1592" s="85"/>
      <c r="I1592" s="85"/>
    </row>
    <row r="1593" spans="6:9" x14ac:dyDescent="0.25">
      <c r="F1593" s="85"/>
      <c r="I1593" s="85"/>
    </row>
    <row r="1594" spans="6:9" x14ac:dyDescent="0.25">
      <c r="F1594" s="85"/>
      <c r="I1594" s="85"/>
    </row>
    <row r="1595" spans="6:9" x14ac:dyDescent="0.25">
      <c r="F1595" s="85"/>
      <c r="I1595" s="85"/>
    </row>
    <row r="1596" spans="6:9" x14ac:dyDescent="0.25">
      <c r="F1596" s="85"/>
      <c r="I1596" s="85"/>
    </row>
    <row r="1597" spans="6:9" x14ac:dyDescent="0.25">
      <c r="F1597" s="85"/>
      <c r="I1597" s="85"/>
    </row>
    <row r="1598" spans="6:9" x14ac:dyDescent="0.25">
      <c r="F1598" s="85"/>
      <c r="I1598" s="85"/>
    </row>
    <row r="1599" spans="6:9" x14ac:dyDescent="0.25">
      <c r="F1599" s="85"/>
      <c r="I1599" s="85"/>
    </row>
    <row r="1600" spans="6:9" x14ac:dyDescent="0.25">
      <c r="F1600" s="85"/>
      <c r="I1600" s="85"/>
    </row>
    <row r="1601" spans="6:9" x14ac:dyDescent="0.25">
      <c r="F1601" s="85"/>
      <c r="I1601" s="85"/>
    </row>
    <row r="1602" spans="6:9" x14ac:dyDescent="0.25">
      <c r="F1602" s="85"/>
      <c r="I1602" s="85"/>
    </row>
    <row r="1603" spans="6:9" x14ac:dyDescent="0.25">
      <c r="F1603" s="85"/>
      <c r="I1603" s="85"/>
    </row>
    <row r="1604" spans="6:9" x14ac:dyDescent="0.25">
      <c r="F1604" s="85"/>
      <c r="I1604" s="85"/>
    </row>
    <row r="1605" spans="6:9" x14ac:dyDescent="0.25">
      <c r="F1605" s="85"/>
      <c r="I1605" s="85"/>
    </row>
    <row r="1606" spans="6:9" x14ac:dyDescent="0.25">
      <c r="F1606" s="85"/>
      <c r="I1606" s="85"/>
    </row>
    <row r="1607" spans="6:9" x14ac:dyDescent="0.25">
      <c r="F1607" s="85"/>
      <c r="I1607" s="85"/>
    </row>
    <row r="1608" spans="6:9" x14ac:dyDescent="0.25">
      <c r="F1608" s="85"/>
      <c r="I1608" s="85"/>
    </row>
    <row r="1609" spans="6:9" x14ac:dyDescent="0.25">
      <c r="F1609" s="85"/>
      <c r="I1609" s="85"/>
    </row>
    <row r="1610" spans="6:9" x14ac:dyDescent="0.25">
      <c r="F1610" s="85"/>
      <c r="I1610" s="85"/>
    </row>
    <row r="1611" spans="6:9" x14ac:dyDescent="0.25">
      <c r="F1611" s="85"/>
      <c r="I1611" s="85"/>
    </row>
    <row r="1612" spans="6:9" x14ac:dyDescent="0.25">
      <c r="F1612" s="85"/>
      <c r="I1612" s="85"/>
    </row>
    <row r="1613" spans="6:9" x14ac:dyDescent="0.25">
      <c r="F1613" s="85"/>
      <c r="I1613" s="85"/>
    </row>
    <row r="1614" spans="6:9" x14ac:dyDescent="0.25">
      <c r="F1614" s="85"/>
      <c r="I1614" s="85"/>
    </row>
    <row r="1615" spans="6:9" x14ac:dyDescent="0.25">
      <c r="F1615" s="85"/>
      <c r="I1615" s="85"/>
    </row>
    <row r="1616" spans="6:9" x14ac:dyDescent="0.25">
      <c r="F1616" s="85"/>
      <c r="I1616" s="85"/>
    </row>
    <row r="1617" spans="6:9" x14ac:dyDescent="0.25">
      <c r="F1617" s="85"/>
      <c r="I1617" s="85"/>
    </row>
    <row r="1618" spans="6:9" x14ac:dyDescent="0.25">
      <c r="F1618" s="85"/>
      <c r="I1618" s="85"/>
    </row>
    <row r="1619" spans="6:9" x14ac:dyDescent="0.25">
      <c r="F1619" s="85"/>
      <c r="I1619" s="85"/>
    </row>
    <row r="1620" spans="6:9" x14ac:dyDescent="0.25">
      <c r="F1620" s="85"/>
      <c r="I1620" s="85"/>
    </row>
    <row r="1621" spans="6:9" x14ac:dyDescent="0.25">
      <c r="F1621" s="85"/>
      <c r="I1621" s="85"/>
    </row>
    <row r="1622" spans="6:9" x14ac:dyDescent="0.25">
      <c r="F1622" s="85"/>
      <c r="I1622" s="85"/>
    </row>
    <row r="1623" spans="6:9" x14ac:dyDescent="0.25">
      <c r="F1623" s="85"/>
      <c r="I1623" s="85"/>
    </row>
    <row r="1624" spans="6:9" x14ac:dyDescent="0.25">
      <c r="F1624" s="85"/>
      <c r="I1624" s="85"/>
    </row>
    <row r="1625" spans="6:9" x14ac:dyDescent="0.25">
      <c r="F1625" s="85"/>
      <c r="I1625" s="85"/>
    </row>
    <row r="1626" spans="6:9" x14ac:dyDescent="0.25">
      <c r="F1626" s="85"/>
      <c r="I1626" s="85"/>
    </row>
    <row r="1627" spans="6:9" x14ac:dyDescent="0.25">
      <c r="F1627" s="85"/>
      <c r="I1627" s="85"/>
    </row>
    <row r="1628" spans="6:9" x14ac:dyDescent="0.25">
      <c r="F1628" s="85"/>
      <c r="I1628" s="85"/>
    </row>
    <row r="1629" spans="6:9" x14ac:dyDescent="0.25">
      <c r="F1629" s="85"/>
      <c r="I1629" s="85"/>
    </row>
    <row r="1630" spans="6:9" x14ac:dyDescent="0.25">
      <c r="F1630" s="85"/>
      <c r="I1630" s="85"/>
    </row>
    <row r="1631" spans="6:9" x14ac:dyDescent="0.25">
      <c r="F1631" s="85"/>
      <c r="I1631" s="85"/>
    </row>
    <row r="1632" spans="6:9" x14ac:dyDescent="0.25">
      <c r="F1632" s="85"/>
      <c r="I1632" s="85"/>
    </row>
    <row r="1633" spans="6:9" x14ac:dyDescent="0.25">
      <c r="F1633" s="85"/>
      <c r="I1633" s="85"/>
    </row>
    <row r="1634" spans="6:9" x14ac:dyDescent="0.25">
      <c r="F1634" s="85"/>
      <c r="I1634" s="85"/>
    </row>
    <row r="1635" spans="6:9" x14ac:dyDescent="0.25">
      <c r="F1635" s="85"/>
      <c r="I1635" s="85"/>
    </row>
    <row r="1636" spans="6:9" x14ac:dyDescent="0.25">
      <c r="F1636" s="85"/>
      <c r="I1636" s="85"/>
    </row>
    <row r="1637" spans="6:9" x14ac:dyDescent="0.25">
      <c r="F1637" s="85"/>
      <c r="I1637" s="85"/>
    </row>
    <row r="1638" spans="6:9" x14ac:dyDescent="0.25">
      <c r="F1638" s="85"/>
      <c r="I1638" s="85"/>
    </row>
    <row r="1639" spans="6:9" x14ac:dyDescent="0.25">
      <c r="F1639" s="85"/>
      <c r="I1639" s="85"/>
    </row>
    <row r="1640" spans="6:9" x14ac:dyDescent="0.25">
      <c r="F1640" s="85"/>
      <c r="I1640" s="85"/>
    </row>
    <row r="1641" spans="6:9" x14ac:dyDescent="0.25">
      <c r="F1641" s="85"/>
      <c r="I1641" s="85"/>
    </row>
    <row r="1642" spans="6:9" x14ac:dyDescent="0.25">
      <c r="F1642" s="85"/>
      <c r="I1642" s="85"/>
    </row>
    <row r="1643" spans="6:9" x14ac:dyDescent="0.25">
      <c r="F1643" s="85"/>
      <c r="I1643" s="85"/>
    </row>
    <row r="1644" spans="6:9" x14ac:dyDescent="0.25">
      <c r="F1644" s="85"/>
      <c r="I1644" s="85"/>
    </row>
    <row r="1645" spans="6:9" x14ac:dyDescent="0.25">
      <c r="F1645" s="85"/>
      <c r="I1645" s="85"/>
    </row>
    <row r="1646" spans="6:9" x14ac:dyDescent="0.25">
      <c r="F1646" s="85"/>
      <c r="I1646" s="85"/>
    </row>
    <row r="1647" spans="6:9" x14ac:dyDescent="0.25">
      <c r="F1647" s="85"/>
      <c r="I1647" s="85"/>
    </row>
    <row r="1648" spans="6:9" x14ac:dyDescent="0.25">
      <c r="F1648" s="85"/>
      <c r="I1648" s="85"/>
    </row>
    <row r="1649" spans="6:9" x14ac:dyDescent="0.25">
      <c r="F1649" s="85"/>
      <c r="I1649" s="85"/>
    </row>
    <row r="1650" spans="6:9" x14ac:dyDescent="0.25">
      <c r="F1650" s="85"/>
      <c r="I1650" s="85"/>
    </row>
    <row r="1651" spans="6:9" x14ac:dyDescent="0.25">
      <c r="F1651" s="85"/>
      <c r="I1651" s="85"/>
    </row>
    <row r="1652" spans="6:9" x14ac:dyDescent="0.25">
      <c r="F1652" s="85"/>
      <c r="I1652" s="85"/>
    </row>
    <row r="1653" spans="6:9" x14ac:dyDescent="0.25">
      <c r="F1653" s="85"/>
      <c r="I1653" s="85"/>
    </row>
    <row r="1654" spans="6:9" x14ac:dyDescent="0.25">
      <c r="F1654" s="85"/>
      <c r="I1654" s="85"/>
    </row>
    <row r="1655" spans="6:9" x14ac:dyDescent="0.25">
      <c r="F1655" s="85"/>
      <c r="I1655" s="85"/>
    </row>
    <row r="1656" spans="6:9" x14ac:dyDescent="0.25">
      <c r="F1656" s="85"/>
      <c r="I1656" s="85"/>
    </row>
    <row r="1657" spans="6:9" x14ac:dyDescent="0.25">
      <c r="F1657" s="85"/>
      <c r="I1657" s="85"/>
    </row>
    <row r="1658" spans="6:9" x14ac:dyDescent="0.25">
      <c r="F1658" s="85"/>
      <c r="I1658" s="85"/>
    </row>
    <row r="1659" spans="6:9" x14ac:dyDescent="0.25">
      <c r="F1659" s="85"/>
      <c r="I1659" s="85"/>
    </row>
    <row r="1660" spans="6:9" x14ac:dyDescent="0.25">
      <c r="F1660" s="85"/>
      <c r="I1660" s="85"/>
    </row>
    <row r="1661" spans="6:9" x14ac:dyDescent="0.25">
      <c r="F1661" s="85"/>
      <c r="I1661" s="85"/>
    </row>
    <row r="1662" spans="6:9" x14ac:dyDescent="0.25">
      <c r="F1662" s="85"/>
      <c r="I1662" s="85"/>
    </row>
    <row r="1663" spans="6:9" x14ac:dyDescent="0.25">
      <c r="F1663" s="85"/>
      <c r="I1663" s="85"/>
    </row>
    <row r="1664" spans="6:9" x14ac:dyDescent="0.25">
      <c r="F1664" s="85"/>
      <c r="I1664" s="85"/>
    </row>
    <row r="1665" spans="6:9" x14ac:dyDescent="0.25">
      <c r="F1665" s="85"/>
      <c r="I1665" s="85"/>
    </row>
    <row r="1666" spans="6:9" x14ac:dyDescent="0.25">
      <c r="F1666" s="85"/>
      <c r="I1666" s="85"/>
    </row>
    <row r="1667" spans="6:9" x14ac:dyDescent="0.25">
      <c r="F1667" s="85"/>
      <c r="I1667" s="85"/>
    </row>
    <row r="1668" spans="6:9" x14ac:dyDescent="0.25">
      <c r="F1668" s="85"/>
      <c r="I1668" s="85"/>
    </row>
    <row r="1669" spans="6:9" x14ac:dyDescent="0.25">
      <c r="F1669" s="85"/>
      <c r="I1669" s="85"/>
    </row>
    <row r="1670" spans="6:9" x14ac:dyDescent="0.25">
      <c r="F1670" s="85"/>
      <c r="I1670" s="85"/>
    </row>
    <row r="1671" spans="6:9" x14ac:dyDescent="0.25">
      <c r="F1671" s="85"/>
      <c r="I1671" s="85"/>
    </row>
    <row r="1672" spans="6:9" x14ac:dyDescent="0.25">
      <c r="F1672" s="85"/>
      <c r="I1672" s="85"/>
    </row>
    <row r="1673" spans="6:9" x14ac:dyDescent="0.25">
      <c r="F1673" s="85"/>
      <c r="I1673" s="85"/>
    </row>
    <row r="1674" spans="6:9" x14ac:dyDescent="0.25">
      <c r="F1674" s="85"/>
      <c r="I1674" s="85"/>
    </row>
    <row r="1675" spans="6:9" x14ac:dyDescent="0.25">
      <c r="F1675" s="85"/>
      <c r="I1675" s="85"/>
    </row>
    <row r="1676" spans="6:9" x14ac:dyDescent="0.25">
      <c r="F1676" s="85"/>
      <c r="I1676" s="85"/>
    </row>
    <row r="1677" spans="6:9" x14ac:dyDescent="0.25">
      <c r="F1677" s="85"/>
      <c r="I1677" s="85"/>
    </row>
    <row r="1678" spans="6:9" x14ac:dyDescent="0.25">
      <c r="F1678" s="85"/>
      <c r="I1678" s="85"/>
    </row>
    <row r="1679" spans="6:9" x14ac:dyDescent="0.25">
      <c r="F1679" s="85"/>
      <c r="I1679" s="85"/>
    </row>
    <row r="1680" spans="6:9" x14ac:dyDescent="0.25">
      <c r="F1680" s="85"/>
      <c r="I1680" s="85"/>
    </row>
    <row r="1681" spans="6:9" x14ac:dyDescent="0.25">
      <c r="F1681" s="85"/>
      <c r="I1681" s="85"/>
    </row>
    <row r="1682" spans="6:9" x14ac:dyDescent="0.25">
      <c r="F1682" s="85"/>
      <c r="I1682" s="85"/>
    </row>
    <row r="1683" spans="6:9" x14ac:dyDescent="0.25">
      <c r="F1683" s="85"/>
      <c r="I1683" s="85"/>
    </row>
    <row r="1684" spans="6:9" x14ac:dyDescent="0.25">
      <c r="F1684" s="85"/>
      <c r="I1684" s="85"/>
    </row>
    <row r="1685" spans="6:9" x14ac:dyDescent="0.25">
      <c r="F1685" s="85"/>
      <c r="I1685" s="85"/>
    </row>
    <row r="1686" spans="6:9" x14ac:dyDescent="0.25">
      <c r="F1686" s="85"/>
      <c r="I1686" s="85"/>
    </row>
    <row r="1687" spans="6:9" x14ac:dyDescent="0.25">
      <c r="F1687" s="85"/>
      <c r="I1687" s="85"/>
    </row>
    <row r="1688" spans="6:9" x14ac:dyDescent="0.25">
      <c r="F1688" s="85"/>
      <c r="I1688" s="85"/>
    </row>
    <row r="1689" spans="6:9" x14ac:dyDescent="0.25">
      <c r="F1689" s="85"/>
      <c r="I1689" s="85"/>
    </row>
    <row r="1690" spans="6:9" x14ac:dyDescent="0.25">
      <c r="F1690" s="85"/>
      <c r="I1690" s="85"/>
    </row>
    <row r="1691" spans="6:9" x14ac:dyDescent="0.25">
      <c r="F1691" s="85"/>
      <c r="I1691" s="85"/>
    </row>
    <row r="1692" spans="6:9" x14ac:dyDescent="0.25">
      <c r="F1692" s="85"/>
      <c r="I1692" s="85"/>
    </row>
    <row r="1693" spans="6:9" x14ac:dyDescent="0.25">
      <c r="F1693" s="85"/>
      <c r="I1693" s="85"/>
    </row>
    <row r="1694" spans="6:9" x14ac:dyDescent="0.25">
      <c r="F1694" s="85"/>
      <c r="I1694" s="85"/>
    </row>
    <row r="1695" spans="6:9" x14ac:dyDescent="0.25">
      <c r="F1695" s="85"/>
      <c r="I1695" s="85"/>
    </row>
    <row r="1696" spans="6:9" x14ac:dyDescent="0.25">
      <c r="F1696" s="85"/>
      <c r="I1696" s="85"/>
    </row>
    <row r="1697" spans="6:9" x14ac:dyDescent="0.25">
      <c r="F1697" s="85"/>
      <c r="I1697" s="85"/>
    </row>
    <row r="1698" spans="6:9" x14ac:dyDescent="0.25">
      <c r="F1698" s="85"/>
      <c r="I1698" s="85"/>
    </row>
    <row r="1699" spans="6:9" x14ac:dyDescent="0.25">
      <c r="F1699" s="85"/>
      <c r="I1699" s="85"/>
    </row>
    <row r="1700" spans="6:9" x14ac:dyDescent="0.25">
      <c r="F1700" s="85"/>
      <c r="I1700" s="85"/>
    </row>
    <row r="1701" spans="6:9" x14ac:dyDescent="0.25">
      <c r="F1701" s="85"/>
      <c r="I1701" s="85"/>
    </row>
    <row r="1702" spans="6:9" x14ac:dyDescent="0.25">
      <c r="F1702" s="85"/>
      <c r="I1702" s="85"/>
    </row>
    <row r="1703" spans="6:9" x14ac:dyDescent="0.25">
      <c r="F1703" s="85"/>
      <c r="I1703" s="85"/>
    </row>
    <row r="1704" spans="6:9" x14ac:dyDescent="0.25">
      <c r="F1704" s="85"/>
      <c r="I1704" s="85"/>
    </row>
    <row r="1705" spans="6:9" x14ac:dyDescent="0.25">
      <c r="F1705" s="85"/>
      <c r="I1705" s="85"/>
    </row>
    <row r="1706" spans="6:9" x14ac:dyDescent="0.25">
      <c r="F1706" s="85"/>
      <c r="I1706" s="85"/>
    </row>
    <row r="1707" spans="6:9" x14ac:dyDescent="0.25">
      <c r="F1707" s="85"/>
      <c r="I1707" s="85"/>
    </row>
    <row r="1708" spans="6:9" x14ac:dyDescent="0.25">
      <c r="F1708" s="85"/>
      <c r="I1708" s="85"/>
    </row>
    <row r="1709" spans="6:9" x14ac:dyDescent="0.25">
      <c r="F1709" s="85"/>
      <c r="I1709" s="85"/>
    </row>
    <row r="1710" spans="6:9" x14ac:dyDescent="0.25">
      <c r="F1710" s="85"/>
      <c r="I1710" s="85"/>
    </row>
    <row r="1711" spans="6:9" x14ac:dyDescent="0.25">
      <c r="F1711" s="85"/>
      <c r="I1711" s="85"/>
    </row>
    <row r="1712" spans="6:9" x14ac:dyDescent="0.25">
      <c r="F1712" s="85"/>
      <c r="I1712" s="85"/>
    </row>
    <row r="1713" spans="6:9" x14ac:dyDescent="0.25">
      <c r="F1713" s="85"/>
      <c r="I1713" s="85"/>
    </row>
    <row r="1714" spans="6:9" x14ac:dyDescent="0.25">
      <c r="F1714" s="85"/>
      <c r="I1714" s="85"/>
    </row>
    <row r="1715" spans="6:9" x14ac:dyDescent="0.25">
      <c r="F1715" s="85"/>
      <c r="I1715" s="85"/>
    </row>
    <row r="1716" spans="6:9" x14ac:dyDescent="0.25">
      <c r="F1716" s="85"/>
      <c r="I1716" s="85"/>
    </row>
    <row r="1717" spans="6:9" x14ac:dyDescent="0.25">
      <c r="F1717" s="85"/>
      <c r="I1717" s="85"/>
    </row>
    <row r="1718" spans="6:9" x14ac:dyDescent="0.25">
      <c r="F1718" s="85"/>
      <c r="I1718" s="85"/>
    </row>
    <row r="1719" spans="6:9" x14ac:dyDescent="0.25">
      <c r="F1719" s="85"/>
      <c r="I1719" s="85"/>
    </row>
    <row r="1720" spans="6:9" x14ac:dyDescent="0.25">
      <c r="F1720" s="85"/>
      <c r="I1720" s="85"/>
    </row>
    <row r="1721" spans="6:9" x14ac:dyDescent="0.25">
      <c r="F1721" s="85"/>
      <c r="I1721" s="85"/>
    </row>
    <row r="1722" spans="6:9" x14ac:dyDescent="0.25">
      <c r="F1722" s="85"/>
      <c r="I1722" s="85"/>
    </row>
    <row r="1723" spans="6:9" x14ac:dyDescent="0.25">
      <c r="F1723" s="85"/>
      <c r="I1723" s="85"/>
    </row>
    <row r="1724" spans="6:9" x14ac:dyDescent="0.25">
      <c r="F1724" s="85"/>
      <c r="I1724" s="85"/>
    </row>
    <row r="1725" spans="6:9" x14ac:dyDescent="0.25">
      <c r="F1725" s="85"/>
      <c r="I1725" s="85"/>
    </row>
    <row r="1726" spans="6:9" x14ac:dyDescent="0.25">
      <c r="F1726" s="85"/>
      <c r="I1726" s="85"/>
    </row>
    <row r="1727" spans="6:9" x14ac:dyDescent="0.25">
      <c r="F1727" s="85"/>
      <c r="I1727" s="85"/>
    </row>
    <row r="1728" spans="6:9" x14ac:dyDescent="0.25">
      <c r="F1728" s="85"/>
      <c r="I1728" s="85"/>
    </row>
    <row r="1729" spans="6:9" x14ac:dyDescent="0.25">
      <c r="F1729" s="85"/>
      <c r="I1729" s="85"/>
    </row>
    <row r="1730" spans="6:9" x14ac:dyDescent="0.25">
      <c r="F1730" s="85"/>
      <c r="I1730" s="85"/>
    </row>
    <row r="1731" spans="6:9" x14ac:dyDescent="0.25">
      <c r="F1731" s="85"/>
      <c r="I1731" s="85"/>
    </row>
    <row r="1732" spans="6:9" x14ac:dyDescent="0.25">
      <c r="F1732" s="85"/>
      <c r="I1732" s="85"/>
    </row>
    <row r="1733" spans="6:9" x14ac:dyDescent="0.25">
      <c r="F1733" s="85"/>
      <c r="I1733" s="85"/>
    </row>
    <row r="1734" spans="6:9" x14ac:dyDescent="0.25">
      <c r="F1734" s="85"/>
      <c r="I1734" s="85"/>
    </row>
    <row r="1735" spans="6:9" x14ac:dyDescent="0.25">
      <c r="F1735" s="85"/>
      <c r="I1735" s="85"/>
    </row>
    <row r="1736" spans="6:9" x14ac:dyDescent="0.25">
      <c r="F1736" s="85"/>
      <c r="I1736" s="85"/>
    </row>
    <row r="1737" spans="6:9" x14ac:dyDescent="0.25">
      <c r="F1737" s="85"/>
      <c r="I1737" s="85"/>
    </row>
    <row r="1738" spans="6:9" x14ac:dyDescent="0.25">
      <c r="F1738" s="85"/>
      <c r="I1738" s="85"/>
    </row>
    <row r="1739" spans="6:9" x14ac:dyDescent="0.25">
      <c r="F1739" s="85"/>
      <c r="I1739" s="85"/>
    </row>
    <row r="1740" spans="6:9" x14ac:dyDescent="0.25">
      <c r="F1740" s="85"/>
      <c r="I1740" s="85"/>
    </row>
    <row r="1741" spans="6:9" x14ac:dyDescent="0.25">
      <c r="F1741" s="85"/>
      <c r="I1741" s="85"/>
    </row>
    <row r="1742" spans="6:9" x14ac:dyDescent="0.25">
      <c r="F1742" s="85"/>
      <c r="I1742" s="85"/>
    </row>
    <row r="1743" spans="6:9" x14ac:dyDescent="0.25">
      <c r="F1743" s="85"/>
      <c r="I1743" s="85"/>
    </row>
    <row r="1744" spans="6:9" x14ac:dyDescent="0.25">
      <c r="F1744" s="85"/>
      <c r="I1744" s="85"/>
    </row>
    <row r="1745" spans="6:9" x14ac:dyDescent="0.25">
      <c r="F1745" s="85"/>
      <c r="I1745" s="85"/>
    </row>
    <row r="1746" spans="6:9" x14ac:dyDescent="0.25">
      <c r="F1746" s="85"/>
      <c r="I1746" s="85"/>
    </row>
    <row r="1747" spans="6:9" x14ac:dyDescent="0.25">
      <c r="F1747" s="85"/>
      <c r="I1747" s="85"/>
    </row>
    <row r="1748" spans="6:9" x14ac:dyDescent="0.25">
      <c r="F1748" s="85"/>
      <c r="I1748" s="85"/>
    </row>
    <row r="1749" spans="6:9" x14ac:dyDescent="0.25">
      <c r="F1749" s="85"/>
      <c r="I1749" s="85"/>
    </row>
    <row r="1750" spans="6:9" x14ac:dyDescent="0.25">
      <c r="F1750" s="85"/>
      <c r="I1750" s="85"/>
    </row>
    <row r="1751" spans="6:9" x14ac:dyDescent="0.25">
      <c r="F1751" s="85"/>
      <c r="I1751" s="85"/>
    </row>
    <row r="1752" spans="6:9" x14ac:dyDescent="0.25">
      <c r="F1752" s="85"/>
      <c r="I1752" s="85"/>
    </row>
    <row r="1753" spans="6:9" x14ac:dyDescent="0.25">
      <c r="F1753" s="85"/>
      <c r="I1753" s="85"/>
    </row>
    <row r="1754" spans="6:9" x14ac:dyDescent="0.25">
      <c r="F1754" s="85"/>
      <c r="I1754" s="85"/>
    </row>
    <row r="1755" spans="6:9" x14ac:dyDescent="0.25">
      <c r="F1755" s="85"/>
      <c r="I1755" s="85"/>
    </row>
    <row r="1756" spans="6:9" x14ac:dyDescent="0.25">
      <c r="F1756" s="85"/>
      <c r="I1756" s="85"/>
    </row>
    <row r="1757" spans="6:9" x14ac:dyDescent="0.25">
      <c r="F1757" s="85"/>
      <c r="I1757" s="85"/>
    </row>
    <row r="1758" spans="6:9" x14ac:dyDescent="0.25">
      <c r="F1758" s="85"/>
      <c r="I1758" s="85"/>
    </row>
    <row r="1759" spans="6:9" x14ac:dyDescent="0.25">
      <c r="F1759" s="85"/>
      <c r="I1759" s="85"/>
    </row>
    <row r="1760" spans="6:9" x14ac:dyDescent="0.25">
      <c r="F1760" s="85"/>
      <c r="I1760" s="85"/>
    </row>
    <row r="1761" spans="6:9" x14ac:dyDescent="0.25">
      <c r="F1761" s="85"/>
      <c r="I1761" s="85"/>
    </row>
    <row r="1762" spans="6:9" x14ac:dyDescent="0.25">
      <c r="F1762" s="85"/>
      <c r="I1762" s="85"/>
    </row>
    <row r="1763" spans="6:9" x14ac:dyDescent="0.25">
      <c r="F1763" s="85"/>
      <c r="I1763" s="85"/>
    </row>
    <row r="1764" spans="6:9" x14ac:dyDescent="0.25">
      <c r="F1764" s="85"/>
      <c r="I1764" s="85"/>
    </row>
    <row r="1765" spans="6:9" x14ac:dyDescent="0.25">
      <c r="F1765" s="85"/>
      <c r="I1765" s="85"/>
    </row>
    <row r="1766" spans="6:9" x14ac:dyDescent="0.25">
      <c r="F1766" s="85"/>
      <c r="I1766" s="85"/>
    </row>
    <row r="1767" spans="6:9" x14ac:dyDescent="0.25">
      <c r="F1767" s="85"/>
      <c r="I1767" s="85"/>
    </row>
    <row r="1768" spans="6:9" x14ac:dyDescent="0.25">
      <c r="F1768" s="85"/>
      <c r="I1768" s="85"/>
    </row>
    <row r="1769" spans="6:9" x14ac:dyDescent="0.25">
      <c r="F1769" s="85"/>
      <c r="I1769" s="85"/>
    </row>
    <row r="1770" spans="6:9" x14ac:dyDescent="0.25">
      <c r="F1770" s="85"/>
      <c r="I1770" s="85"/>
    </row>
    <row r="1771" spans="6:9" x14ac:dyDescent="0.25">
      <c r="F1771" s="85"/>
      <c r="I1771" s="85"/>
    </row>
    <row r="1772" spans="6:9" x14ac:dyDescent="0.25">
      <c r="F1772" s="85"/>
      <c r="I1772" s="85"/>
    </row>
    <row r="1773" spans="6:9" x14ac:dyDescent="0.25">
      <c r="F1773" s="85"/>
      <c r="I1773" s="85"/>
    </row>
    <row r="1774" spans="6:9" x14ac:dyDescent="0.25">
      <c r="F1774" s="85"/>
      <c r="I1774" s="85"/>
    </row>
    <row r="1775" spans="6:9" x14ac:dyDescent="0.25">
      <c r="F1775" s="85"/>
      <c r="I1775" s="85"/>
    </row>
    <row r="1776" spans="6:9" x14ac:dyDescent="0.25">
      <c r="F1776" s="85"/>
      <c r="I1776" s="85"/>
    </row>
    <row r="1777" spans="6:9" x14ac:dyDescent="0.25">
      <c r="F1777" s="85"/>
      <c r="I1777" s="85"/>
    </row>
    <row r="1778" spans="6:9" x14ac:dyDescent="0.25">
      <c r="F1778" s="85"/>
      <c r="I1778" s="85"/>
    </row>
    <row r="1779" spans="6:9" x14ac:dyDescent="0.25">
      <c r="F1779" s="85"/>
      <c r="I1779" s="85"/>
    </row>
    <row r="1780" spans="6:9" x14ac:dyDescent="0.25">
      <c r="F1780" s="85"/>
      <c r="I1780" s="85"/>
    </row>
    <row r="1781" spans="6:9" x14ac:dyDescent="0.25">
      <c r="F1781" s="85"/>
      <c r="I1781" s="85"/>
    </row>
    <row r="1782" spans="6:9" x14ac:dyDescent="0.25">
      <c r="F1782" s="85"/>
      <c r="I1782" s="85"/>
    </row>
    <row r="1783" spans="6:9" x14ac:dyDescent="0.25">
      <c r="F1783" s="85"/>
      <c r="I1783" s="85"/>
    </row>
    <row r="1784" spans="6:9" x14ac:dyDescent="0.25">
      <c r="F1784" s="85"/>
      <c r="I1784" s="85"/>
    </row>
    <row r="1785" spans="6:9" x14ac:dyDescent="0.25">
      <c r="F1785" s="85"/>
      <c r="I1785" s="85"/>
    </row>
    <row r="1786" spans="6:9" x14ac:dyDescent="0.25">
      <c r="F1786" s="85"/>
      <c r="I1786" s="85"/>
    </row>
    <row r="1787" spans="6:9" x14ac:dyDescent="0.25">
      <c r="F1787" s="85"/>
      <c r="I1787" s="85"/>
    </row>
    <row r="1788" spans="6:9" x14ac:dyDescent="0.25">
      <c r="F1788" s="85"/>
      <c r="I1788" s="85"/>
    </row>
    <row r="1789" spans="6:9" x14ac:dyDescent="0.25">
      <c r="F1789" s="85"/>
      <c r="I1789" s="85"/>
    </row>
    <row r="1790" spans="6:9" x14ac:dyDescent="0.25">
      <c r="F1790" s="85"/>
      <c r="I1790" s="85"/>
    </row>
    <row r="1791" spans="6:9" x14ac:dyDescent="0.25">
      <c r="F1791" s="85"/>
      <c r="I1791" s="85"/>
    </row>
    <row r="1792" spans="6:9" x14ac:dyDescent="0.25">
      <c r="F1792" s="85"/>
      <c r="I1792" s="85"/>
    </row>
    <row r="1793" spans="6:9" x14ac:dyDescent="0.25">
      <c r="F1793" s="85"/>
      <c r="I1793" s="85"/>
    </row>
    <row r="1794" spans="6:9" x14ac:dyDescent="0.25">
      <c r="F1794" s="85"/>
      <c r="I1794" s="85"/>
    </row>
    <row r="1795" spans="6:9" x14ac:dyDescent="0.25">
      <c r="F1795" s="85"/>
      <c r="I1795" s="85"/>
    </row>
    <row r="1796" spans="6:9" x14ac:dyDescent="0.25">
      <c r="F1796" s="85"/>
      <c r="I1796" s="85"/>
    </row>
    <row r="1797" spans="6:9" x14ac:dyDescent="0.25">
      <c r="F1797" s="85"/>
      <c r="I1797" s="85"/>
    </row>
    <row r="1798" spans="6:9" x14ac:dyDescent="0.25">
      <c r="F1798" s="85"/>
      <c r="I1798" s="85"/>
    </row>
    <row r="1799" spans="6:9" x14ac:dyDescent="0.25">
      <c r="F1799" s="85"/>
      <c r="I1799" s="85"/>
    </row>
    <row r="1800" spans="6:9" x14ac:dyDescent="0.25">
      <c r="F1800" s="85"/>
      <c r="I1800" s="85"/>
    </row>
    <row r="1801" spans="6:9" x14ac:dyDescent="0.25">
      <c r="F1801" s="85"/>
      <c r="I1801" s="85"/>
    </row>
    <row r="1802" spans="6:9" x14ac:dyDescent="0.25">
      <c r="F1802" s="85"/>
      <c r="I1802" s="85"/>
    </row>
    <row r="1803" spans="6:9" x14ac:dyDescent="0.25">
      <c r="F1803" s="85"/>
      <c r="I1803" s="85"/>
    </row>
    <row r="1804" spans="6:9" x14ac:dyDescent="0.25">
      <c r="F1804" s="85"/>
      <c r="I1804" s="85"/>
    </row>
    <row r="1805" spans="6:9" x14ac:dyDescent="0.25">
      <c r="F1805" s="85"/>
      <c r="I1805" s="85"/>
    </row>
    <row r="1806" spans="6:9" x14ac:dyDescent="0.25">
      <c r="F1806" s="85"/>
      <c r="I1806" s="85"/>
    </row>
    <row r="1807" spans="6:9" x14ac:dyDescent="0.25">
      <c r="F1807" s="85"/>
      <c r="I1807" s="85"/>
    </row>
    <row r="1808" spans="6:9" x14ac:dyDescent="0.25">
      <c r="F1808" s="85"/>
      <c r="I1808" s="85"/>
    </row>
    <row r="1809" spans="6:9" x14ac:dyDescent="0.25">
      <c r="F1809" s="85"/>
      <c r="I1809" s="85"/>
    </row>
    <row r="1810" spans="6:9" x14ac:dyDescent="0.25">
      <c r="F1810" s="85"/>
      <c r="I1810" s="85"/>
    </row>
    <row r="1811" spans="6:9" x14ac:dyDescent="0.25">
      <c r="F1811" s="85"/>
      <c r="I1811" s="85"/>
    </row>
    <row r="1812" spans="6:9" x14ac:dyDescent="0.25">
      <c r="F1812" s="85"/>
      <c r="I1812" s="85"/>
    </row>
    <row r="1813" spans="6:9" x14ac:dyDescent="0.25">
      <c r="F1813" s="85"/>
      <c r="I1813" s="85"/>
    </row>
    <row r="1814" spans="6:9" x14ac:dyDescent="0.25">
      <c r="F1814" s="85"/>
      <c r="I1814" s="85"/>
    </row>
    <row r="1815" spans="6:9" x14ac:dyDescent="0.25">
      <c r="F1815" s="85"/>
      <c r="I1815" s="85"/>
    </row>
    <row r="1816" spans="6:9" x14ac:dyDescent="0.25">
      <c r="F1816" s="85"/>
      <c r="I1816" s="85"/>
    </row>
    <row r="1817" spans="6:9" x14ac:dyDescent="0.25">
      <c r="F1817" s="85"/>
      <c r="I1817" s="85"/>
    </row>
    <row r="1818" spans="6:9" x14ac:dyDescent="0.25">
      <c r="F1818" s="85"/>
      <c r="I1818" s="85"/>
    </row>
    <row r="1819" spans="6:9" x14ac:dyDescent="0.25">
      <c r="F1819" s="85"/>
      <c r="I1819" s="85"/>
    </row>
    <row r="1820" spans="6:9" x14ac:dyDescent="0.25">
      <c r="F1820" s="85"/>
      <c r="I1820" s="85"/>
    </row>
    <row r="1821" spans="6:9" x14ac:dyDescent="0.25">
      <c r="F1821" s="85"/>
      <c r="I1821" s="85"/>
    </row>
    <row r="1822" spans="6:9" x14ac:dyDescent="0.25">
      <c r="F1822" s="85"/>
      <c r="I1822" s="85"/>
    </row>
    <row r="1823" spans="6:9" x14ac:dyDescent="0.25">
      <c r="F1823" s="85"/>
      <c r="I1823" s="85"/>
    </row>
    <row r="1824" spans="6:9" x14ac:dyDescent="0.25">
      <c r="F1824" s="85"/>
      <c r="I1824" s="85"/>
    </row>
    <row r="1825" spans="6:9" x14ac:dyDescent="0.25">
      <c r="F1825" s="85"/>
      <c r="I1825" s="85"/>
    </row>
    <row r="1826" spans="6:9" x14ac:dyDescent="0.25">
      <c r="F1826" s="85"/>
      <c r="I1826" s="85"/>
    </row>
    <row r="1827" spans="6:9" x14ac:dyDescent="0.25">
      <c r="F1827" s="85"/>
      <c r="I1827" s="85"/>
    </row>
    <row r="1828" spans="6:9" x14ac:dyDescent="0.25">
      <c r="F1828" s="85"/>
      <c r="I1828" s="85"/>
    </row>
    <row r="1829" spans="6:9" x14ac:dyDescent="0.25">
      <c r="F1829" s="85"/>
      <c r="I1829" s="85"/>
    </row>
    <row r="1830" spans="6:9" x14ac:dyDescent="0.25">
      <c r="F1830" s="85"/>
      <c r="I1830" s="85"/>
    </row>
    <row r="1831" spans="6:9" x14ac:dyDescent="0.25">
      <c r="F1831" s="85"/>
      <c r="I1831" s="85"/>
    </row>
    <row r="1832" spans="6:9" x14ac:dyDescent="0.25">
      <c r="F1832" s="85"/>
      <c r="I1832" s="85"/>
    </row>
    <row r="1833" spans="6:9" x14ac:dyDescent="0.25">
      <c r="F1833" s="85"/>
      <c r="I1833" s="85"/>
    </row>
    <row r="1834" spans="6:9" x14ac:dyDescent="0.25">
      <c r="F1834" s="85"/>
      <c r="I1834" s="85"/>
    </row>
    <row r="1835" spans="6:9" x14ac:dyDescent="0.25">
      <c r="F1835" s="85"/>
      <c r="I1835" s="85"/>
    </row>
    <row r="1836" spans="6:9" x14ac:dyDescent="0.25">
      <c r="F1836" s="85"/>
      <c r="I1836" s="85"/>
    </row>
    <row r="1837" spans="6:9" x14ac:dyDescent="0.25">
      <c r="F1837" s="85"/>
      <c r="I1837" s="85"/>
    </row>
    <row r="1838" spans="6:9" x14ac:dyDescent="0.25">
      <c r="F1838" s="85"/>
      <c r="I1838" s="85"/>
    </row>
    <row r="1839" spans="6:9" x14ac:dyDescent="0.25">
      <c r="F1839" s="85"/>
      <c r="I1839" s="85"/>
    </row>
    <row r="1840" spans="6:9" x14ac:dyDescent="0.25">
      <c r="F1840" s="85"/>
      <c r="I1840" s="85"/>
    </row>
    <row r="1841" spans="6:9" x14ac:dyDescent="0.25">
      <c r="F1841" s="85"/>
      <c r="I1841" s="85"/>
    </row>
    <row r="1842" spans="6:9" x14ac:dyDescent="0.25">
      <c r="F1842" s="85"/>
      <c r="I1842" s="85"/>
    </row>
    <row r="1843" spans="6:9" x14ac:dyDescent="0.25">
      <c r="F1843" s="85"/>
      <c r="I1843" s="85"/>
    </row>
    <row r="1844" spans="6:9" x14ac:dyDescent="0.25">
      <c r="F1844" s="85"/>
      <c r="I1844" s="85"/>
    </row>
    <row r="1845" spans="6:9" x14ac:dyDescent="0.25">
      <c r="F1845" s="85"/>
      <c r="I1845" s="85"/>
    </row>
    <row r="1846" spans="6:9" x14ac:dyDescent="0.25">
      <c r="F1846" s="85"/>
      <c r="I1846" s="85"/>
    </row>
    <row r="1847" spans="6:9" x14ac:dyDescent="0.25">
      <c r="F1847" s="85"/>
      <c r="I1847" s="85"/>
    </row>
    <row r="1848" spans="6:9" x14ac:dyDescent="0.25">
      <c r="F1848" s="85"/>
      <c r="I1848" s="85"/>
    </row>
    <row r="1849" spans="6:9" x14ac:dyDescent="0.25">
      <c r="F1849" s="85"/>
      <c r="I1849" s="85"/>
    </row>
    <row r="1850" spans="6:9" x14ac:dyDescent="0.25">
      <c r="F1850" s="85"/>
      <c r="I1850" s="85"/>
    </row>
    <row r="1851" spans="6:9" x14ac:dyDescent="0.25">
      <c r="F1851" s="85"/>
      <c r="I1851" s="85"/>
    </row>
    <row r="1852" spans="6:9" x14ac:dyDescent="0.25">
      <c r="F1852" s="85"/>
      <c r="I1852" s="85"/>
    </row>
    <row r="1853" spans="6:9" x14ac:dyDescent="0.25">
      <c r="F1853" s="85"/>
      <c r="I1853" s="85"/>
    </row>
    <row r="1854" spans="6:9" x14ac:dyDescent="0.25">
      <c r="F1854" s="85"/>
      <c r="I1854" s="85"/>
    </row>
    <row r="1855" spans="6:9" x14ac:dyDescent="0.25">
      <c r="F1855" s="85"/>
      <c r="I1855" s="85"/>
    </row>
    <row r="1856" spans="6:9" x14ac:dyDescent="0.25">
      <c r="F1856" s="85"/>
      <c r="I1856" s="85"/>
    </row>
    <row r="1857" spans="6:9" x14ac:dyDescent="0.25">
      <c r="F1857" s="85"/>
      <c r="I1857" s="85"/>
    </row>
    <row r="1858" spans="6:9" x14ac:dyDescent="0.25">
      <c r="F1858" s="85"/>
      <c r="I1858" s="85"/>
    </row>
    <row r="1859" spans="6:9" x14ac:dyDescent="0.25">
      <c r="F1859" s="85"/>
      <c r="I1859" s="85"/>
    </row>
    <row r="1860" spans="6:9" x14ac:dyDescent="0.25">
      <c r="F1860" s="85"/>
      <c r="I1860" s="85"/>
    </row>
    <row r="1861" spans="6:9" x14ac:dyDescent="0.25">
      <c r="F1861" s="85"/>
      <c r="I1861" s="85"/>
    </row>
    <row r="1862" spans="6:9" x14ac:dyDescent="0.25">
      <c r="F1862" s="85"/>
      <c r="I1862" s="85"/>
    </row>
    <row r="1863" spans="6:9" x14ac:dyDescent="0.25">
      <c r="F1863" s="85"/>
      <c r="I1863" s="85"/>
    </row>
    <row r="1864" spans="6:9" x14ac:dyDescent="0.25">
      <c r="F1864" s="85"/>
      <c r="I1864" s="85"/>
    </row>
    <row r="1865" spans="6:9" x14ac:dyDescent="0.25">
      <c r="F1865" s="85"/>
      <c r="I1865" s="85"/>
    </row>
    <row r="1866" spans="6:9" x14ac:dyDescent="0.25">
      <c r="F1866" s="85"/>
      <c r="I1866" s="85"/>
    </row>
    <row r="1867" spans="6:9" x14ac:dyDescent="0.25">
      <c r="F1867" s="85"/>
      <c r="I1867" s="85"/>
    </row>
    <row r="1868" spans="6:9" x14ac:dyDescent="0.25">
      <c r="F1868" s="85"/>
      <c r="I1868" s="85"/>
    </row>
    <row r="1869" spans="6:9" x14ac:dyDescent="0.25">
      <c r="F1869" s="85"/>
      <c r="I1869" s="85"/>
    </row>
    <row r="1870" spans="6:9" x14ac:dyDescent="0.25">
      <c r="F1870" s="85"/>
      <c r="I1870" s="85"/>
    </row>
    <row r="1871" spans="6:9" x14ac:dyDescent="0.25">
      <c r="F1871" s="85"/>
      <c r="I1871" s="85"/>
    </row>
    <row r="1872" spans="6:9" x14ac:dyDescent="0.25">
      <c r="F1872" s="85"/>
      <c r="I1872" s="85"/>
    </row>
    <row r="1873" spans="6:9" x14ac:dyDescent="0.25">
      <c r="F1873" s="85"/>
      <c r="I1873" s="85"/>
    </row>
    <row r="1874" spans="6:9" x14ac:dyDescent="0.25">
      <c r="F1874" s="85"/>
      <c r="I1874" s="85"/>
    </row>
    <row r="1875" spans="6:9" x14ac:dyDescent="0.25">
      <c r="F1875" s="85"/>
      <c r="I1875" s="85"/>
    </row>
    <row r="1876" spans="6:9" x14ac:dyDescent="0.25">
      <c r="F1876" s="85"/>
      <c r="I1876" s="85"/>
    </row>
    <row r="1877" spans="6:9" x14ac:dyDescent="0.25">
      <c r="F1877" s="85"/>
      <c r="I1877" s="85"/>
    </row>
    <row r="1878" spans="6:9" x14ac:dyDescent="0.25">
      <c r="F1878" s="85"/>
      <c r="I1878" s="85"/>
    </row>
    <row r="1879" spans="6:9" x14ac:dyDescent="0.25">
      <c r="F1879" s="85"/>
      <c r="I1879" s="85"/>
    </row>
    <row r="1880" spans="6:9" x14ac:dyDescent="0.25">
      <c r="F1880" s="85"/>
      <c r="I1880" s="85"/>
    </row>
    <row r="1881" spans="6:9" x14ac:dyDescent="0.25">
      <c r="F1881" s="85"/>
      <c r="I1881" s="85"/>
    </row>
    <row r="1882" spans="6:9" x14ac:dyDescent="0.25">
      <c r="F1882" s="85"/>
      <c r="I1882" s="85"/>
    </row>
    <row r="1883" spans="6:9" x14ac:dyDescent="0.25">
      <c r="F1883" s="85"/>
      <c r="I1883" s="85"/>
    </row>
    <row r="1884" spans="6:9" x14ac:dyDescent="0.25">
      <c r="F1884" s="85"/>
      <c r="I1884" s="85"/>
    </row>
    <row r="1885" spans="6:9" x14ac:dyDescent="0.25">
      <c r="F1885" s="85"/>
      <c r="I1885" s="85"/>
    </row>
    <row r="1886" spans="6:9" x14ac:dyDescent="0.25">
      <c r="F1886" s="85"/>
      <c r="I1886" s="85"/>
    </row>
    <row r="1887" spans="6:9" x14ac:dyDescent="0.25">
      <c r="F1887" s="85"/>
      <c r="I1887" s="85"/>
    </row>
    <row r="1888" spans="6:9" x14ac:dyDescent="0.25">
      <c r="F1888" s="85"/>
      <c r="I1888" s="85"/>
    </row>
    <row r="1889" spans="6:9" x14ac:dyDescent="0.25">
      <c r="F1889" s="85"/>
      <c r="I1889" s="85"/>
    </row>
    <row r="1890" spans="6:9" x14ac:dyDescent="0.25">
      <c r="F1890" s="85"/>
      <c r="I1890" s="85"/>
    </row>
    <row r="1891" spans="6:9" x14ac:dyDescent="0.25">
      <c r="F1891" s="85"/>
      <c r="I1891" s="85"/>
    </row>
    <row r="1892" spans="6:9" x14ac:dyDescent="0.25">
      <c r="F1892" s="85"/>
      <c r="I1892" s="85"/>
    </row>
    <row r="1893" spans="6:9" x14ac:dyDescent="0.25">
      <c r="F1893" s="85"/>
      <c r="I1893" s="85"/>
    </row>
    <row r="1894" spans="6:9" x14ac:dyDescent="0.25">
      <c r="F1894" s="85"/>
      <c r="I1894" s="85"/>
    </row>
    <row r="1895" spans="6:9" x14ac:dyDescent="0.25">
      <c r="F1895" s="85"/>
      <c r="I1895" s="85"/>
    </row>
    <row r="1896" spans="6:9" x14ac:dyDescent="0.25">
      <c r="F1896" s="85"/>
      <c r="I1896" s="85"/>
    </row>
    <row r="1897" spans="6:9" x14ac:dyDescent="0.25">
      <c r="F1897" s="85"/>
      <c r="I1897" s="85"/>
    </row>
    <row r="1898" spans="6:9" x14ac:dyDescent="0.25">
      <c r="F1898" s="85"/>
      <c r="I1898" s="85"/>
    </row>
    <row r="1899" spans="6:9" x14ac:dyDescent="0.25">
      <c r="F1899" s="85"/>
      <c r="I1899" s="85"/>
    </row>
    <row r="1900" spans="6:9" x14ac:dyDescent="0.25">
      <c r="F1900" s="85"/>
      <c r="I1900" s="85"/>
    </row>
    <row r="1901" spans="6:9" x14ac:dyDescent="0.25">
      <c r="F1901" s="85"/>
      <c r="I1901" s="85"/>
    </row>
    <row r="1902" spans="6:9" x14ac:dyDescent="0.25">
      <c r="F1902" s="85"/>
      <c r="I1902" s="85"/>
    </row>
    <row r="1903" spans="6:9" x14ac:dyDescent="0.25">
      <c r="F1903" s="85"/>
      <c r="I1903" s="85"/>
    </row>
    <row r="1904" spans="6:9" x14ac:dyDescent="0.25">
      <c r="F1904" s="85"/>
      <c r="I1904" s="85"/>
    </row>
    <row r="1905" spans="6:9" x14ac:dyDescent="0.25">
      <c r="F1905" s="85"/>
      <c r="I1905" s="85"/>
    </row>
    <row r="1906" spans="6:9" x14ac:dyDescent="0.25">
      <c r="F1906" s="85"/>
      <c r="I1906" s="85"/>
    </row>
    <row r="1907" spans="6:9" x14ac:dyDescent="0.25">
      <c r="F1907" s="85"/>
      <c r="I1907" s="85"/>
    </row>
    <row r="1908" spans="6:9" x14ac:dyDescent="0.25">
      <c r="F1908" s="85"/>
      <c r="I1908" s="85"/>
    </row>
    <row r="1909" spans="6:9" x14ac:dyDescent="0.25">
      <c r="F1909" s="85"/>
      <c r="I1909" s="85"/>
    </row>
    <row r="1910" spans="6:9" x14ac:dyDescent="0.25">
      <c r="F1910" s="85"/>
      <c r="I1910" s="85"/>
    </row>
    <row r="1911" spans="6:9" x14ac:dyDescent="0.25">
      <c r="F1911" s="85"/>
      <c r="I1911" s="85"/>
    </row>
    <row r="1912" spans="6:9" x14ac:dyDescent="0.25">
      <c r="F1912" s="85"/>
      <c r="I1912" s="85"/>
    </row>
    <row r="1913" spans="6:9" x14ac:dyDescent="0.25">
      <c r="F1913" s="85"/>
      <c r="I1913" s="85"/>
    </row>
    <row r="1914" spans="6:9" x14ac:dyDescent="0.25">
      <c r="F1914" s="85"/>
      <c r="I1914" s="85"/>
    </row>
    <row r="1915" spans="6:9" x14ac:dyDescent="0.25">
      <c r="F1915" s="85"/>
      <c r="I1915" s="85"/>
    </row>
    <row r="1916" spans="6:9" x14ac:dyDescent="0.25">
      <c r="F1916" s="85"/>
      <c r="I1916" s="85"/>
    </row>
    <row r="1917" spans="6:9" x14ac:dyDescent="0.25">
      <c r="F1917" s="85"/>
      <c r="I1917" s="85"/>
    </row>
    <row r="1918" spans="6:9" x14ac:dyDescent="0.25">
      <c r="F1918" s="85"/>
      <c r="I1918" s="85"/>
    </row>
    <row r="1919" spans="6:9" x14ac:dyDescent="0.25">
      <c r="F1919" s="85"/>
      <c r="I1919" s="85"/>
    </row>
    <row r="1920" spans="6:9" x14ac:dyDescent="0.25">
      <c r="F1920" s="85"/>
      <c r="I1920" s="85"/>
    </row>
    <row r="1921" spans="6:9" x14ac:dyDescent="0.25">
      <c r="F1921" s="85"/>
      <c r="I1921" s="85"/>
    </row>
    <row r="1922" spans="6:9" x14ac:dyDescent="0.25">
      <c r="F1922" s="85"/>
      <c r="I1922" s="85"/>
    </row>
    <row r="1923" spans="6:9" x14ac:dyDescent="0.25">
      <c r="F1923" s="85"/>
      <c r="I1923" s="85"/>
    </row>
    <row r="1924" spans="6:9" x14ac:dyDescent="0.25">
      <c r="F1924" s="85"/>
      <c r="I1924" s="85"/>
    </row>
    <row r="1925" spans="6:9" x14ac:dyDescent="0.25">
      <c r="F1925" s="85"/>
      <c r="I1925" s="85"/>
    </row>
    <row r="1926" spans="6:9" x14ac:dyDescent="0.25">
      <c r="F1926" s="85"/>
      <c r="I1926" s="85"/>
    </row>
    <row r="1927" spans="6:9" x14ac:dyDescent="0.25">
      <c r="F1927" s="85"/>
      <c r="I1927" s="85"/>
    </row>
    <row r="1928" spans="6:9" x14ac:dyDescent="0.25">
      <c r="F1928" s="85"/>
      <c r="I1928" s="85"/>
    </row>
    <row r="1929" spans="6:9" x14ac:dyDescent="0.25">
      <c r="F1929" s="85"/>
      <c r="I1929" s="85"/>
    </row>
    <row r="1930" spans="6:9" x14ac:dyDescent="0.25">
      <c r="F1930" s="85"/>
      <c r="I1930" s="85"/>
    </row>
    <row r="1931" spans="6:9" x14ac:dyDescent="0.25">
      <c r="F1931" s="85"/>
      <c r="I1931" s="85"/>
    </row>
    <row r="1932" spans="6:9" x14ac:dyDescent="0.25">
      <c r="F1932" s="85"/>
      <c r="I1932" s="85"/>
    </row>
    <row r="1933" spans="6:9" x14ac:dyDescent="0.25">
      <c r="F1933" s="85"/>
      <c r="I1933" s="85"/>
    </row>
    <row r="1934" spans="6:9" x14ac:dyDescent="0.25">
      <c r="F1934" s="85"/>
      <c r="I1934" s="85"/>
    </row>
    <row r="1935" spans="6:9" x14ac:dyDescent="0.25">
      <c r="F1935" s="85"/>
      <c r="I1935" s="85"/>
    </row>
    <row r="1936" spans="6:9" x14ac:dyDescent="0.25">
      <c r="F1936" s="85"/>
      <c r="I1936" s="85"/>
    </row>
    <row r="1937" spans="6:9" x14ac:dyDescent="0.25">
      <c r="F1937" s="85"/>
      <c r="I1937" s="85"/>
    </row>
    <row r="1938" spans="6:9" x14ac:dyDescent="0.25">
      <c r="F1938" s="85"/>
      <c r="I1938" s="85"/>
    </row>
    <row r="1939" spans="6:9" x14ac:dyDescent="0.25">
      <c r="F1939" s="85"/>
      <c r="I1939" s="85"/>
    </row>
    <row r="1940" spans="6:9" x14ac:dyDescent="0.25">
      <c r="F1940" s="85"/>
      <c r="I1940" s="85"/>
    </row>
    <row r="1941" spans="6:9" x14ac:dyDescent="0.25">
      <c r="F1941" s="85"/>
      <c r="I1941" s="85"/>
    </row>
    <row r="1942" spans="6:9" x14ac:dyDescent="0.25">
      <c r="F1942" s="85"/>
      <c r="I1942" s="85"/>
    </row>
    <row r="1943" spans="6:9" x14ac:dyDescent="0.25">
      <c r="F1943" s="85"/>
      <c r="I1943" s="85"/>
    </row>
    <row r="1944" spans="6:9" x14ac:dyDescent="0.25">
      <c r="F1944" s="85"/>
      <c r="I1944" s="85"/>
    </row>
    <row r="1945" spans="6:9" x14ac:dyDescent="0.25">
      <c r="F1945" s="85"/>
      <c r="I1945" s="85"/>
    </row>
    <row r="1946" spans="6:9" x14ac:dyDescent="0.25">
      <c r="F1946" s="85"/>
      <c r="I1946" s="85"/>
    </row>
    <row r="1947" spans="6:9" x14ac:dyDescent="0.25">
      <c r="F1947" s="85"/>
      <c r="I1947" s="85"/>
    </row>
    <row r="1948" spans="6:9" x14ac:dyDescent="0.25">
      <c r="F1948" s="85"/>
      <c r="I1948" s="85"/>
    </row>
    <row r="1949" spans="6:9" x14ac:dyDescent="0.25">
      <c r="F1949" s="85"/>
      <c r="I1949" s="85"/>
    </row>
    <row r="1950" spans="6:9" x14ac:dyDescent="0.25">
      <c r="F1950" s="85"/>
      <c r="I1950" s="85"/>
    </row>
    <row r="1951" spans="6:9" x14ac:dyDescent="0.25">
      <c r="F1951" s="85"/>
      <c r="I1951" s="85"/>
    </row>
    <row r="1952" spans="6:9" x14ac:dyDescent="0.25">
      <c r="F1952" s="85"/>
      <c r="I1952" s="85"/>
    </row>
    <row r="1953" spans="6:9" x14ac:dyDescent="0.25">
      <c r="F1953" s="85"/>
      <c r="I1953" s="85"/>
    </row>
    <row r="1954" spans="6:9" x14ac:dyDescent="0.25">
      <c r="F1954" s="85"/>
      <c r="I1954" s="85"/>
    </row>
    <row r="1955" spans="6:9" x14ac:dyDescent="0.25">
      <c r="F1955" s="85"/>
      <c r="I1955" s="85"/>
    </row>
    <row r="1956" spans="6:9" x14ac:dyDescent="0.25">
      <c r="F1956" s="85"/>
      <c r="I1956" s="85"/>
    </row>
    <row r="1957" spans="6:9" x14ac:dyDescent="0.25">
      <c r="F1957" s="85"/>
      <c r="I1957" s="85"/>
    </row>
    <row r="1958" spans="6:9" x14ac:dyDescent="0.25">
      <c r="F1958" s="85"/>
      <c r="I1958" s="85"/>
    </row>
    <row r="1959" spans="6:9" x14ac:dyDescent="0.25">
      <c r="F1959" s="85"/>
      <c r="I1959" s="85"/>
    </row>
    <row r="1960" spans="6:9" x14ac:dyDescent="0.25">
      <c r="F1960" s="85"/>
      <c r="I1960" s="85"/>
    </row>
    <row r="1961" spans="6:9" x14ac:dyDescent="0.25">
      <c r="F1961" s="85"/>
      <c r="I1961" s="85"/>
    </row>
    <row r="1962" spans="6:9" x14ac:dyDescent="0.25">
      <c r="F1962" s="85"/>
      <c r="I1962" s="85"/>
    </row>
    <row r="1963" spans="6:9" x14ac:dyDescent="0.25">
      <c r="F1963" s="85"/>
      <c r="I1963" s="85"/>
    </row>
    <row r="1964" spans="6:9" x14ac:dyDescent="0.25">
      <c r="F1964" s="85"/>
      <c r="I1964" s="85"/>
    </row>
    <row r="1965" spans="6:9" x14ac:dyDescent="0.25">
      <c r="F1965" s="85"/>
      <c r="I1965" s="85"/>
    </row>
    <row r="1966" spans="6:9" x14ac:dyDescent="0.25">
      <c r="F1966" s="85"/>
      <c r="I1966" s="85"/>
    </row>
    <row r="1967" spans="6:9" x14ac:dyDescent="0.25">
      <c r="F1967" s="85"/>
      <c r="I1967" s="85"/>
    </row>
    <row r="1968" spans="6:9" x14ac:dyDescent="0.25">
      <c r="F1968" s="85"/>
      <c r="I1968" s="85"/>
    </row>
    <row r="1969" spans="6:9" x14ac:dyDescent="0.25">
      <c r="F1969" s="85"/>
      <c r="I1969" s="85"/>
    </row>
    <row r="1970" spans="6:9" x14ac:dyDescent="0.25">
      <c r="F1970" s="85"/>
      <c r="I1970" s="85"/>
    </row>
    <row r="1971" spans="6:9" x14ac:dyDescent="0.25">
      <c r="F1971" s="85"/>
      <c r="I1971" s="85"/>
    </row>
    <row r="1972" spans="6:9" x14ac:dyDescent="0.25">
      <c r="F1972" s="85"/>
      <c r="I1972" s="85"/>
    </row>
    <row r="1973" spans="6:9" x14ac:dyDescent="0.25">
      <c r="F1973" s="85"/>
      <c r="I1973" s="85"/>
    </row>
    <row r="1974" spans="6:9" x14ac:dyDescent="0.25">
      <c r="F1974" s="85"/>
      <c r="I1974" s="85"/>
    </row>
    <row r="1975" spans="6:9" x14ac:dyDescent="0.25">
      <c r="F1975" s="85"/>
      <c r="I1975" s="85"/>
    </row>
    <row r="1976" spans="6:9" x14ac:dyDescent="0.25">
      <c r="F1976" s="85"/>
      <c r="I1976" s="85"/>
    </row>
    <row r="1977" spans="6:9" x14ac:dyDescent="0.25">
      <c r="F1977" s="85"/>
      <c r="I1977" s="85"/>
    </row>
    <row r="1978" spans="6:9" x14ac:dyDescent="0.25">
      <c r="F1978" s="85"/>
      <c r="I1978" s="85"/>
    </row>
    <row r="1979" spans="6:9" x14ac:dyDescent="0.25">
      <c r="F1979" s="85"/>
      <c r="I1979" s="85"/>
    </row>
    <row r="1980" spans="6:9" x14ac:dyDescent="0.25">
      <c r="F1980" s="85"/>
      <c r="I1980" s="85"/>
    </row>
    <row r="1981" spans="6:9" x14ac:dyDescent="0.25">
      <c r="F1981" s="85"/>
      <c r="I1981" s="85"/>
    </row>
    <row r="1982" spans="6:9" x14ac:dyDescent="0.25">
      <c r="F1982" s="85"/>
      <c r="I1982" s="85"/>
    </row>
    <row r="1983" spans="6:9" x14ac:dyDescent="0.25">
      <c r="F1983" s="85"/>
      <c r="I1983" s="85"/>
    </row>
    <row r="1984" spans="6:9" x14ac:dyDescent="0.25">
      <c r="F1984" s="85"/>
      <c r="I1984" s="85"/>
    </row>
    <row r="1985" spans="6:9" x14ac:dyDescent="0.25">
      <c r="F1985" s="85"/>
      <c r="I1985" s="85"/>
    </row>
    <row r="1986" spans="6:9" x14ac:dyDescent="0.25">
      <c r="F1986" s="85"/>
      <c r="I1986" s="85"/>
    </row>
    <row r="1987" spans="6:9" x14ac:dyDescent="0.25">
      <c r="F1987" s="85"/>
      <c r="I1987" s="85"/>
    </row>
    <row r="1988" spans="6:9" x14ac:dyDescent="0.25">
      <c r="F1988" s="85"/>
      <c r="I1988" s="85"/>
    </row>
    <row r="1989" spans="6:9" x14ac:dyDescent="0.25">
      <c r="F1989" s="85"/>
      <c r="I1989" s="85"/>
    </row>
    <row r="1990" spans="6:9" x14ac:dyDescent="0.25">
      <c r="F1990" s="85"/>
      <c r="I1990" s="85"/>
    </row>
    <row r="1991" spans="6:9" x14ac:dyDescent="0.25">
      <c r="F1991" s="85"/>
      <c r="I1991" s="85"/>
    </row>
    <row r="1992" spans="6:9" x14ac:dyDescent="0.25">
      <c r="F1992" s="85"/>
      <c r="I1992" s="85"/>
    </row>
    <row r="1993" spans="6:9" x14ac:dyDescent="0.25">
      <c r="F1993" s="85"/>
      <c r="I1993" s="85"/>
    </row>
    <row r="1994" spans="6:9" x14ac:dyDescent="0.25">
      <c r="F1994" s="85"/>
      <c r="I1994" s="85"/>
    </row>
    <row r="1995" spans="6:9" x14ac:dyDescent="0.25">
      <c r="F1995" s="85"/>
      <c r="I1995" s="85"/>
    </row>
    <row r="1996" spans="6:9" x14ac:dyDescent="0.25">
      <c r="F1996" s="85"/>
      <c r="I1996" s="85"/>
    </row>
    <row r="1997" spans="6:9" x14ac:dyDescent="0.25">
      <c r="F1997" s="85"/>
      <c r="I1997" s="85"/>
    </row>
    <row r="1998" spans="6:9" x14ac:dyDescent="0.25">
      <c r="F1998" s="85"/>
      <c r="I1998" s="85"/>
    </row>
    <row r="1999" spans="6:9" x14ac:dyDescent="0.25">
      <c r="F1999" s="85"/>
      <c r="I1999" s="85"/>
    </row>
    <row r="2000" spans="6:9" x14ac:dyDescent="0.25">
      <c r="F2000" s="85"/>
      <c r="I2000" s="85"/>
    </row>
  </sheetData>
  <autoFilter ref="A2:I2" xr:uid="{00000000-0009-0000-0000-00000E000000}"/>
  <mergeCells count="1">
    <mergeCell ref="A1:I1"/>
  </mergeCells>
  <conditionalFormatting sqref="H3:H2000">
    <cfRule type="cellIs" dxfId="2" priority="1" operator="equal">
      <formula>"Open"</formula>
    </cfRule>
    <cfRule type="cellIs" dxfId="1" priority="2" operator="equal">
      <formula>"In uitvoering"</formula>
    </cfRule>
    <cfRule type="cellIs" dxfId="0" priority="3" operator="equal">
      <formula>"Gesloten"</formula>
    </cfRule>
  </conditionalFormatting>
  <dataValidations count="2">
    <dataValidation type="list" allowBlank="1" sqref="B3:B2000" xr:uid="{00000000-0002-0000-0E00-000000000000}">
      <formula1>"Periodieke controle,Maatregel,Opvolging"</formula1>
    </dataValidation>
    <dataValidation type="list" allowBlank="1" sqref="H3:H2000" xr:uid="{00000000-0002-0000-0E00-000001000000}">
      <formula1>"Open,In uitvoering,Gesloten"</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6"/>
  <dimension ref="A1:H279"/>
  <sheetViews>
    <sheetView workbookViewId="0"/>
  </sheetViews>
  <sheetFormatPr defaultRowHeight="15" x14ac:dyDescent="0.25"/>
  <cols>
    <col min="1" max="1" width="28" customWidth="1"/>
    <col min="2" max="4" width="72" customWidth="1"/>
  </cols>
  <sheetData>
    <row r="1" spans="1:4" x14ac:dyDescent="0.25">
      <c r="A1" s="86" t="s">
        <v>1184</v>
      </c>
      <c r="B1" s="86" t="s">
        <v>1</v>
      </c>
      <c r="C1" s="86" t="s">
        <v>1185</v>
      </c>
      <c r="D1" s="86" t="s">
        <v>1186</v>
      </c>
    </row>
    <row r="2" spans="1:4" x14ac:dyDescent="0.25">
      <c r="A2" t="s">
        <v>1187</v>
      </c>
      <c r="B2" t="s">
        <v>1188</v>
      </c>
      <c r="C2" t="s">
        <v>1189</v>
      </c>
      <c r="D2" t="s">
        <v>1190</v>
      </c>
    </row>
    <row r="3" spans="1:4" x14ac:dyDescent="0.25">
      <c r="A3" t="s">
        <v>1191</v>
      </c>
      <c r="B3" t="s">
        <v>1192</v>
      </c>
      <c r="C3" t="s">
        <v>1193</v>
      </c>
      <c r="D3" t="s">
        <v>1194</v>
      </c>
    </row>
    <row r="4" spans="1:4" x14ac:dyDescent="0.25">
      <c r="A4" t="s">
        <v>1195</v>
      </c>
      <c r="B4" t="s">
        <v>1196</v>
      </c>
      <c r="C4" t="s">
        <v>1197</v>
      </c>
      <c r="D4" t="s">
        <v>1196</v>
      </c>
    </row>
    <row r="5" spans="1:4" x14ac:dyDescent="0.25">
      <c r="A5" t="s">
        <v>1198</v>
      </c>
      <c r="B5" t="s">
        <v>1199</v>
      </c>
      <c r="C5" t="s">
        <v>1200</v>
      </c>
      <c r="D5" t="s">
        <v>1201</v>
      </c>
    </row>
    <row r="6" spans="1:4" x14ac:dyDescent="0.25">
      <c r="A6" t="s">
        <v>1202</v>
      </c>
      <c r="B6" t="s">
        <v>1203</v>
      </c>
      <c r="C6" t="s">
        <v>1204</v>
      </c>
      <c r="D6" t="s">
        <v>1204</v>
      </c>
    </row>
    <row r="7" spans="1:4" x14ac:dyDescent="0.25">
      <c r="A7" t="s">
        <v>1205</v>
      </c>
      <c r="B7" t="s">
        <v>1206</v>
      </c>
      <c r="C7" t="s">
        <v>1207</v>
      </c>
      <c r="D7" t="s">
        <v>1208</v>
      </c>
    </row>
    <row r="8" spans="1:4" x14ac:dyDescent="0.25">
      <c r="A8" t="s">
        <v>1209</v>
      </c>
      <c r="B8" t="s">
        <v>1210</v>
      </c>
      <c r="C8" t="s">
        <v>1211</v>
      </c>
      <c r="D8" t="s">
        <v>1212</v>
      </c>
    </row>
    <row r="9" spans="1:4" x14ac:dyDescent="0.25">
      <c r="A9" t="s">
        <v>1213</v>
      </c>
      <c r="B9" t="s">
        <v>1214</v>
      </c>
      <c r="C9" t="s">
        <v>1215</v>
      </c>
      <c r="D9" t="s">
        <v>1216</v>
      </c>
    </row>
    <row r="10" spans="1:4" x14ac:dyDescent="0.25">
      <c r="A10" t="s">
        <v>1217</v>
      </c>
      <c r="B10" t="s">
        <v>1218</v>
      </c>
      <c r="C10" t="s">
        <v>1219</v>
      </c>
      <c r="D10" t="s">
        <v>1220</v>
      </c>
    </row>
    <row r="11" spans="1:4" x14ac:dyDescent="0.25">
      <c r="A11" t="s">
        <v>1221</v>
      </c>
      <c r="B11" t="s">
        <v>1222</v>
      </c>
      <c r="C11" t="s">
        <v>1222</v>
      </c>
      <c r="D11" t="s">
        <v>1222</v>
      </c>
    </row>
    <row r="12" spans="1:4" x14ac:dyDescent="0.25">
      <c r="A12" t="s">
        <v>1223</v>
      </c>
      <c r="B12" t="s">
        <v>1224</v>
      </c>
      <c r="C12" t="s">
        <v>1225</v>
      </c>
      <c r="D12" t="s">
        <v>1225</v>
      </c>
    </row>
    <row r="13" spans="1:4" x14ac:dyDescent="0.25">
      <c r="A13" t="s">
        <v>1226</v>
      </c>
      <c r="B13" t="s">
        <v>1227</v>
      </c>
      <c r="C13" t="s">
        <v>1228</v>
      </c>
      <c r="D13" t="s">
        <v>1229</v>
      </c>
    </row>
    <row r="14" spans="1:4" x14ac:dyDescent="0.25">
      <c r="A14" t="s">
        <v>1230</v>
      </c>
      <c r="B14" t="s">
        <v>1231</v>
      </c>
      <c r="C14" t="s">
        <v>1232</v>
      </c>
      <c r="D14" t="s">
        <v>1233</v>
      </c>
    </row>
    <row r="15" spans="1:4" x14ac:dyDescent="0.25">
      <c r="A15" t="s">
        <v>1234</v>
      </c>
      <c r="B15" t="s">
        <v>1235</v>
      </c>
      <c r="C15" t="s">
        <v>1236</v>
      </c>
      <c r="D15" t="s">
        <v>1237</v>
      </c>
    </row>
    <row r="16" spans="1:4" x14ac:dyDescent="0.25">
      <c r="A16" t="s">
        <v>1238</v>
      </c>
      <c r="B16" t="s">
        <v>1239</v>
      </c>
      <c r="C16" t="s">
        <v>1240</v>
      </c>
      <c r="D16" t="s">
        <v>1241</v>
      </c>
    </row>
    <row r="17" spans="1:4" x14ac:dyDescent="0.25">
      <c r="A17" t="s">
        <v>1242</v>
      </c>
      <c r="B17" t="s">
        <v>1243</v>
      </c>
      <c r="C17" t="s">
        <v>1244</v>
      </c>
      <c r="D17" t="s">
        <v>1245</v>
      </c>
    </row>
    <row r="18" spans="1:4" x14ac:dyDescent="0.25">
      <c r="A18" t="s">
        <v>1246</v>
      </c>
      <c r="B18" t="s">
        <v>1247</v>
      </c>
      <c r="C18" t="s">
        <v>1247</v>
      </c>
      <c r="D18" t="s">
        <v>1247</v>
      </c>
    </row>
    <row r="19" spans="1:4" x14ac:dyDescent="0.25">
      <c r="A19" t="s">
        <v>1248</v>
      </c>
      <c r="B19" t="s">
        <v>1249</v>
      </c>
      <c r="C19" t="s">
        <v>1250</v>
      </c>
      <c r="D19" t="s">
        <v>1251</v>
      </c>
    </row>
    <row r="20" spans="1:4" x14ac:dyDescent="0.25">
      <c r="A20" t="s">
        <v>1252</v>
      </c>
      <c r="B20" t="s">
        <v>1253</v>
      </c>
      <c r="C20" t="s">
        <v>1254</v>
      </c>
      <c r="D20" t="s">
        <v>1255</v>
      </c>
    </row>
    <row r="21" spans="1:4" x14ac:dyDescent="0.25">
      <c r="A21" t="s">
        <v>1256</v>
      </c>
      <c r="B21" t="s">
        <v>457</v>
      </c>
      <c r="C21" t="s">
        <v>1257</v>
      </c>
      <c r="D21" t="s">
        <v>1257</v>
      </c>
    </row>
    <row r="22" spans="1:4" x14ac:dyDescent="0.25">
      <c r="A22" t="s">
        <v>1258</v>
      </c>
      <c r="B22" t="s">
        <v>1259</v>
      </c>
      <c r="C22" t="s">
        <v>1260</v>
      </c>
      <c r="D22" t="s">
        <v>1261</v>
      </c>
    </row>
    <row r="23" spans="1:4" x14ac:dyDescent="0.25">
      <c r="A23" t="s">
        <v>1262</v>
      </c>
      <c r="B23" t="s">
        <v>1263</v>
      </c>
      <c r="C23" t="s">
        <v>1264</v>
      </c>
      <c r="D23" t="s">
        <v>1265</v>
      </c>
    </row>
    <row r="24" spans="1:4" x14ac:dyDescent="0.25">
      <c r="A24" t="s">
        <v>1266</v>
      </c>
      <c r="B24" t="s">
        <v>1267</v>
      </c>
      <c r="C24" t="s">
        <v>1268</v>
      </c>
      <c r="D24" t="s">
        <v>1269</v>
      </c>
    </row>
    <row r="25" spans="1:4" x14ac:dyDescent="0.25">
      <c r="A25" t="s">
        <v>1270</v>
      </c>
      <c r="B25" t="s">
        <v>1271</v>
      </c>
      <c r="C25" t="s">
        <v>1272</v>
      </c>
      <c r="D25" t="s">
        <v>1273</v>
      </c>
    </row>
    <row r="26" spans="1:4" x14ac:dyDescent="0.25">
      <c r="A26" t="s">
        <v>1274</v>
      </c>
      <c r="B26" t="s">
        <v>1275</v>
      </c>
      <c r="C26" t="s">
        <v>1276</v>
      </c>
      <c r="D26" t="s">
        <v>1277</v>
      </c>
    </row>
    <row r="27" spans="1:4" x14ac:dyDescent="0.25">
      <c r="A27" t="s">
        <v>1278</v>
      </c>
      <c r="B27" t="s">
        <v>1279</v>
      </c>
      <c r="C27" t="s">
        <v>1280</v>
      </c>
      <c r="D27" t="s">
        <v>1281</v>
      </c>
    </row>
    <row r="28" spans="1:4" x14ac:dyDescent="0.25">
      <c r="A28" t="s">
        <v>1282</v>
      </c>
      <c r="B28" t="s">
        <v>1283</v>
      </c>
      <c r="C28" t="s">
        <v>1284</v>
      </c>
      <c r="D28" t="s">
        <v>1285</v>
      </c>
    </row>
    <row r="29" spans="1:4" x14ac:dyDescent="0.25">
      <c r="A29" t="s">
        <v>1286</v>
      </c>
      <c r="B29" t="s">
        <v>1287</v>
      </c>
      <c r="C29" t="s">
        <v>1288</v>
      </c>
      <c r="D29" t="s">
        <v>1289</v>
      </c>
    </row>
    <row r="30" spans="1:4" x14ac:dyDescent="0.25">
      <c r="A30" t="s">
        <v>1290</v>
      </c>
      <c r="B30" t="s">
        <v>1291</v>
      </c>
      <c r="C30" t="s">
        <v>1292</v>
      </c>
      <c r="D30" t="s">
        <v>1293</v>
      </c>
    </row>
    <row r="31" spans="1:4" x14ac:dyDescent="0.25">
      <c r="A31" t="s">
        <v>1294</v>
      </c>
      <c r="B31" t="s">
        <v>1295</v>
      </c>
      <c r="C31" t="s">
        <v>1296</v>
      </c>
      <c r="D31" t="s">
        <v>1297</v>
      </c>
    </row>
    <row r="32" spans="1:4" x14ac:dyDescent="0.25">
      <c r="A32" t="s">
        <v>1298</v>
      </c>
      <c r="B32" t="s">
        <v>1299</v>
      </c>
      <c r="C32" t="s">
        <v>1300</v>
      </c>
      <c r="D32" t="s">
        <v>1301</v>
      </c>
    </row>
    <row r="33" spans="1:4" x14ac:dyDescent="0.25">
      <c r="A33" t="s">
        <v>1302</v>
      </c>
      <c r="B33" t="s">
        <v>1303</v>
      </c>
      <c r="C33" t="s">
        <v>1304</v>
      </c>
      <c r="D33" t="s">
        <v>1305</v>
      </c>
    </row>
    <row r="34" spans="1:4" x14ac:dyDescent="0.25">
      <c r="A34" t="s">
        <v>1306</v>
      </c>
      <c r="B34" t="s">
        <v>1307</v>
      </c>
      <c r="C34" t="s">
        <v>1308</v>
      </c>
      <c r="D34" t="s">
        <v>1309</v>
      </c>
    </row>
    <row r="35" spans="1:4" x14ac:dyDescent="0.25">
      <c r="A35" t="s">
        <v>1310</v>
      </c>
      <c r="B35" t="s">
        <v>1311</v>
      </c>
      <c r="C35" t="s">
        <v>1312</v>
      </c>
      <c r="D35" t="s">
        <v>1313</v>
      </c>
    </row>
    <row r="36" spans="1:4" x14ac:dyDescent="0.25">
      <c r="A36" t="s">
        <v>1314</v>
      </c>
      <c r="B36" t="s">
        <v>1315</v>
      </c>
      <c r="C36" t="s">
        <v>1316</v>
      </c>
      <c r="D36" t="s">
        <v>1317</v>
      </c>
    </row>
    <row r="37" spans="1:4" x14ac:dyDescent="0.25">
      <c r="A37" t="s">
        <v>1318</v>
      </c>
      <c r="B37" t="s">
        <v>1319</v>
      </c>
      <c r="C37" t="s">
        <v>1320</v>
      </c>
      <c r="D37" t="s">
        <v>1321</v>
      </c>
    </row>
    <row r="38" spans="1:4" x14ac:dyDescent="0.25">
      <c r="A38" t="s">
        <v>1322</v>
      </c>
      <c r="B38" t="s">
        <v>1323</v>
      </c>
      <c r="C38" t="s">
        <v>1324</v>
      </c>
      <c r="D38" t="s">
        <v>1325</v>
      </c>
    </row>
    <row r="39" spans="1:4" x14ac:dyDescent="0.25">
      <c r="A39" t="s">
        <v>1326</v>
      </c>
      <c r="B39" t="s">
        <v>1327</v>
      </c>
      <c r="C39" t="s">
        <v>1328</v>
      </c>
      <c r="D39" t="s">
        <v>1329</v>
      </c>
    </row>
    <row r="40" spans="1:4" x14ac:dyDescent="0.25">
      <c r="A40" t="s">
        <v>1330</v>
      </c>
      <c r="B40" t="s">
        <v>1331</v>
      </c>
      <c r="C40" t="s">
        <v>1332</v>
      </c>
      <c r="D40" t="s">
        <v>1333</v>
      </c>
    </row>
    <row r="41" spans="1:4" x14ac:dyDescent="0.25">
      <c r="A41" t="s">
        <v>1334</v>
      </c>
      <c r="B41" t="s">
        <v>1335</v>
      </c>
      <c r="C41" t="s">
        <v>1336</v>
      </c>
      <c r="D41" t="s">
        <v>1335</v>
      </c>
    </row>
    <row r="42" spans="1:4" x14ac:dyDescent="0.25">
      <c r="A42" t="s">
        <v>1337</v>
      </c>
      <c r="B42" t="s">
        <v>1338</v>
      </c>
      <c r="C42" t="s">
        <v>1339</v>
      </c>
      <c r="D42" t="s">
        <v>1340</v>
      </c>
    </row>
    <row r="43" spans="1:4" x14ac:dyDescent="0.25">
      <c r="A43" t="s">
        <v>1341</v>
      </c>
      <c r="B43" t="s">
        <v>1342</v>
      </c>
      <c r="C43" t="s">
        <v>1343</v>
      </c>
      <c r="D43" t="s">
        <v>1344</v>
      </c>
    </row>
    <row r="44" spans="1:4" x14ac:dyDescent="0.25">
      <c r="A44" t="s">
        <v>1345</v>
      </c>
      <c r="B44" t="s">
        <v>1346</v>
      </c>
      <c r="C44" t="s">
        <v>1347</v>
      </c>
      <c r="D44" t="s">
        <v>1348</v>
      </c>
    </row>
    <row r="45" spans="1:4" x14ac:dyDescent="0.25">
      <c r="A45" t="s">
        <v>1349</v>
      </c>
      <c r="B45" t="s">
        <v>1350</v>
      </c>
      <c r="C45" t="s">
        <v>1351</v>
      </c>
      <c r="D45" t="s">
        <v>1352</v>
      </c>
    </row>
    <row r="46" spans="1:4" x14ac:dyDescent="0.25">
      <c r="A46" t="s">
        <v>1353</v>
      </c>
      <c r="B46" t="s">
        <v>1354</v>
      </c>
      <c r="C46" t="s">
        <v>1354</v>
      </c>
      <c r="D46" t="s">
        <v>1355</v>
      </c>
    </row>
    <row r="47" spans="1:4" x14ac:dyDescent="0.25">
      <c r="A47" t="s">
        <v>1356</v>
      </c>
      <c r="B47" t="s">
        <v>1357</v>
      </c>
      <c r="C47" t="s">
        <v>1358</v>
      </c>
      <c r="D47" t="s">
        <v>1359</v>
      </c>
    </row>
    <row r="48" spans="1:4" x14ac:dyDescent="0.25">
      <c r="A48" t="s">
        <v>1360</v>
      </c>
      <c r="B48" t="s">
        <v>1180</v>
      </c>
      <c r="C48" t="s">
        <v>1361</v>
      </c>
      <c r="D48" t="s">
        <v>1361</v>
      </c>
    </row>
    <row r="49" spans="1:4" x14ac:dyDescent="0.25">
      <c r="A49" t="s">
        <v>1362</v>
      </c>
      <c r="B49" t="s">
        <v>1363</v>
      </c>
      <c r="C49" t="s">
        <v>1364</v>
      </c>
      <c r="D49" t="s">
        <v>1365</v>
      </c>
    </row>
    <row r="50" spans="1:4" x14ac:dyDescent="0.25">
      <c r="A50" t="s">
        <v>1366</v>
      </c>
      <c r="B50" t="s">
        <v>1367</v>
      </c>
      <c r="C50" t="s">
        <v>1368</v>
      </c>
      <c r="D50" t="s">
        <v>1369</v>
      </c>
    </row>
    <row r="51" spans="1:4" x14ac:dyDescent="0.25">
      <c r="A51" t="s">
        <v>1370</v>
      </c>
      <c r="B51" t="s">
        <v>1371</v>
      </c>
      <c r="C51" t="s">
        <v>1372</v>
      </c>
      <c r="D51" t="s">
        <v>1373</v>
      </c>
    </row>
    <row r="52" spans="1:4" x14ac:dyDescent="0.25">
      <c r="A52" t="s">
        <v>1374</v>
      </c>
      <c r="B52" t="s">
        <v>1375</v>
      </c>
      <c r="C52" t="s">
        <v>1376</v>
      </c>
      <c r="D52" t="s">
        <v>1377</v>
      </c>
    </row>
    <row r="53" spans="1:4" x14ac:dyDescent="0.25">
      <c r="A53" t="s">
        <v>1378</v>
      </c>
      <c r="B53" t="s">
        <v>1379</v>
      </c>
      <c r="C53" t="s">
        <v>1379</v>
      </c>
      <c r="D53" t="s">
        <v>1379</v>
      </c>
    </row>
    <row r="54" spans="1:4" x14ac:dyDescent="0.25">
      <c r="A54" t="s">
        <v>1380</v>
      </c>
      <c r="B54" t="s">
        <v>1381</v>
      </c>
      <c r="C54" t="s">
        <v>1382</v>
      </c>
      <c r="D54" t="s">
        <v>1383</v>
      </c>
    </row>
    <row r="55" spans="1:4" x14ac:dyDescent="0.25">
      <c r="A55" t="s">
        <v>1384</v>
      </c>
      <c r="B55" t="s">
        <v>1385</v>
      </c>
      <c r="C55" t="s">
        <v>1386</v>
      </c>
      <c r="D55" t="s">
        <v>1387</v>
      </c>
    </row>
    <row r="56" spans="1:4" x14ac:dyDescent="0.25">
      <c r="A56" t="s">
        <v>1388</v>
      </c>
      <c r="B56" t="s">
        <v>1389</v>
      </c>
      <c r="C56" t="s">
        <v>1390</v>
      </c>
      <c r="D56" t="s">
        <v>1391</v>
      </c>
    </row>
    <row r="57" spans="1:4" x14ac:dyDescent="0.25">
      <c r="A57" t="s">
        <v>1392</v>
      </c>
      <c r="B57" t="s">
        <v>1393</v>
      </c>
      <c r="C57" t="s">
        <v>1394</v>
      </c>
      <c r="D57" t="s">
        <v>1395</v>
      </c>
    </row>
    <row r="58" spans="1:4" x14ac:dyDescent="0.25">
      <c r="A58" t="s">
        <v>1396</v>
      </c>
      <c r="B58" t="s">
        <v>1397</v>
      </c>
      <c r="C58" t="s">
        <v>1398</v>
      </c>
      <c r="D58" t="s">
        <v>1399</v>
      </c>
    </row>
    <row r="59" spans="1:4" x14ac:dyDescent="0.25">
      <c r="A59" t="s">
        <v>1400</v>
      </c>
      <c r="B59" t="s">
        <v>1401</v>
      </c>
      <c r="C59" t="s">
        <v>1402</v>
      </c>
      <c r="D59" t="s">
        <v>1403</v>
      </c>
    </row>
    <row r="60" spans="1:4" x14ac:dyDescent="0.25">
      <c r="A60" t="s">
        <v>1404</v>
      </c>
      <c r="B60" t="s">
        <v>1405</v>
      </c>
      <c r="C60" t="s">
        <v>1406</v>
      </c>
      <c r="D60" t="s">
        <v>1407</v>
      </c>
    </row>
    <row r="61" spans="1:4" x14ac:dyDescent="0.25">
      <c r="A61" t="s">
        <v>1408</v>
      </c>
      <c r="B61" t="s">
        <v>1409</v>
      </c>
      <c r="C61" t="s">
        <v>1410</v>
      </c>
      <c r="D61" t="s">
        <v>1411</v>
      </c>
    </row>
    <row r="62" spans="1:4" x14ac:dyDescent="0.25">
      <c r="A62" t="s">
        <v>1412</v>
      </c>
      <c r="B62" t="s">
        <v>1413</v>
      </c>
      <c r="C62" t="s">
        <v>1414</v>
      </c>
      <c r="D62" t="s">
        <v>1415</v>
      </c>
    </row>
    <row r="63" spans="1:4" x14ac:dyDescent="0.25">
      <c r="A63" t="s">
        <v>1416</v>
      </c>
      <c r="B63" t="s">
        <v>1417</v>
      </c>
      <c r="C63" t="s">
        <v>1418</v>
      </c>
      <c r="D63" t="s">
        <v>1419</v>
      </c>
    </row>
    <row r="64" spans="1:4" x14ac:dyDescent="0.25">
      <c r="A64" t="s">
        <v>1420</v>
      </c>
      <c r="B64" t="s">
        <v>1421</v>
      </c>
      <c r="C64" t="s">
        <v>1422</v>
      </c>
      <c r="D64" t="s">
        <v>1423</v>
      </c>
    </row>
    <row r="65" spans="1:4" x14ac:dyDescent="0.25">
      <c r="A65" t="s">
        <v>1424</v>
      </c>
      <c r="B65" t="s">
        <v>1425</v>
      </c>
      <c r="C65" t="s">
        <v>1426</v>
      </c>
      <c r="D65" t="s">
        <v>1427</v>
      </c>
    </row>
    <row r="66" spans="1:4" x14ac:dyDescent="0.25">
      <c r="A66" t="s">
        <v>1428</v>
      </c>
      <c r="B66" t="s">
        <v>1429</v>
      </c>
      <c r="C66" t="s">
        <v>1430</v>
      </c>
      <c r="D66" t="s">
        <v>1431</v>
      </c>
    </row>
    <row r="67" spans="1:4" x14ac:dyDescent="0.25">
      <c r="A67" t="s">
        <v>1432</v>
      </c>
      <c r="B67" t="s">
        <v>1433</v>
      </c>
      <c r="C67" t="s">
        <v>1434</v>
      </c>
      <c r="D67" t="s">
        <v>1435</v>
      </c>
    </row>
    <row r="68" spans="1:4" x14ac:dyDescent="0.25">
      <c r="A68" t="s">
        <v>1436</v>
      </c>
      <c r="B68" t="s">
        <v>1437</v>
      </c>
      <c r="C68" t="s">
        <v>1438</v>
      </c>
      <c r="D68" t="s">
        <v>1439</v>
      </c>
    </row>
    <row r="69" spans="1:4" x14ac:dyDescent="0.25">
      <c r="A69" t="s">
        <v>1440</v>
      </c>
      <c r="B69" t="s">
        <v>1441</v>
      </c>
      <c r="C69" t="s">
        <v>1442</v>
      </c>
      <c r="D69" t="s">
        <v>1443</v>
      </c>
    </row>
    <row r="70" spans="1:4" x14ac:dyDescent="0.25">
      <c r="A70" t="s">
        <v>1444</v>
      </c>
      <c r="B70" t="s">
        <v>1445</v>
      </c>
      <c r="C70" t="s">
        <v>1446</v>
      </c>
      <c r="D70" t="s">
        <v>1447</v>
      </c>
    </row>
    <row r="71" spans="1:4" x14ac:dyDescent="0.25">
      <c r="A71" t="s">
        <v>1448</v>
      </c>
      <c r="B71" t="s">
        <v>1449</v>
      </c>
      <c r="C71" t="s">
        <v>1450</v>
      </c>
      <c r="D71" t="s">
        <v>1451</v>
      </c>
    </row>
    <row r="72" spans="1:4" x14ac:dyDescent="0.25">
      <c r="A72" t="s">
        <v>1452</v>
      </c>
      <c r="B72" t="s">
        <v>1453</v>
      </c>
      <c r="C72" t="s">
        <v>1454</v>
      </c>
      <c r="D72" t="s">
        <v>1455</v>
      </c>
    </row>
    <row r="73" spans="1:4" x14ac:dyDescent="0.25">
      <c r="A73" t="s">
        <v>1456</v>
      </c>
      <c r="B73" t="s">
        <v>1457</v>
      </c>
      <c r="C73" t="s">
        <v>1458</v>
      </c>
      <c r="D73" t="s">
        <v>1459</v>
      </c>
    </row>
    <row r="74" spans="1:4" x14ac:dyDescent="0.25">
      <c r="A74" t="s">
        <v>1460</v>
      </c>
      <c r="B74" t="s">
        <v>1461</v>
      </c>
      <c r="C74" t="s">
        <v>1462</v>
      </c>
      <c r="D74" t="s">
        <v>1463</v>
      </c>
    </row>
    <row r="75" spans="1:4" x14ac:dyDescent="0.25">
      <c r="A75" t="s">
        <v>1464</v>
      </c>
      <c r="B75" t="s">
        <v>1465</v>
      </c>
      <c r="C75" t="s">
        <v>1466</v>
      </c>
      <c r="D75" t="s">
        <v>1467</v>
      </c>
    </row>
    <row r="76" spans="1:4" x14ac:dyDescent="0.25">
      <c r="A76" t="s">
        <v>1468</v>
      </c>
      <c r="B76" t="s">
        <v>1469</v>
      </c>
      <c r="C76" t="s">
        <v>1470</v>
      </c>
      <c r="D76" t="s">
        <v>1471</v>
      </c>
    </row>
    <row r="77" spans="1:4" x14ac:dyDescent="0.25">
      <c r="A77" t="s">
        <v>1472</v>
      </c>
      <c r="B77" t="s">
        <v>1473</v>
      </c>
      <c r="C77" t="s">
        <v>1474</v>
      </c>
      <c r="D77" t="s">
        <v>1475</v>
      </c>
    </row>
    <row r="78" spans="1:4" x14ac:dyDescent="0.25">
      <c r="A78" t="s">
        <v>1476</v>
      </c>
      <c r="B78" t="s">
        <v>1477</v>
      </c>
      <c r="C78" t="s">
        <v>1478</v>
      </c>
      <c r="D78" t="s">
        <v>1479</v>
      </c>
    </row>
    <row r="79" spans="1:4" x14ac:dyDescent="0.25">
      <c r="A79" t="s">
        <v>1480</v>
      </c>
      <c r="B79" t="s">
        <v>1481</v>
      </c>
      <c r="C79" t="s">
        <v>1482</v>
      </c>
      <c r="D79" t="s">
        <v>1483</v>
      </c>
    </row>
    <row r="80" spans="1:4" x14ac:dyDescent="0.25">
      <c r="A80" t="s">
        <v>1484</v>
      </c>
      <c r="B80" t="s">
        <v>1485</v>
      </c>
      <c r="C80" t="s">
        <v>1486</v>
      </c>
      <c r="D80" t="s">
        <v>1487</v>
      </c>
    </row>
    <row r="81" spans="1:4" x14ac:dyDescent="0.25">
      <c r="A81" t="s">
        <v>1488</v>
      </c>
      <c r="B81" t="s">
        <v>1489</v>
      </c>
      <c r="C81" t="s">
        <v>1490</v>
      </c>
      <c r="D81" t="s">
        <v>1491</v>
      </c>
    </row>
    <row r="82" spans="1:4" x14ac:dyDescent="0.25">
      <c r="A82" t="s">
        <v>1492</v>
      </c>
      <c r="B82" t="s">
        <v>1493</v>
      </c>
      <c r="C82" t="s">
        <v>1493</v>
      </c>
      <c r="D82" t="s">
        <v>1493</v>
      </c>
    </row>
    <row r="83" spans="1:4" x14ac:dyDescent="0.25">
      <c r="A83" t="s">
        <v>1494</v>
      </c>
      <c r="B83" t="s">
        <v>1495</v>
      </c>
      <c r="C83" t="s">
        <v>1496</v>
      </c>
      <c r="D83" t="s">
        <v>1497</v>
      </c>
    </row>
    <row r="84" spans="1:4" x14ac:dyDescent="0.25">
      <c r="A84" t="s">
        <v>1498</v>
      </c>
      <c r="B84" t="s">
        <v>1180</v>
      </c>
      <c r="C84" t="s">
        <v>1361</v>
      </c>
      <c r="D84" t="s">
        <v>1361</v>
      </c>
    </row>
    <row r="85" spans="1:4" x14ac:dyDescent="0.25">
      <c r="A85" t="s">
        <v>1499</v>
      </c>
      <c r="B85" t="s">
        <v>1500</v>
      </c>
      <c r="C85" t="s">
        <v>1501</v>
      </c>
      <c r="D85" t="s">
        <v>1502</v>
      </c>
    </row>
    <row r="86" spans="1:4" x14ac:dyDescent="0.25">
      <c r="A86" t="s">
        <v>1503</v>
      </c>
      <c r="B86" t="s">
        <v>1243</v>
      </c>
      <c r="C86" t="s">
        <v>1244</v>
      </c>
      <c r="D86" t="s">
        <v>1245</v>
      </c>
    </row>
    <row r="87" spans="1:4" x14ac:dyDescent="0.25">
      <c r="A87" t="s">
        <v>1504</v>
      </c>
      <c r="B87" t="s">
        <v>1152</v>
      </c>
      <c r="C87" t="s">
        <v>1505</v>
      </c>
      <c r="D87" t="s">
        <v>1506</v>
      </c>
    </row>
    <row r="88" spans="1:4" x14ac:dyDescent="0.25">
      <c r="A88" t="s">
        <v>1507</v>
      </c>
      <c r="B88" t="s">
        <v>1154</v>
      </c>
      <c r="C88" t="s">
        <v>1508</v>
      </c>
      <c r="D88" t="s">
        <v>1509</v>
      </c>
    </row>
    <row r="89" spans="1:4" x14ac:dyDescent="0.25">
      <c r="A89" t="s">
        <v>1510</v>
      </c>
      <c r="B89" t="s">
        <v>1511</v>
      </c>
      <c r="C89" t="s">
        <v>1512</v>
      </c>
      <c r="D89" t="s">
        <v>1513</v>
      </c>
    </row>
    <row r="90" spans="1:4" x14ac:dyDescent="0.25">
      <c r="A90" t="s">
        <v>1514</v>
      </c>
      <c r="B90" t="s">
        <v>1515</v>
      </c>
      <c r="C90" t="s">
        <v>1516</v>
      </c>
      <c r="D90" t="s">
        <v>1517</v>
      </c>
    </row>
    <row r="91" spans="1:4" x14ac:dyDescent="0.25">
      <c r="A91" t="s">
        <v>1518</v>
      </c>
      <c r="B91" t="s">
        <v>1166</v>
      </c>
      <c r="C91" t="s">
        <v>1519</v>
      </c>
      <c r="D91" t="s">
        <v>1520</v>
      </c>
    </row>
    <row r="92" spans="1:4" x14ac:dyDescent="0.25">
      <c r="A92" t="s">
        <v>1521</v>
      </c>
      <c r="B92" t="s">
        <v>1515</v>
      </c>
      <c r="C92" t="s">
        <v>1516</v>
      </c>
      <c r="D92" t="s">
        <v>1517</v>
      </c>
    </row>
    <row r="93" spans="1:4" x14ac:dyDescent="0.25">
      <c r="A93" t="s">
        <v>1522</v>
      </c>
      <c r="B93" t="s">
        <v>1523</v>
      </c>
      <c r="C93" t="s">
        <v>1524</v>
      </c>
      <c r="D93" t="s">
        <v>1525</v>
      </c>
    </row>
    <row r="94" spans="1:4" x14ac:dyDescent="0.25">
      <c r="A94" t="s">
        <v>1526</v>
      </c>
      <c r="B94" t="s">
        <v>1493</v>
      </c>
      <c r="C94" t="s">
        <v>1493</v>
      </c>
      <c r="D94" t="s">
        <v>1493</v>
      </c>
    </row>
    <row r="95" spans="1:4" x14ac:dyDescent="0.25">
      <c r="A95" t="s">
        <v>1527</v>
      </c>
      <c r="B95" t="s">
        <v>1495</v>
      </c>
      <c r="C95" t="s">
        <v>1496</v>
      </c>
      <c r="D95" t="s">
        <v>1497</v>
      </c>
    </row>
    <row r="96" spans="1:4" x14ac:dyDescent="0.25">
      <c r="A96" t="s">
        <v>1528</v>
      </c>
      <c r="B96" t="s">
        <v>1179</v>
      </c>
      <c r="C96" t="s">
        <v>1179</v>
      </c>
      <c r="D96" t="s">
        <v>1179</v>
      </c>
    </row>
    <row r="97" spans="1:4" x14ac:dyDescent="0.25">
      <c r="A97" t="s">
        <v>1529</v>
      </c>
      <c r="B97" t="s">
        <v>1180</v>
      </c>
      <c r="C97" t="s">
        <v>1361</v>
      </c>
      <c r="D97" t="s">
        <v>1361</v>
      </c>
    </row>
    <row r="98" spans="1:4" x14ac:dyDescent="0.25">
      <c r="A98" t="s">
        <v>1530</v>
      </c>
      <c r="B98" t="s">
        <v>1531</v>
      </c>
      <c r="C98" t="s">
        <v>1501</v>
      </c>
      <c r="D98" t="s">
        <v>1532</v>
      </c>
    </row>
    <row r="99" spans="1:4" x14ac:dyDescent="0.25">
      <c r="A99" t="s">
        <v>1533</v>
      </c>
      <c r="B99" t="s">
        <v>1243</v>
      </c>
      <c r="C99" t="s">
        <v>1244</v>
      </c>
      <c r="D99" t="s">
        <v>1245</v>
      </c>
    </row>
    <row r="100" spans="1:4" x14ac:dyDescent="0.25">
      <c r="A100" t="s">
        <v>1534</v>
      </c>
      <c r="B100" t="s">
        <v>1152</v>
      </c>
      <c r="C100" t="s">
        <v>1505</v>
      </c>
      <c r="D100" t="s">
        <v>1506</v>
      </c>
    </row>
    <row r="101" spans="1:4" x14ac:dyDescent="0.25">
      <c r="A101" t="s">
        <v>1535</v>
      </c>
      <c r="B101" t="s">
        <v>1154</v>
      </c>
      <c r="C101" t="s">
        <v>1508</v>
      </c>
      <c r="D101" t="s">
        <v>1509</v>
      </c>
    </row>
    <row r="102" spans="1:4" x14ac:dyDescent="0.25">
      <c r="A102" t="s">
        <v>1536</v>
      </c>
      <c r="B102" t="s">
        <v>1511</v>
      </c>
      <c r="C102" t="s">
        <v>1512</v>
      </c>
      <c r="D102" t="s">
        <v>1513</v>
      </c>
    </row>
    <row r="103" spans="1:4" x14ac:dyDescent="0.25">
      <c r="A103" t="s">
        <v>1537</v>
      </c>
      <c r="B103" t="s">
        <v>1166</v>
      </c>
      <c r="C103" t="s">
        <v>1519</v>
      </c>
      <c r="D103" t="s">
        <v>1520</v>
      </c>
    </row>
    <row r="104" spans="1:4" x14ac:dyDescent="0.25">
      <c r="A104" t="s">
        <v>1538</v>
      </c>
      <c r="B104" t="s">
        <v>1539</v>
      </c>
      <c r="C104" t="s">
        <v>1540</v>
      </c>
      <c r="D104" t="s">
        <v>1541</v>
      </c>
    </row>
    <row r="105" spans="1:4" x14ac:dyDescent="0.25">
      <c r="A105" t="s">
        <v>1542</v>
      </c>
      <c r="B105" t="s">
        <v>1543</v>
      </c>
      <c r="C105" t="s">
        <v>1544</v>
      </c>
      <c r="D105" t="s">
        <v>1545</v>
      </c>
    </row>
    <row r="106" spans="1:4" x14ac:dyDescent="0.25">
      <c r="A106" t="s">
        <v>1546</v>
      </c>
      <c r="B106" t="s">
        <v>1493</v>
      </c>
      <c r="C106" t="s">
        <v>1493</v>
      </c>
      <c r="D106" t="s">
        <v>1493</v>
      </c>
    </row>
    <row r="107" spans="1:4" x14ac:dyDescent="0.25">
      <c r="A107" t="s">
        <v>1547</v>
      </c>
      <c r="B107" t="s">
        <v>1495</v>
      </c>
      <c r="C107" t="s">
        <v>1496</v>
      </c>
      <c r="D107" t="s">
        <v>1497</v>
      </c>
    </row>
    <row r="108" spans="1:4" x14ac:dyDescent="0.25">
      <c r="A108" t="s">
        <v>1548</v>
      </c>
      <c r="B108" t="s">
        <v>1549</v>
      </c>
      <c r="C108" t="s">
        <v>1550</v>
      </c>
      <c r="D108" t="s">
        <v>1551</v>
      </c>
    </row>
    <row r="109" spans="1:4" x14ac:dyDescent="0.25">
      <c r="A109" t="s">
        <v>1552</v>
      </c>
      <c r="B109" t="s">
        <v>1553</v>
      </c>
      <c r="C109" t="s">
        <v>1554</v>
      </c>
      <c r="D109" t="s">
        <v>1555</v>
      </c>
    </row>
    <row r="110" spans="1:4" x14ac:dyDescent="0.25">
      <c r="A110" t="s">
        <v>1556</v>
      </c>
      <c r="B110" t="s">
        <v>1243</v>
      </c>
      <c r="C110" t="s">
        <v>1244</v>
      </c>
      <c r="D110" t="s">
        <v>1245</v>
      </c>
    </row>
    <row r="111" spans="1:4" x14ac:dyDescent="0.25">
      <c r="A111" t="s">
        <v>1557</v>
      </c>
      <c r="B111" t="s">
        <v>1558</v>
      </c>
      <c r="C111" t="s">
        <v>1559</v>
      </c>
      <c r="D111" t="s">
        <v>1560</v>
      </c>
    </row>
    <row r="112" spans="1:4" x14ac:dyDescent="0.25">
      <c r="A112" t="s">
        <v>1561</v>
      </c>
      <c r="B112" t="s">
        <v>1562</v>
      </c>
      <c r="C112" t="s">
        <v>1563</v>
      </c>
      <c r="D112" t="s">
        <v>1564</v>
      </c>
    </row>
    <row r="113" spans="1:4" x14ac:dyDescent="0.25">
      <c r="A113" t="s">
        <v>1565</v>
      </c>
      <c r="B113" t="s">
        <v>1566</v>
      </c>
      <c r="C113" t="s">
        <v>1567</v>
      </c>
      <c r="D113" t="s">
        <v>1568</v>
      </c>
    </row>
    <row r="114" spans="1:4" x14ac:dyDescent="0.25">
      <c r="A114" t="s">
        <v>1569</v>
      </c>
      <c r="B114" t="s">
        <v>1166</v>
      </c>
      <c r="C114" t="s">
        <v>1519</v>
      </c>
      <c r="D114" t="s">
        <v>1520</v>
      </c>
    </row>
    <row r="115" spans="1:4" x14ac:dyDescent="0.25">
      <c r="A115" t="s">
        <v>1570</v>
      </c>
      <c r="B115" t="s">
        <v>1571</v>
      </c>
      <c r="C115" t="s">
        <v>1571</v>
      </c>
      <c r="D115" t="s">
        <v>1571</v>
      </c>
    </row>
    <row r="116" spans="1:4" x14ac:dyDescent="0.25">
      <c r="A116" t="s">
        <v>1572</v>
      </c>
      <c r="B116" t="s">
        <v>1573</v>
      </c>
      <c r="C116" t="s">
        <v>1574</v>
      </c>
      <c r="D116" t="s">
        <v>1575</v>
      </c>
    </row>
    <row r="117" spans="1:4" x14ac:dyDescent="0.25">
      <c r="A117" t="s">
        <v>1576</v>
      </c>
      <c r="B117" t="s">
        <v>1577</v>
      </c>
      <c r="C117" t="s">
        <v>1578</v>
      </c>
      <c r="D117" t="s">
        <v>1579</v>
      </c>
    </row>
    <row r="118" spans="1:4" x14ac:dyDescent="0.25">
      <c r="A118" t="s">
        <v>1580</v>
      </c>
      <c r="B118" t="s">
        <v>1581</v>
      </c>
      <c r="C118" t="s">
        <v>1582</v>
      </c>
      <c r="D118" t="s">
        <v>1583</v>
      </c>
    </row>
    <row r="119" spans="1:4" x14ac:dyDescent="0.25">
      <c r="A119" t="s">
        <v>1584</v>
      </c>
      <c r="B119" t="s">
        <v>1585</v>
      </c>
      <c r="C119" t="s">
        <v>1586</v>
      </c>
      <c r="D119" t="s">
        <v>1587</v>
      </c>
    </row>
    <row r="120" spans="1:4" x14ac:dyDescent="0.25">
      <c r="A120" t="s">
        <v>1588</v>
      </c>
      <c r="B120" t="s">
        <v>1589</v>
      </c>
      <c r="C120" t="s">
        <v>1590</v>
      </c>
      <c r="D120" t="s">
        <v>1591</v>
      </c>
    </row>
    <row r="121" spans="1:4" x14ac:dyDescent="0.25">
      <c r="A121" t="s">
        <v>1592</v>
      </c>
      <c r="B121" t="s">
        <v>1593</v>
      </c>
      <c r="C121" t="s">
        <v>1594</v>
      </c>
      <c r="D121" t="s">
        <v>1595</v>
      </c>
    </row>
    <row r="122" spans="1:4" x14ac:dyDescent="0.25">
      <c r="A122" t="s">
        <v>1596</v>
      </c>
      <c r="B122" t="s">
        <v>1597</v>
      </c>
      <c r="C122" t="s">
        <v>1598</v>
      </c>
      <c r="D122" t="s">
        <v>1599</v>
      </c>
    </row>
    <row r="123" spans="1:4" x14ac:dyDescent="0.25">
      <c r="A123" t="s">
        <v>1600</v>
      </c>
      <c r="B123" t="s">
        <v>1601</v>
      </c>
      <c r="C123" t="s">
        <v>1602</v>
      </c>
      <c r="D123" t="s">
        <v>1603</v>
      </c>
    </row>
    <row r="124" spans="1:4" x14ac:dyDescent="0.25">
      <c r="A124" t="s">
        <v>1604</v>
      </c>
      <c r="B124" t="s">
        <v>1605</v>
      </c>
      <c r="C124" t="s">
        <v>1606</v>
      </c>
      <c r="D124" t="s">
        <v>1607</v>
      </c>
    </row>
    <row r="125" spans="1:4" x14ac:dyDescent="0.25">
      <c r="A125" t="s">
        <v>1608</v>
      </c>
      <c r="B125" t="s">
        <v>1609</v>
      </c>
      <c r="C125" t="s">
        <v>1610</v>
      </c>
      <c r="D125" t="s">
        <v>1611</v>
      </c>
    </row>
    <row r="126" spans="1:4" x14ac:dyDescent="0.25">
      <c r="A126" t="s">
        <v>1612</v>
      </c>
      <c r="B126" t="s">
        <v>1613</v>
      </c>
      <c r="C126" t="s">
        <v>1614</v>
      </c>
      <c r="D126" t="s">
        <v>1615</v>
      </c>
    </row>
    <row r="127" spans="1:4" x14ac:dyDescent="0.25">
      <c r="A127" t="s">
        <v>1616</v>
      </c>
      <c r="B127" t="s">
        <v>1617</v>
      </c>
      <c r="C127" t="s">
        <v>1618</v>
      </c>
      <c r="D127" t="s">
        <v>1619</v>
      </c>
    </row>
    <row r="128" spans="1:4" x14ac:dyDescent="0.25">
      <c r="A128" t="s">
        <v>1620</v>
      </c>
      <c r="B128" t="s">
        <v>1621</v>
      </c>
      <c r="C128" t="s">
        <v>1622</v>
      </c>
      <c r="D128" t="s">
        <v>1623</v>
      </c>
    </row>
    <row r="129" spans="1:4" x14ac:dyDescent="0.25">
      <c r="A129" t="s">
        <v>1624</v>
      </c>
      <c r="B129" t="s">
        <v>1625</v>
      </c>
      <c r="C129" t="s">
        <v>1626</v>
      </c>
      <c r="D129" t="s">
        <v>1627</v>
      </c>
    </row>
    <row r="130" spans="1:4" x14ac:dyDescent="0.25">
      <c r="A130" t="s">
        <v>1628</v>
      </c>
      <c r="B130" t="s">
        <v>1629</v>
      </c>
      <c r="C130" t="s">
        <v>1630</v>
      </c>
      <c r="D130" t="s">
        <v>1631</v>
      </c>
    </row>
    <row r="131" spans="1:4" x14ac:dyDescent="0.25">
      <c r="A131" t="s">
        <v>1632</v>
      </c>
      <c r="B131" t="s">
        <v>1633</v>
      </c>
      <c r="C131" t="s">
        <v>1634</v>
      </c>
      <c r="D131" t="s">
        <v>1635</v>
      </c>
    </row>
    <row r="132" spans="1:4" x14ac:dyDescent="0.25">
      <c r="A132" t="s">
        <v>1636</v>
      </c>
      <c r="B132" t="s">
        <v>1637</v>
      </c>
      <c r="C132" t="s">
        <v>1638</v>
      </c>
      <c r="D132" t="s">
        <v>1639</v>
      </c>
    </row>
    <row r="133" spans="1:4" x14ac:dyDescent="0.25">
      <c r="A133" t="s">
        <v>1640</v>
      </c>
      <c r="B133" t="s">
        <v>1641</v>
      </c>
      <c r="C133" t="s">
        <v>1642</v>
      </c>
      <c r="D133" t="s">
        <v>1643</v>
      </c>
    </row>
    <row r="134" spans="1:4" x14ac:dyDescent="0.25">
      <c r="A134" t="s">
        <v>1644</v>
      </c>
      <c r="B134" t="s">
        <v>1645</v>
      </c>
      <c r="C134" t="s">
        <v>1645</v>
      </c>
      <c r="D134" t="s">
        <v>1645</v>
      </c>
    </row>
    <row r="135" spans="1:4" x14ac:dyDescent="0.25">
      <c r="A135" t="s">
        <v>1646</v>
      </c>
      <c r="B135" t="s">
        <v>1647</v>
      </c>
      <c r="C135" t="s">
        <v>1647</v>
      </c>
      <c r="D135" t="s">
        <v>1647</v>
      </c>
    </row>
    <row r="136" spans="1:4" x14ac:dyDescent="0.25">
      <c r="A136" t="s">
        <v>1648</v>
      </c>
      <c r="B136" t="s">
        <v>1649</v>
      </c>
      <c r="C136" t="s">
        <v>1649</v>
      </c>
      <c r="D136" t="s">
        <v>1649</v>
      </c>
    </row>
    <row r="137" spans="1:4" x14ac:dyDescent="0.25">
      <c r="A137" t="s">
        <v>1650</v>
      </c>
      <c r="B137" t="s">
        <v>1651</v>
      </c>
      <c r="C137" t="s">
        <v>1652</v>
      </c>
      <c r="D137" t="s">
        <v>1653</v>
      </c>
    </row>
    <row r="138" spans="1:4" x14ac:dyDescent="0.25">
      <c r="A138" t="s">
        <v>1654</v>
      </c>
      <c r="B138" t="s">
        <v>1655</v>
      </c>
      <c r="C138" t="s">
        <v>1656</v>
      </c>
      <c r="D138" t="s">
        <v>1657</v>
      </c>
    </row>
    <row r="139" spans="1:4" x14ac:dyDescent="0.25">
      <c r="A139" t="s">
        <v>1658</v>
      </c>
      <c r="B139" t="s">
        <v>1493</v>
      </c>
      <c r="C139" t="s">
        <v>1493</v>
      </c>
      <c r="D139" t="s">
        <v>1493</v>
      </c>
    </row>
    <row r="140" spans="1:4" x14ac:dyDescent="0.25">
      <c r="A140" t="s">
        <v>1659</v>
      </c>
      <c r="B140" t="s">
        <v>1495</v>
      </c>
      <c r="C140" t="s">
        <v>1496</v>
      </c>
      <c r="D140" t="s">
        <v>1497</v>
      </c>
    </row>
    <row r="141" spans="1:4" x14ac:dyDescent="0.25">
      <c r="A141" t="s">
        <v>1660</v>
      </c>
      <c r="B141" t="s">
        <v>1180</v>
      </c>
      <c r="C141" t="s">
        <v>1361</v>
      </c>
      <c r="D141" t="s">
        <v>1361</v>
      </c>
    </row>
    <row r="142" spans="1:4" x14ac:dyDescent="0.25">
      <c r="A142" t="s">
        <v>1661</v>
      </c>
      <c r="B142" t="s">
        <v>1531</v>
      </c>
      <c r="C142" t="s">
        <v>1501</v>
      </c>
      <c r="D142" t="s">
        <v>1532</v>
      </c>
    </row>
    <row r="143" spans="1:4" x14ac:dyDescent="0.25">
      <c r="A143" t="s">
        <v>1662</v>
      </c>
      <c r="B143" t="s">
        <v>1243</v>
      </c>
      <c r="C143" t="s">
        <v>1244</v>
      </c>
      <c r="D143" t="s">
        <v>1245</v>
      </c>
    </row>
    <row r="144" spans="1:4" x14ac:dyDescent="0.25">
      <c r="A144" t="s">
        <v>1663</v>
      </c>
      <c r="B144" t="s">
        <v>1664</v>
      </c>
      <c r="C144" t="s">
        <v>1665</v>
      </c>
      <c r="D144" t="s">
        <v>1664</v>
      </c>
    </row>
    <row r="145" spans="1:4" x14ac:dyDescent="0.25">
      <c r="A145" t="s">
        <v>1666</v>
      </c>
      <c r="B145" t="s">
        <v>1166</v>
      </c>
      <c r="C145" t="s">
        <v>1519</v>
      </c>
      <c r="D145" t="s">
        <v>1520</v>
      </c>
    </row>
    <row r="146" spans="1:4" x14ac:dyDescent="0.25">
      <c r="A146" t="s">
        <v>1667</v>
      </c>
      <c r="B146" t="s">
        <v>1668</v>
      </c>
      <c r="C146" t="s">
        <v>1669</v>
      </c>
      <c r="D146" t="s">
        <v>1670</v>
      </c>
    </row>
    <row r="147" spans="1:4" x14ac:dyDescent="0.25">
      <c r="A147" t="s">
        <v>1671</v>
      </c>
      <c r="B147" t="s">
        <v>1672</v>
      </c>
      <c r="C147" t="s">
        <v>1673</v>
      </c>
      <c r="D147" t="s">
        <v>1674</v>
      </c>
    </row>
    <row r="148" spans="1:4" x14ac:dyDescent="0.25">
      <c r="A148" t="s">
        <v>1675</v>
      </c>
      <c r="B148" t="s">
        <v>1676</v>
      </c>
      <c r="C148" t="s">
        <v>1677</v>
      </c>
      <c r="D148" t="s">
        <v>1676</v>
      </c>
    </row>
    <row r="149" spans="1:4" x14ac:dyDescent="0.25">
      <c r="A149" t="s">
        <v>1678</v>
      </c>
      <c r="B149" t="s">
        <v>1511</v>
      </c>
      <c r="C149" t="s">
        <v>1512</v>
      </c>
      <c r="D149" t="s">
        <v>1513</v>
      </c>
    </row>
    <row r="150" spans="1:4" x14ac:dyDescent="0.25">
      <c r="A150" t="s">
        <v>1679</v>
      </c>
      <c r="B150" t="s">
        <v>1152</v>
      </c>
      <c r="C150" t="s">
        <v>1505</v>
      </c>
      <c r="D150" t="s">
        <v>1506</v>
      </c>
    </row>
    <row r="151" spans="1:4" x14ac:dyDescent="0.25">
      <c r="A151" t="s">
        <v>1680</v>
      </c>
      <c r="B151" t="s">
        <v>1154</v>
      </c>
      <c r="C151" t="s">
        <v>1508</v>
      </c>
      <c r="D151" t="s">
        <v>1509</v>
      </c>
    </row>
    <row r="152" spans="1:4" x14ac:dyDescent="0.25">
      <c r="A152" t="s">
        <v>1681</v>
      </c>
      <c r="B152" t="s">
        <v>1682</v>
      </c>
      <c r="C152" t="s">
        <v>1683</v>
      </c>
      <c r="D152" t="s">
        <v>1682</v>
      </c>
    </row>
    <row r="153" spans="1:4" x14ac:dyDescent="0.25">
      <c r="A153" t="s">
        <v>1684</v>
      </c>
      <c r="B153" t="s">
        <v>1685</v>
      </c>
      <c r="C153" t="s">
        <v>1686</v>
      </c>
      <c r="D153" t="s">
        <v>1687</v>
      </c>
    </row>
    <row r="154" spans="1:4" x14ac:dyDescent="0.25">
      <c r="A154" t="s">
        <v>1688</v>
      </c>
      <c r="B154" t="s">
        <v>1689</v>
      </c>
      <c r="C154" t="s">
        <v>1690</v>
      </c>
      <c r="D154" t="s">
        <v>1691</v>
      </c>
    </row>
    <row r="155" spans="1:4" x14ac:dyDescent="0.25">
      <c r="A155" t="s">
        <v>1692</v>
      </c>
      <c r="B155" t="s">
        <v>1693</v>
      </c>
      <c r="C155" t="s">
        <v>1694</v>
      </c>
      <c r="D155" t="s">
        <v>1695</v>
      </c>
    </row>
    <row r="156" spans="1:4" x14ac:dyDescent="0.25">
      <c r="A156" t="s">
        <v>1696</v>
      </c>
      <c r="B156" t="s">
        <v>1697</v>
      </c>
      <c r="C156" t="s">
        <v>1698</v>
      </c>
      <c r="D156" t="s">
        <v>1699</v>
      </c>
    </row>
    <row r="157" spans="1:4" x14ac:dyDescent="0.25">
      <c r="A157" t="s">
        <v>1700</v>
      </c>
      <c r="B157" t="s">
        <v>1701</v>
      </c>
      <c r="C157" t="s">
        <v>1702</v>
      </c>
      <c r="D157" t="s">
        <v>1703</v>
      </c>
    </row>
    <row r="158" spans="1:4" x14ac:dyDescent="0.25">
      <c r="A158" t="s">
        <v>1704</v>
      </c>
      <c r="B158" t="s">
        <v>1705</v>
      </c>
      <c r="C158" t="s">
        <v>1652</v>
      </c>
      <c r="D158" t="s">
        <v>1653</v>
      </c>
    </row>
    <row r="159" spans="1:4" x14ac:dyDescent="0.25">
      <c r="A159" t="s">
        <v>1706</v>
      </c>
      <c r="B159" t="s">
        <v>1707</v>
      </c>
      <c r="C159" t="s">
        <v>1708</v>
      </c>
      <c r="D159" t="s">
        <v>1709</v>
      </c>
    </row>
    <row r="160" spans="1:4" x14ac:dyDescent="0.25">
      <c r="A160" t="s">
        <v>1710</v>
      </c>
      <c r="B160" t="s">
        <v>1711</v>
      </c>
      <c r="C160" t="s">
        <v>1712</v>
      </c>
      <c r="D160" t="s">
        <v>1711</v>
      </c>
    </row>
    <row r="161" spans="1:4" x14ac:dyDescent="0.25">
      <c r="A161" t="s">
        <v>1713</v>
      </c>
      <c r="B161" t="s">
        <v>1714</v>
      </c>
      <c r="C161" t="s">
        <v>1715</v>
      </c>
      <c r="D161" t="s">
        <v>1716</v>
      </c>
    </row>
    <row r="162" spans="1:4" x14ac:dyDescent="0.25">
      <c r="A162" t="s">
        <v>1717</v>
      </c>
      <c r="B162" t="s">
        <v>1718</v>
      </c>
      <c r="C162" t="s">
        <v>1719</v>
      </c>
      <c r="D162" t="s">
        <v>1720</v>
      </c>
    </row>
    <row r="250" spans="6:8" x14ac:dyDescent="0.25">
      <c r="F250" t="s">
        <v>1363</v>
      </c>
      <c r="G250" t="s">
        <v>1364</v>
      </c>
      <c r="H250" t="s">
        <v>1365</v>
      </c>
    </row>
    <row r="251" spans="6:8" x14ac:dyDescent="0.25">
      <c r="F251" t="s">
        <v>1367</v>
      </c>
      <c r="G251" t="s">
        <v>1368</v>
      </c>
      <c r="H251" t="s">
        <v>1369</v>
      </c>
    </row>
    <row r="252" spans="6:8" x14ac:dyDescent="0.25">
      <c r="F252" t="s">
        <v>1371</v>
      </c>
      <c r="G252" t="s">
        <v>1372</v>
      </c>
      <c r="H252" t="s">
        <v>1373</v>
      </c>
    </row>
    <row r="253" spans="6:8" x14ac:dyDescent="0.25">
      <c r="F253" t="s">
        <v>1375</v>
      </c>
      <c r="G253" t="s">
        <v>1376</v>
      </c>
      <c r="H253" t="s">
        <v>1377</v>
      </c>
    </row>
    <row r="254" spans="6:8" x14ac:dyDescent="0.25">
      <c r="F254" t="s">
        <v>1379</v>
      </c>
      <c r="G254" t="s">
        <v>1379</v>
      </c>
      <c r="H254" t="s">
        <v>1379</v>
      </c>
    </row>
    <row r="258" spans="6:8" x14ac:dyDescent="0.25">
      <c r="F258" t="s">
        <v>1721</v>
      </c>
      <c r="G258" t="s">
        <v>1722</v>
      </c>
      <c r="H258" t="s">
        <v>1721</v>
      </c>
    </row>
    <row r="259" spans="6:8" x14ac:dyDescent="0.25">
      <c r="F259" t="s">
        <v>1723</v>
      </c>
      <c r="G259" t="s">
        <v>1724</v>
      </c>
      <c r="H259" t="s">
        <v>1725</v>
      </c>
    </row>
    <row r="260" spans="6:8" x14ac:dyDescent="0.25">
      <c r="F260" t="s">
        <v>1500</v>
      </c>
      <c r="G260" t="s">
        <v>1726</v>
      </c>
      <c r="H260" t="s">
        <v>1502</v>
      </c>
    </row>
    <row r="261" spans="6:8" x14ac:dyDescent="0.25">
      <c r="F261" t="s">
        <v>1727</v>
      </c>
      <c r="G261" t="s">
        <v>1728</v>
      </c>
      <c r="H261" t="s">
        <v>1729</v>
      </c>
    </row>
    <row r="262" spans="6:8" x14ac:dyDescent="0.25">
      <c r="F262" t="s">
        <v>1730</v>
      </c>
      <c r="G262" t="s">
        <v>1731</v>
      </c>
      <c r="H262" t="s">
        <v>1732</v>
      </c>
    </row>
    <row r="263" spans="6:8" x14ac:dyDescent="0.25">
      <c r="F263" t="s">
        <v>1733</v>
      </c>
      <c r="G263" t="s">
        <v>1734</v>
      </c>
      <c r="H263" t="s">
        <v>1735</v>
      </c>
    </row>
    <row r="264" spans="6:8" x14ac:dyDescent="0.25">
      <c r="F264" t="s">
        <v>1736</v>
      </c>
      <c r="G264" t="s">
        <v>1737</v>
      </c>
      <c r="H264" t="s">
        <v>1738</v>
      </c>
    </row>
    <row r="265" spans="6:8" x14ac:dyDescent="0.25">
      <c r="F265" t="s">
        <v>1739</v>
      </c>
      <c r="G265" t="s">
        <v>1740</v>
      </c>
      <c r="H265" t="s">
        <v>1741</v>
      </c>
    </row>
    <row r="270" spans="6:8" x14ac:dyDescent="0.25">
      <c r="F270" t="s">
        <v>1742</v>
      </c>
      <c r="G270" t="s">
        <v>1743</v>
      </c>
      <c r="H270" t="s">
        <v>1743</v>
      </c>
    </row>
    <row r="271" spans="6:8" x14ac:dyDescent="0.25">
      <c r="F271" t="s">
        <v>1744</v>
      </c>
      <c r="G271" t="s">
        <v>1745</v>
      </c>
      <c r="H271" t="s">
        <v>1746</v>
      </c>
    </row>
    <row r="272" spans="6:8" x14ac:dyDescent="0.25">
      <c r="F272" t="s">
        <v>1747</v>
      </c>
      <c r="G272" t="s">
        <v>1748</v>
      </c>
      <c r="H272" t="s">
        <v>1747</v>
      </c>
    </row>
    <row r="273" spans="6:8" x14ac:dyDescent="0.25">
      <c r="F273" t="s">
        <v>1749</v>
      </c>
      <c r="G273" t="s">
        <v>1750</v>
      </c>
      <c r="H273" t="s">
        <v>1749</v>
      </c>
    </row>
    <row r="274" spans="6:8" x14ac:dyDescent="0.25">
      <c r="F274" t="s">
        <v>1751</v>
      </c>
      <c r="G274" t="s">
        <v>1752</v>
      </c>
      <c r="H274" t="s">
        <v>1753</v>
      </c>
    </row>
    <row r="275" spans="6:8" x14ac:dyDescent="0.25">
      <c r="F275" t="s">
        <v>1754</v>
      </c>
      <c r="G275" t="s">
        <v>1755</v>
      </c>
      <c r="H275" t="s">
        <v>1755</v>
      </c>
    </row>
    <row r="276" spans="6:8" x14ac:dyDescent="0.25">
      <c r="F276" t="s">
        <v>1756</v>
      </c>
      <c r="G276" t="s">
        <v>1756</v>
      </c>
      <c r="H276" t="s">
        <v>1756</v>
      </c>
    </row>
    <row r="277" spans="6:8" x14ac:dyDescent="0.25">
      <c r="F277" t="s">
        <v>1757</v>
      </c>
      <c r="G277" t="s">
        <v>1758</v>
      </c>
      <c r="H277" t="s">
        <v>1759</v>
      </c>
    </row>
    <row r="278" spans="6:8" x14ac:dyDescent="0.25">
      <c r="F278" t="s">
        <v>1760</v>
      </c>
      <c r="G278" t="s">
        <v>1486</v>
      </c>
      <c r="H278" t="s">
        <v>1761</v>
      </c>
    </row>
    <row r="279" spans="6:8" x14ac:dyDescent="0.25">
      <c r="F279" t="s">
        <v>1739</v>
      </c>
      <c r="G279" t="s">
        <v>1740</v>
      </c>
      <c r="H279" t="s">
        <v>1741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16</vt:i4>
      </vt:variant>
      <vt:variant>
        <vt:lpstr>Benoemde bereiken</vt:lpstr>
      </vt:variant>
      <vt:variant>
        <vt:i4>9</vt:i4>
      </vt:variant>
    </vt:vector>
  </HeadingPairs>
  <TitlesOfParts>
    <vt:vector size="25" baseType="lpstr">
      <vt:lpstr>Config</vt:lpstr>
      <vt:lpstr>Info</vt:lpstr>
      <vt:lpstr>Processes</vt:lpstr>
      <vt:lpstr>Information Assets</vt:lpstr>
      <vt:lpstr>Dependent Assets</vt:lpstr>
      <vt:lpstr>RARM</vt:lpstr>
      <vt:lpstr>Responsible Persons</vt:lpstr>
      <vt:lpstr>Import &amp; Export</vt:lpstr>
      <vt:lpstr>Reference Values</vt:lpstr>
      <vt:lpstr>CyFun Controls</vt:lpstr>
      <vt:lpstr>Kwetsbaarheden</vt:lpstr>
      <vt:lpstr>Afwijkingen</vt:lpstr>
      <vt:lpstr>Risicobeheer</vt:lpstr>
      <vt:lpstr>Controles</vt:lpstr>
      <vt:lpstr>Acties</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2026-05-25T09:28:33Z</dcterms:created>
  <dcterms:modified xsi:type="dcterms:W3CDTF">2026-05-25T09:28:37Z</dcterms:modified>
</cp:coreProperties>
</file>