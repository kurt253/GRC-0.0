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kurtm\Documents\GRC-0.0\data\template\"/>
    </mc:Choice>
  </mc:AlternateContent>
  <xr:revisionPtr revIDLastSave="0" documentId="8_{464DC59D-282B-4A1A-9815-C46980FE032F}" xr6:coauthVersionLast="47" xr6:coauthVersionMax="47" xr10:uidLastSave="{00000000-0000-0000-0000-000000000000}"/>
  <bookViews>
    <workbookView xWindow="2340" yWindow="2340" windowWidth="21600" windowHeight="12645" xr2:uid="{00000000-000D-0000-FFFF-FFFF00000000}"/>
  </bookViews>
  <sheets>
    <sheet name="Config" sheetId="1" r:id="rId1"/>
    <sheet name="Info" sheetId="2" r:id="rId2"/>
    <sheet name="Processes" sheetId="3" r:id="rId3"/>
    <sheet name="Information Assets" sheetId="4" r:id="rId4"/>
    <sheet name="Dependent Assets" sheetId="5" r:id="rId5"/>
    <sheet name="RARM" sheetId="6" r:id="rId6"/>
    <sheet name="Responsible Persons" sheetId="7" r:id="rId7"/>
    <sheet name="Import &amp; Export" sheetId="8" r:id="rId8"/>
    <sheet name="Reference Values" sheetId="9" r:id="rId9"/>
    <sheet name="CyFun Controls" sheetId="10" r:id="rId10"/>
    <sheet name="Kwetsbaarheden" sheetId="11" r:id="rId11"/>
    <sheet name="Afwijkingen" sheetId="12" r:id="rId12"/>
    <sheet name="_Lang" sheetId="13" state="hidden" r:id="rId13"/>
  </sheets>
  <functionGroups builtInGroupCount="19"/>
  <definedNames>
    <definedName name="_xlnm._FilterDatabase" localSheetId="9" hidden="1">'CyFun Controls'!$A$3:$M$3</definedName>
    <definedName name="_xlnm._FilterDatabase" localSheetId="4" hidden="1">'Dependent Assets'!$A$5:$Y$5</definedName>
    <definedName name="_xlnm._FilterDatabase" localSheetId="3" hidden="1">'Information Assets'!$A$5:$I$5</definedName>
    <definedName name="_xlnm._FilterDatabase" localSheetId="10" hidden="1">Kwetsbaarheden!$A$2:$B$2</definedName>
    <definedName name="_xlnm._FilterDatabase" localSheetId="2" hidden="1">Processes!$A$5:$L$5</definedName>
    <definedName name="_xlnm._FilterDatabase" localSheetId="6" hidden="1">'Responsible Persons'!$A$5:$I$5</definedName>
    <definedName name="cls_EN">_Lang!$H$250:$H$254</definedName>
    <definedName name="cls_FR">_Lang!$G$250:$G$254</definedName>
    <definedName name="cls_NL">_Lang!$F$250:$F$254</definedName>
    <definedName name="roles_EN">_Lang!$H$258:$H$265</definedName>
    <definedName name="roles_FR">_Lang!$G$258:$G$265</definedName>
    <definedName name="roles_NL">_Lang!$F$258:$F$265</definedName>
    <definedName name="types_EN">_Lang!$H$270:$H$279</definedName>
    <definedName name="types_FR">_Lang!$G$270:$G$279</definedName>
    <definedName name="types_NL">_Lang!$F$270:$F$279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30" i="9" l="1"/>
  <c r="B30" i="9"/>
  <c r="C29" i="9"/>
  <c r="B29" i="9"/>
  <c r="C28" i="9"/>
  <c r="B28" i="9"/>
  <c r="C27" i="9"/>
  <c r="B27" i="9"/>
  <c r="C26" i="9"/>
  <c r="B26" i="9"/>
  <c r="C25" i="9"/>
  <c r="B25" i="9"/>
  <c r="A25" i="9"/>
  <c r="A24" i="9"/>
  <c r="A23" i="9"/>
  <c r="C21" i="9"/>
  <c r="B21" i="9"/>
  <c r="C20" i="9"/>
  <c r="B20" i="9"/>
  <c r="C19" i="9"/>
  <c r="B19" i="9"/>
  <c r="C18" i="9"/>
  <c r="B18" i="9"/>
  <c r="C17" i="9"/>
  <c r="B17" i="9"/>
  <c r="C16" i="9"/>
  <c r="B16" i="9"/>
  <c r="A16" i="9"/>
  <c r="A15" i="9"/>
  <c r="A14" i="9"/>
  <c r="C12" i="9"/>
  <c r="B12" i="9"/>
  <c r="C11" i="9"/>
  <c r="B11" i="9"/>
  <c r="C10" i="9"/>
  <c r="B10" i="9"/>
  <c r="C9" i="9"/>
  <c r="B9" i="9"/>
  <c r="C8" i="9"/>
  <c r="B8" i="9"/>
  <c r="C7" i="9"/>
  <c r="B7" i="9"/>
  <c r="A7" i="9"/>
  <c r="A6" i="9"/>
  <c r="A5" i="9"/>
  <c r="A3" i="9"/>
  <c r="A2" i="9"/>
  <c r="A1" i="9"/>
  <c r="B34" i="8"/>
  <c r="B31" i="8"/>
  <c r="B30" i="8"/>
  <c r="B27" i="8"/>
  <c r="B26" i="8"/>
  <c r="B25" i="8"/>
  <c r="B24" i="8"/>
  <c r="B22" i="8"/>
  <c r="B21" i="8"/>
  <c r="B19" i="8"/>
  <c r="B18" i="8"/>
  <c r="B16" i="8"/>
  <c r="B15" i="8"/>
  <c r="B13" i="8"/>
  <c r="B12" i="8"/>
  <c r="B10" i="8"/>
  <c r="B9" i="8"/>
  <c r="B7" i="8"/>
  <c r="B6" i="8"/>
  <c r="B5" i="8"/>
  <c r="A3" i="8"/>
  <c r="A2" i="8"/>
  <c r="A1" i="8"/>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I5" i="7"/>
  <c r="H5" i="7"/>
  <c r="G5" i="7"/>
  <c r="F5" i="7"/>
  <c r="E5" i="7"/>
  <c r="D5" i="7"/>
  <c r="C5" i="7"/>
  <c r="B5" i="7"/>
  <c r="A5" i="7"/>
  <c r="A3" i="7"/>
  <c r="A2" i="7"/>
  <c r="A1" i="7"/>
  <c r="U105" i="5"/>
  <c r="S105" i="5"/>
  <c r="Q105" i="5"/>
  <c r="O105" i="5"/>
  <c r="M105" i="5"/>
  <c r="K105" i="5"/>
  <c r="A105" i="5"/>
  <c r="U104" i="5"/>
  <c r="S104" i="5"/>
  <c r="Q104" i="5"/>
  <c r="O104" i="5"/>
  <c r="M104" i="5"/>
  <c r="K104" i="5"/>
  <c r="A104" i="5"/>
  <c r="U103" i="5"/>
  <c r="S103" i="5"/>
  <c r="Q103" i="5"/>
  <c r="O103" i="5"/>
  <c r="M103" i="5"/>
  <c r="K103" i="5"/>
  <c r="A103" i="5"/>
  <c r="U102" i="5"/>
  <c r="S102" i="5"/>
  <c r="Q102" i="5"/>
  <c r="O102" i="5"/>
  <c r="M102" i="5"/>
  <c r="K102" i="5"/>
  <c r="A102" i="5"/>
  <c r="U101" i="5"/>
  <c r="S101" i="5"/>
  <c r="Q101" i="5"/>
  <c r="O101" i="5"/>
  <c r="M101" i="5"/>
  <c r="K101" i="5"/>
  <c r="A101" i="5"/>
  <c r="U100" i="5"/>
  <c r="S100" i="5"/>
  <c r="Q100" i="5"/>
  <c r="O100" i="5"/>
  <c r="M100" i="5"/>
  <c r="K100" i="5"/>
  <c r="A100" i="5"/>
  <c r="U99" i="5"/>
  <c r="S99" i="5"/>
  <c r="Q99" i="5"/>
  <c r="O99" i="5"/>
  <c r="M99" i="5"/>
  <c r="K99" i="5"/>
  <c r="A99" i="5"/>
  <c r="U98" i="5"/>
  <c r="S98" i="5"/>
  <c r="Q98" i="5"/>
  <c r="O98" i="5"/>
  <c r="M98" i="5"/>
  <c r="K98" i="5"/>
  <c r="A98" i="5"/>
  <c r="U97" i="5"/>
  <c r="S97" i="5"/>
  <c r="Q97" i="5"/>
  <c r="O97" i="5"/>
  <c r="M97" i="5"/>
  <c r="K97" i="5"/>
  <c r="A97" i="5"/>
  <c r="U96" i="5"/>
  <c r="S96" i="5"/>
  <c r="Q96" i="5"/>
  <c r="O96" i="5"/>
  <c r="M96" i="5"/>
  <c r="K96" i="5"/>
  <c r="A96" i="5"/>
  <c r="U95" i="5"/>
  <c r="S95" i="5"/>
  <c r="Q95" i="5"/>
  <c r="O95" i="5"/>
  <c r="M95" i="5"/>
  <c r="K95" i="5"/>
  <c r="A95" i="5"/>
  <c r="U94" i="5"/>
  <c r="S94" i="5"/>
  <c r="Q94" i="5"/>
  <c r="O94" i="5"/>
  <c r="M94" i="5"/>
  <c r="K94" i="5"/>
  <c r="A94" i="5"/>
  <c r="U93" i="5"/>
  <c r="S93" i="5"/>
  <c r="Q93" i="5"/>
  <c r="O93" i="5"/>
  <c r="M93" i="5"/>
  <c r="K93" i="5"/>
  <c r="A93" i="5"/>
  <c r="U92" i="5"/>
  <c r="S92" i="5"/>
  <c r="Q92" i="5"/>
  <c r="O92" i="5"/>
  <c r="M92" i="5"/>
  <c r="K92" i="5"/>
  <c r="A92" i="5"/>
  <c r="U91" i="5"/>
  <c r="S91" i="5"/>
  <c r="Q91" i="5"/>
  <c r="O91" i="5"/>
  <c r="M91" i="5"/>
  <c r="K91" i="5"/>
  <c r="A91" i="5"/>
  <c r="U90" i="5"/>
  <c r="S90" i="5"/>
  <c r="Q90" i="5"/>
  <c r="O90" i="5"/>
  <c r="M90" i="5"/>
  <c r="K90" i="5"/>
  <c r="A90" i="5"/>
  <c r="U89" i="5"/>
  <c r="S89" i="5"/>
  <c r="Q89" i="5"/>
  <c r="O89" i="5"/>
  <c r="M89" i="5"/>
  <c r="K89" i="5"/>
  <c r="A89" i="5"/>
  <c r="U88" i="5"/>
  <c r="S88" i="5"/>
  <c r="Q88" i="5"/>
  <c r="O88" i="5"/>
  <c r="M88" i="5"/>
  <c r="K88" i="5"/>
  <c r="A88" i="5"/>
  <c r="U87" i="5"/>
  <c r="S87" i="5"/>
  <c r="Q87" i="5"/>
  <c r="O87" i="5"/>
  <c r="M87" i="5"/>
  <c r="K87" i="5"/>
  <c r="A87" i="5"/>
  <c r="U86" i="5"/>
  <c r="S86" i="5"/>
  <c r="Q86" i="5"/>
  <c r="O86" i="5"/>
  <c r="M86" i="5"/>
  <c r="K86" i="5"/>
  <c r="A86" i="5"/>
  <c r="U85" i="5"/>
  <c r="S85" i="5"/>
  <c r="Q85" i="5"/>
  <c r="O85" i="5"/>
  <c r="M85" i="5"/>
  <c r="K85" i="5"/>
  <c r="A85" i="5"/>
  <c r="U84" i="5"/>
  <c r="S84" i="5"/>
  <c r="Q84" i="5"/>
  <c r="O84" i="5"/>
  <c r="M84" i="5"/>
  <c r="K84" i="5"/>
  <c r="A84" i="5"/>
  <c r="U83" i="5"/>
  <c r="S83" i="5"/>
  <c r="Q83" i="5"/>
  <c r="O83" i="5"/>
  <c r="M83" i="5"/>
  <c r="K83" i="5"/>
  <c r="A83" i="5"/>
  <c r="U82" i="5"/>
  <c r="S82" i="5"/>
  <c r="Q82" i="5"/>
  <c r="O82" i="5"/>
  <c r="M82" i="5"/>
  <c r="K82" i="5"/>
  <c r="A82" i="5"/>
  <c r="U81" i="5"/>
  <c r="S81" i="5"/>
  <c r="Q81" i="5"/>
  <c r="O81" i="5"/>
  <c r="M81" i="5"/>
  <c r="K81" i="5"/>
  <c r="A81" i="5"/>
  <c r="U80" i="5"/>
  <c r="S80" i="5"/>
  <c r="Q80" i="5"/>
  <c r="O80" i="5"/>
  <c r="M80" i="5"/>
  <c r="K80" i="5"/>
  <c r="A80" i="5"/>
  <c r="U79" i="5"/>
  <c r="S79" i="5"/>
  <c r="Q79" i="5"/>
  <c r="O79" i="5"/>
  <c r="M79" i="5"/>
  <c r="K79" i="5"/>
  <c r="A79" i="5"/>
  <c r="U78" i="5"/>
  <c r="S78" i="5"/>
  <c r="Q78" i="5"/>
  <c r="O78" i="5"/>
  <c r="M78" i="5"/>
  <c r="K78" i="5"/>
  <c r="A78" i="5"/>
  <c r="U77" i="5"/>
  <c r="S77" i="5"/>
  <c r="Q77" i="5"/>
  <c r="O77" i="5"/>
  <c r="M77" i="5"/>
  <c r="K77" i="5"/>
  <c r="A77" i="5"/>
  <c r="U76" i="5"/>
  <c r="S76" i="5"/>
  <c r="Q76" i="5"/>
  <c r="O76" i="5"/>
  <c r="M76" i="5"/>
  <c r="K76" i="5"/>
  <c r="A76" i="5"/>
  <c r="U75" i="5"/>
  <c r="S75" i="5"/>
  <c r="Q75" i="5"/>
  <c r="O75" i="5"/>
  <c r="M75" i="5"/>
  <c r="K75" i="5"/>
  <c r="A75" i="5"/>
  <c r="U74" i="5"/>
  <c r="S74" i="5"/>
  <c r="Q74" i="5"/>
  <c r="O74" i="5"/>
  <c r="M74" i="5"/>
  <c r="K74" i="5"/>
  <c r="A74" i="5"/>
  <c r="U73" i="5"/>
  <c r="S73" i="5"/>
  <c r="Q73" i="5"/>
  <c r="O73" i="5"/>
  <c r="M73" i="5"/>
  <c r="K73" i="5"/>
  <c r="A73" i="5"/>
  <c r="U72" i="5"/>
  <c r="S72" i="5"/>
  <c r="Q72" i="5"/>
  <c r="O72" i="5"/>
  <c r="M72" i="5"/>
  <c r="K72" i="5"/>
  <c r="A72" i="5"/>
  <c r="U71" i="5"/>
  <c r="S71" i="5"/>
  <c r="Q71" i="5"/>
  <c r="O71" i="5"/>
  <c r="M71" i="5"/>
  <c r="K71" i="5"/>
  <c r="A71" i="5"/>
  <c r="U70" i="5"/>
  <c r="S70" i="5"/>
  <c r="Q70" i="5"/>
  <c r="O70" i="5"/>
  <c r="M70" i="5"/>
  <c r="K70" i="5"/>
  <c r="A70" i="5"/>
  <c r="U69" i="5"/>
  <c r="S69" i="5"/>
  <c r="Q69" i="5"/>
  <c r="O69" i="5"/>
  <c r="M69" i="5"/>
  <c r="K69" i="5"/>
  <c r="A69" i="5"/>
  <c r="U68" i="5"/>
  <c r="S68" i="5"/>
  <c r="Q68" i="5"/>
  <c r="O68" i="5"/>
  <c r="M68" i="5"/>
  <c r="K68" i="5"/>
  <c r="A68" i="5"/>
  <c r="U67" i="5"/>
  <c r="S67" i="5"/>
  <c r="Q67" i="5"/>
  <c r="O67" i="5"/>
  <c r="M67" i="5"/>
  <c r="K67" i="5"/>
  <c r="A67" i="5"/>
  <c r="U66" i="5"/>
  <c r="S66" i="5"/>
  <c r="Q66" i="5"/>
  <c r="O66" i="5"/>
  <c r="M66" i="5"/>
  <c r="K66" i="5"/>
  <c r="A66" i="5"/>
  <c r="U65" i="5"/>
  <c r="S65" i="5"/>
  <c r="Q65" i="5"/>
  <c r="O65" i="5"/>
  <c r="M65" i="5"/>
  <c r="K65" i="5"/>
  <c r="A65" i="5"/>
  <c r="U64" i="5"/>
  <c r="S64" i="5"/>
  <c r="Q64" i="5"/>
  <c r="O64" i="5"/>
  <c r="M64" i="5"/>
  <c r="K64" i="5"/>
  <c r="A64" i="5"/>
  <c r="U63" i="5"/>
  <c r="S63" i="5"/>
  <c r="Q63" i="5"/>
  <c r="O63" i="5"/>
  <c r="M63" i="5"/>
  <c r="K63" i="5"/>
  <c r="A63" i="5"/>
  <c r="U62" i="5"/>
  <c r="S62" i="5"/>
  <c r="Q62" i="5"/>
  <c r="O62" i="5"/>
  <c r="M62" i="5"/>
  <c r="K62" i="5"/>
  <c r="A62" i="5"/>
  <c r="U61" i="5"/>
  <c r="S61" i="5"/>
  <c r="Q61" i="5"/>
  <c r="O61" i="5"/>
  <c r="M61" i="5"/>
  <c r="K61" i="5"/>
  <c r="A61" i="5"/>
  <c r="U60" i="5"/>
  <c r="S60" i="5"/>
  <c r="Q60" i="5"/>
  <c r="O60" i="5"/>
  <c r="M60" i="5"/>
  <c r="K60" i="5"/>
  <c r="A60" i="5"/>
  <c r="U59" i="5"/>
  <c r="S59" i="5"/>
  <c r="Q59" i="5"/>
  <c r="O59" i="5"/>
  <c r="M59" i="5"/>
  <c r="K59" i="5"/>
  <c r="A59" i="5"/>
  <c r="U58" i="5"/>
  <c r="S58" i="5"/>
  <c r="Q58" i="5"/>
  <c r="O58" i="5"/>
  <c r="M58" i="5"/>
  <c r="K58" i="5"/>
  <c r="A58" i="5"/>
  <c r="U57" i="5"/>
  <c r="S57" i="5"/>
  <c r="Q57" i="5"/>
  <c r="O57" i="5"/>
  <c r="M57" i="5"/>
  <c r="K57" i="5"/>
  <c r="A57" i="5"/>
  <c r="U56" i="5"/>
  <c r="S56" i="5"/>
  <c r="Q56" i="5"/>
  <c r="O56" i="5"/>
  <c r="M56" i="5"/>
  <c r="K56" i="5"/>
  <c r="A56" i="5"/>
  <c r="U55" i="5"/>
  <c r="S55" i="5"/>
  <c r="Q55" i="5"/>
  <c r="O55" i="5"/>
  <c r="M55" i="5"/>
  <c r="K55" i="5"/>
  <c r="A55" i="5"/>
  <c r="U54" i="5"/>
  <c r="S54" i="5"/>
  <c r="Q54" i="5"/>
  <c r="O54" i="5"/>
  <c r="M54" i="5"/>
  <c r="K54" i="5"/>
  <c r="A54" i="5"/>
  <c r="U53" i="5"/>
  <c r="S53" i="5"/>
  <c r="Q53" i="5"/>
  <c r="O53" i="5"/>
  <c r="M53" i="5"/>
  <c r="K53" i="5"/>
  <c r="A53" i="5"/>
  <c r="U52" i="5"/>
  <c r="S52" i="5"/>
  <c r="Q52" i="5"/>
  <c r="O52" i="5"/>
  <c r="M52" i="5"/>
  <c r="K52" i="5"/>
  <c r="A52" i="5"/>
  <c r="U51" i="5"/>
  <c r="S51" i="5"/>
  <c r="Q51" i="5"/>
  <c r="O51" i="5"/>
  <c r="M51" i="5"/>
  <c r="K51" i="5"/>
  <c r="A51" i="5"/>
  <c r="U50" i="5"/>
  <c r="S50" i="5"/>
  <c r="Q50" i="5"/>
  <c r="O50" i="5"/>
  <c r="M50" i="5"/>
  <c r="K50" i="5"/>
  <c r="A50" i="5"/>
  <c r="U49" i="5"/>
  <c r="S49" i="5"/>
  <c r="Q49" i="5"/>
  <c r="O49" i="5"/>
  <c r="M49" i="5"/>
  <c r="K49" i="5"/>
  <c r="A49" i="5"/>
  <c r="U48" i="5"/>
  <c r="S48" i="5"/>
  <c r="Q48" i="5"/>
  <c r="O48" i="5"/>
  <c r="M48" i="5"/>
  <c r="K48" i="5"/>
  <c r="A48" i="5"/>
  <c r="U47" i="5"/>
  <c r="S47" i="5"/>
  <c r="Q47" i="5"/>
  <c r="O47" i="5"/>
  <c r="M47" i="5"/>
  <c r="K47" i="5"/>
  <c r="A47" i="5"/>
  <c r="U46" i="5"/>
  <c r="S46" i="5"/>
  <c r="Q46" i="5"/>
  <c r="O46" i="5"/>
  <c r="M46" i="5"/>
  <c r="K46" i="5"/>
  <c r="A46" i="5"/>
  <c r="U45" i="5"/>
  <c r="S45" i="5"/>
  <c r="Q45" i="5"/>
  <c r="O45" i="5"/>
  <c r="M45" i="5"/>
  <c r="K45" i="5"/>
  <c r="A45" i="5"/>
  <c r="U44" i="5"/>
  <c r="S44" i="5"/>
  <c r="Q44" i="5"/>
  <c r="O44" i="5"/>
  <c r="M44" i="5"/>
  <c r="K44" i="5"/>
  <c r="A44" i="5"/>
  <c r="U43" i="5"/>
  <c r="S43" i="5"/>
  <c r="Q43" i="5"/>
  <c r="O43" i="5"/>
  <c r="M43" i="5"/>
  <c r="K43" i="5"/>
  <c r="A43" i="5"/>
  <c r="U42" i="5"/>
  <c r="S42" i="5"/>
  <c r="Q42" i="5"/>
  <c r="O42" i="5"/>
  <c r="M42" i="5"/>
  <c r="K42" i="5"/>
  <c r="A42" i="5"/>
  <c r="U41" i="5"/>
  <c r="S41" i="5"/>
  <c r="Q41" i="5"/>
  <c r="O41" i="5"/>
  <c r="M41" i="5"/>
  <c r="K41" i="5"/>
  <c r="A41" i="5"/>
  <c r="U40" i="5"/>
  <c r="S40" i="5"/>
  <c r="Q40" i="5"/>
  <c r="O40" i="5"/>
  <c r="M40" i="5"/>
  <c r="K40" i="5"/>
  <c r="A40" i="5"/>
  <c r="U39" i="5"/>
  <c r="S39" i="5"/>
  <c r="Q39" i="5"/>
  <c r="O39" i="5"/>
  <c r="M39" i="5"/>
  <c r="K39" i="5"/>
  <c r="A39" i="5"/>
  <c r="U38" i="5"/>
  <c r="S38" i="5"/>
  <c r="Q38" i="5"/>
  <c r="O38" i="5"/>
  <c r="M38" i="5"/>
  <c r="K38" i="5"/>
  <c r="A38" i="5"/>
  <c r="U37" i="5"/>
  <c r="S37" i="5"/>
  <c r="Q37" i="5"/>
  <c r="O37" i="5"/>
  <c r="M37" i="5"/>
  <c r="K37" i="5"/>
  <c r="A37" i="5"/>
  <c r="U36" i="5"/>
  <c r="S36" i="5"/>
  <c r="Q36" i="5"/>
  <c r="O36" i="5"/>
  <c r="M36" i="5"/>
  <c r="K36" i="5"/>
  <c r="A36" i="5"/>
  <c r="U35" i="5"/>
  <c r="S35" i="5"/>
  <c r="Q35" i="5"/>
  <c r="O35" i="5"/>
  <c r="M35" i="5"/>
  <c r="K35" i="5"/>
  <c r="A35" i="5"/>
  <c r="U34" i="5"/>
  <c r="S34" i="5"/>
  <c r="Q34" i="5"/>
  <c r="O34" i="5"/>
  <c r="M34" i="5"/>
  <c r="K34" i="5"/>
  <c r="A34" i="5"/>
  <c r="U33" i="5"/>
  <c r="S33" i="5"/>
  <c r="Q33" i="5"/>
  <c r="O33" i="5"/>
  <c r="M33" i="5"/>
  <c r="K33" i="5"/>
  <c r="A33" i="5"/>
  <c r="U32" i="5"/>
  <c r="S32" i="5"/>
  <c r="Q32" i="5"/>
  <c r="O32" i="5"/>
  <c r="M32" i="5"/>
  <c r="K32" i="5"/>
  <c r="A32" i="5"/>
  <c r="U31" i="5"/>
  <c r="S31" i="5"/>
  <c r="Q31" i="5"/>
  <c r="O31" i="5"/>
  <c r="M31" i="5"/>
  <c r="K31" i="5"/>
  <c r="A31" i="5"/>
  <c r="U30" i="5"/>
  <c r="S30" i="5"/>
  <c r="Q30" i="5"/>
  <c r="O30" i="5"/>
  <c r="M30" i="5"/>
  <c r="K30" i="5"/>
  <c r="A30" i="5"/>
  <c r="U29" i="5"/>
  <c r="S29" i="5"/>
  <c r="Q29" i="5"/>
  <c r="O29" i="5"/>
  <c r="M29" i="5"/>
  <c r="K29" i="5"/>
  <c r="A29" i="5"/>
  <c r="U28" i="5"/>
  <c r="S28" i="5"/>
  <c r="Q28" i="5"/>
  <c r="O28" i="5"/>
  <c r="M28" i="5"/>
  <c r="K28" i="5"/>
  <c r="A28" i="5"/>
  <c r="U27" i="5"/>
  <c r="S27" i="5"/>
  <c r="Q27" i="5"/>
  <c r="O27" i="5"/>
  <c r="M27" i="5"/>
  <c r="K27" i="5"/>
  <c r="A27" i="5"/>
  <c r="U26" i="5"/>
  <c r="S26" i="5"/>
  <c r="Q26" i="5"/>
  <c r="O26" i="5"/>
  <c r="M26" i="5"/>
  <c r="K26" i="5"/>
  <c r="A26" i="5"/>
  <c r="U25" i="5"/>
  <c r="S25" i="5"/>
  <c r="Q25" i="5"/>
  <c r="O25" i="5"/>
  <c r="M25" i="5"/>
  <c r="K25" i="5"/>
  <c r="A25" i="5"/>
  <c r="U24" i="5"/>
  <c r="S24" i="5"/>
  <c r="Q24" i="5"/>
  <c r="O24" i="5"/>
  <c r="M24" i="5"/>
  <c r="K24" i="5"/>
  <c r="A24" i="5"/>
  <c r="U23" i="5"/>
  <c r="S23" i="5"/>
  <c r="Q23" i="5"/>
  <c r="O23" i="5"/>
  <c r="M23" i="5"/>
  <c r="K23" i="5"/>
  <c r="A23" i="5"/>
  <c r="U22" i="5"/>
  <c r="S22" i="5"/>
  <c r="Q22" i="5"/>
  <c r="O22" i="5"/>
  <c r="M22" i="5"/>
  <c r="K22" i="5"/>
  <c r="A22" i="5"/>
  <c r="U21" i="5"/>
  <c r="S21" i="5"/>
  <c r="Q21" i="5"/>
  <c r="O21" i="5"/>
  <c r="M21" i="5"/>
  <c r="K21" i="5"/>
  <c r="A21" i="5"/>
  <c r="U20" i="5"/>
  <c r="S20" i="5"/>
  <c r="Q20" i="5"/>
  <c r="O20" i="5"/>
  <c r="M20" i="5"/>
  <c r="K20" i="5"/>
  <c r="A20" i="5"/>
  <c r="U19" i="5"/>
  <c r="S19" i="5"/>
  <c r="Q19" i="5"/>
  <c r="O19" i="5"/>
  <c r="M19" i="5"/>
  <c r="K19" i="5"/>
  <c r="A19" i="5"/>
  <c r="U18" i="5"/>
  <c r="S18" i="5"/>
  <c r="Q18" i="5"/>
  <c r="O18" i="5"/>
  <c r="M18" i="5"/>
  <c r="K18" i="5"/>
  <c r="A18" i="5"/>
  <c r="U17" i="5"/>
  <c r="S17" i="5"/>
  <c r="Q17" i="5"/>
  <c r="O17" i="5"/>
  <c r="M17" i="5"/>
  <c r="K17" i="5"/>
  <c r="A17" i="5"/>
  <c r="U16" i="5"/>
  <c r="S16" i="5"/>
  <c r="Q16" i="5"/>
  <c r="O16" i="5"/>
  <c r="M16" i="5"/>
  <c r="K16" i="5"/>
  <c r="A16" i="5"/>
  <c r="U15" i="5"/>
  <c r="S15" i="5"/>
  <c r="Q15" i="5"/>
  <c r="O15" i="5"/>
  <c r="M15" i="5"/>
  <c r="K15" i="5"/>
  <c r="A15" i="5"/>
  <c r="U14" i="5"/>
  <c r="S14" i="5"/>
  <c r="Q14" i="5"/>
  <c r="O14" i="5"/>
  <c r="M14" i="5"/>
  <c r="K14" i="5"/>
  <c r="A14" i="5"/>
  <c r="U13" i="5"/>
  <c r="S13" i="5"/>
  <c r="Q13" i="5"/>
  <c r="O13" i="5"/>
  <c r="M13" i="5"/>
  <c r="K13" i="5"/>
  <c r="A13" i="5"/>
  <c r="U12" i="5"/>
  <c r="S12" i="5"/>
  <c r="Q12" i="5"/>
  <c r="O12" i="5"/>
  <c r="M12" i="5"/>
  <c r="K12" i="5"/>
  <c r="A12" i="5"/>
  <c r="U11" i="5"/>
  <c r="S11" i="5"/>
  <c r="Q11" i="5"/>
  <c r="O11" i="5"/>
  <c r="M11" i="5"/>
  <c r="K11" i="5"/>
  <c r="A11" i="5"/>
  <c r="U10" i="5"/>
  <c r="S10" i="5"/>
  <c r="Q10" i="5"/>
  <c r="O10" i="5"/>
  <c r="M10" i="5"/>
  <c r="K10" i="5"/>
  <c r="A10" i="5"/>
  <c r="U9" i="5"/>
  <c r="S9" i="5"/>
  <c r="Q9" i="5"/>
  <c r="O9" i="5"/>
  <c r="M9" i="5"/>
  <c r="K9" i="5"/>
  <c r="A9" i="5"/>
  <c r="U8" i="5"/>
  <c r="S8" i="5"/>
  <c r="Q8" i="5"/>
  <c r="O8" i="5"/>
  <c r="M8" i="5"/>
  <c r="K8" i="5"/>
  <c r="A8" i="5"/>
  <c r="U7" i="5"/>
  <c r="S7" i="5"/>
  <c r="Q7" i="5"/>
  <c r="O7" i="5"/>
  <c r="M7" i="5"/>
  <c r="K7" i="5"/>
  <c r="A7" i="5"/>
  <c r="U6" i="5"/>
  <c r="S6" i="5"/>
  <c r="Q6" i="5"/>
  <c r="O6" i="5"/>
  <c r="M6" i="5"/>
  <c r="K6" i="5"/>
  <c r="A6" i="5"/>
  <c r="Y5" i="5"/>
  <c r="X5" i="5"/>
  <c r="W5" i="5"/>
  <c r="V5" i="5"/>
  <c r="T5" i="5"/>
  <c r="R5" i="5"/>
  <c r="P5" i="5"/>
  <c r="N5" i="5"/>
  <c r="L5" i="5"/>
  <c r="J5" i="5"/>
  <c r="I5" i="5"/>
  <c r="H5" i="5"/>
  <c r="G5" i="5"/>
  <c r="F5" i="5"/>
  <c r="E5" i="5"/>
  <c r="D5" i="5"/>
  <c r="C5" i="5"/>
  <c r="B5" i="5"/>
  <c r="A5" i="5"/>
  <c r="V4" i="5"/>
  <c r="P4" i="5"/>
  <c r="J4" i="5"/>
  <c r="A3" i="5"/>
  <c r="A2" i="5"/>
  <c r="A1" i="5"/>
  <c r="G105" i="4"/>
  <c r="A105" i="4"/>
  <c r="G104" i="4"/>
  <c r="A104" i="4"/>
  <c r="G103" i="4"/>
  <c r="A103" i="4"/>
  <c r="G102" i="4"/>
  <c r="A102" i="4"/>
  <c r="G101" i="4"/>
  <c r="A101" i="4"/>
  <c r="G100" i="4"/>
  <c r="A100" i="4"/>
  <c r="G99" i="4"/>
  <c r="A99" i="4"/>
  <c r="G98" i="4"/>
  <c r="A98" i="4"/>
  <c r="G97" i="4"/>
  <c r="A97" i="4"/>
  <c r="G96" i="4"/>
  <c r="A96" i="4"/>
  <c r="G95" i="4"/>
  <c r="A95" i="4"/>
  <c r="G94" i="4"/>
  <c r="A94" i="4"/>
  <c r="G93" i="4"/>
  <c r="A93" i="4"/>
  <c r="G92" i="4"/>
  <c r="A92" i="4"/>
  <c r="G91" i="4"/>
  <c r="A91" i="4"/>
  <c r="G90" i="4"/>
  <c r="A90" i="4"/>
  <c r="G89" i="4"/>
  <c r="A89" i="4"/>
  <c r="G88" i="4"/>
  <c r="A88" i="4"/>
  <c r="G87" i="4"/>
  <c r="A87" i="4"/>
  <c r="G86" i="4"/>
  <c r="A86" i="4"/>
  <c r="G85" i="4"/>
  <c r="A85" i="4"/>
  <c r="G84" i="4"/>
  <c r="A84" i="4"/>
  <c r="G83" i="4"/>
  <c r="A83" i="4"/>
  <c r="G82" i="4"/>
  <c r="A82" i="4"/>
  <c r="G81" i="4"/>
  <c r="A81" i="4"/>
  <c r="G80" i="4"/>
  <c r="A80" i="4"/>
  <c r="G79" i="4"/>
  <c r="A79" i="4"/>
  <c r="G78" i="4"/>
  <c r="A78" i="4"/>
  <c r="G77" i="4"/>
  <c r="A77" i="4"/>
  <c r="G76" i="4"/>
  <c r="A76" i="4"/>
  <c r="G75" i="4"/>
  <c r="A75" i="4"/>
  <c r="G74" i="4"/>
  <c r="A74" i="4"/>
  <c r="G73" i="4"/>
  <c r="A73" i="4"/>
  <c r="G72" i="4"/>
  <c r="A72" i="4"/>
  <c r="G71" i="4"/>
  <c r="A71" i="4"/>
  <c r="G70" i="4"/>
  <c r="A70" i="4"/>
  <c r="G69" i="4"/>
  <c r="A69" i="4"/>
  <c r="G68" i="4"/>
  <c r="A68" i="4"/>
  <c r="G67" i="4"/>
  <c r="A67" i="4"/>
  <c r="G66" i="4"/>
  <c r="A66" i="4"/>
  <c r="G65" i="4"/>
  <c r="A65" i="4"/>
  <c r="G64" i="4"/>
  <c r="A64" i="4"/>
  <c r="G63" i="4"/>
  <c r="A63" i="4"/>
  <c r="G62" i="4"/>
  <c r="A62" i="4"/>
  <c r="G61" i="4"/>
  <c r="A61" i="4"/>
  <c r="G60" i="4"/>
  <c r="A60" i="4"/>
  <c r="G59" i="4"/>
  <c r="A59" i="4"/>
  <c r="G58" i="4"/>
  <c r="A58" i="4"/>
  <c r="G57" i="4"/>
  <c r="A57" i="4"/>
  <c r="G56" i="4"/>
  <c r="A56" i="4"/>
  <c r="G55" i="4"/>
  <c r="A55" i="4"/>
  <c r="G54" i="4"/>
  <c r="A54" i="4"/>
  <c r="G53" i="4"/>
  <c r="A53" i="4"/>
  <c r="G52" i="4"/>
  <c r="A52" i="4"/>
  <c r="G51" i="4"/>
  <c r="A51" i="4"/>
  <c r="G50" i="4"/>
  <c r="A50" i="4"/>
  <c r="G49" i="4"/>
  <c r="A49" i="4"/>
  <c r="G48" i="4"/>
  <c r="A48" i="4"/>
  <c r="G47" i="4"/>
  <c r="A47" i="4"/>
  <c r="G46" i="4"/>
  <c r="A46" i="4"/>
  <c r="G45" i="4"/>
  <c r="A45" i="4"/>
  <c r="G44" i="4"/>
  <c r="A44" i="4"/>
  <c r="G43" i="4"/>
  <c r="A43" i="4"/>
  <c r="G42" i="4"/>
  <c r="A42" i="4"/>
  <c r="G41" i="4"/>
  <c r="A41" i="4"/>
  <c r="G40" i="4"/>
  <c r="A40" i="4"/>
  <c r="G39" i="4"/>
  <c r="A39" i="4"/>
  <c r="G38" i="4"/>
  <c r="A38" i="4"/>
  <c r="G37" i="4"/>
  <c r="A37" i="4"/>
  <c r="G36" i="4"/>
  <c r="A36" i="4"/>
  <c r="G35" i="4"/>
  <c r="A35" i="4"/>
  <c r="G34" i="4"/>
  <c r="A34" i="4"/>
  <c r="G33" i="4"/>
  <c r="A33" i="4"/>
  <c r="G32" i="4"/>
  <c r="A32" i="4"/>
  <c r="G31" i="4"/>
  <c r="A31" i="4"/>
  <c r="G30" i="4"/>
  <c r="A30" i="4"/>
  <c r="G29" i="4"/>
  <c r="A29" i="4"/>
  <c r="G28" i="4"/>
  <c r="A28" i="4"/>
  <c r="G27" i="4"/>
  <c r="A27" i="4"/>
  <c r="G26" i="4"/>
  <c r="A26" i="4"/>
  <c r="G25" i="4"/>
  <c r="A25" i="4"/>
  <c r="G24" i="4"/>
  <c r="A24" i="4"/>
  <c r="G23" i="4"/>
  <c r="A23" i="4"/>
  <c r="G22" i="4"/>
  <c r="A22" i="4"/>
  <c r="G21" i="4"/>
  <c r="A21" i="4"/>
  <c r="G20" i="4"/>
  <c r="A20" i="4"/>
  <c r="G19" i="4"/>
  <c r="A19" i="4"/>
  <c r="G18" i="4"/>
  <c r="A18" i="4"/>
  <c r="G17" i="4"/>
  <c r="A17" i="4"/>
  <c r="G16" i="4"/>
  <c r="A16" i="4"/>
  <c r="G15" i="4"/>
  <c r="A15" i="4"/>
  <c r="G14" i="4"/>
  <c r="A14" i="4"/>
  <c r="G13" i="4"/>
  <c r="A13" i="4"/>
  <c r="G12" i="4"/>
  <c r="A12" i="4"/>
  <c r="G11" i="4"/>
  <c r="A11" i="4"/>
  <c r="G10" i="4"/>
  <c r="A10" i="4"/>
  <c r="G9" i="4"/>
  <c r="A9" i="4"/>
  <c r="G8" i="4"/>
  <c r="A8" i="4"/>
  <c r="G7" i="4"/>
  <c r="A7" i="4"/>
  <c r="G6" i="4"/>
  <c r="A6" i="4"/>
  <c r="I5" i="4"/>
  <c r="H5" i="4"/>
  <c r="F5" i="4"/>
  <c r="E5" i="4"/>
  <c r="D5" i="4"/>
  <c r="C5" i="4"/>
  <c r="B5" i="4"/>
  <c r="A5" i="4"/>
  <c r="A3" i="4"/>
  <c r="A2" i="4"/>
  <c r="A1" i="4"/>
  <c r="I105" i="3"/>
  <c r="G105" i="3"/>
  <c r="A105" i="3"/>
  <c r="I104" i="3"/>
  <c r="G104" i="3"/>
  <c r="A104" i="3"/>
  <c r="I103" i="3"/>
  <c r="G103" i="3"/>
  <c r="A103" i="3"/>
  <c r="I102" i="3"/>
  <c r="G102" i="3"/>
  <c r="A102" i="3"/>
  <c r="I101" i="3"/>
  <c r="G101" i="3"/>
  <c r="A101" i="3"/>
  <c r="I100" i="3"/>
  <c r="G100" i="3"/>
  <c r="A100" i="3"/>
  <c r="I99" i="3"/>
  <c r="G99" i="3"/>
  <c r="A99" i="3"/>
  <c r="I98" i="3"/>
  <c r="G98" i="3"/>
  <c r="A98" i="3"/>
  <c r="I97" i="3"/>
  <c r="G97" i="3"/>
  <c r="A97" i="3"/>
  <c r="I96" i="3"/>
  <c r="G96" i="3"/>
  <c r="A96" i="3"/>
  <c r="I95" i="3"/>
  <c r="G95" i="3"/>
  <c r="A95" i="3"/>
  <c r="I94" i="3"/>
  <c r="G94" i="3"/>
  <c r="A94" i="3"/>
  <c r="I93" i="3"/>
  <c r="G93" i="3"/>
  <c r="A93" i="3"/>
  <c r="I92" i="3"/>
  <c r="G92" i="3"/>
  <c r="A92" i="3"/>
  <c r="I91" i="3"/>
  <c r="G91" i="3"/>
  <c r="A91" i="3"/>
  <c r="I90" i="3"/>
  <c r="G90" i="3"/>
  <c r="A90" i="3"/>
  <c r="I89" i="3"/>
  <c r="G89" i="3"/>
  <c r="A89" i="3"/>
  <c r="I88" i="3"/>
  <c r="G88" i="3"/>
  <c r="A88" i="3"/>
  <c r="I87" i="3"/>
  <c r="G87" i="3"/>
  <c r="A87" i="3"/>
  <c r="I86" i="3"/>
  <c r="G86" i="3"/>
  <c r="A86" i="3"/>
  <c r="I85" i="3"/>
  <c r="G85" i="3"/>
  <c r="A85" i="3"/>
  <c r="I84" i="3"/>
  <c r="G84" i="3"/>
  <c r="A84" i="3"/>
  <c r="I83" i="3"/>
  <c r="G83" i="3"/>
  <c r="A83" i="3"/>
  <c r="I82" i="3"/>
  <c r="G82" i="3"/>
  <c r="A82" i="3"/>
  <c r="I81" i="3"/>
  <c r="G81" i="3"/>
  <c r="A81" i="3"/>
  <c r="I80" i="3"/>
  <c r="G80" i="3"/>
  <c r="A80" i="3"/>
  <c r="I79" i="3"/>
  <c r="G79" i="3"/>
  <c r="A79" i="3"/>
  <c r="I78" i="3"/>
  <c r="G78" i="3"/>
  <c r="A78" i="3"/>
  <c r="I77" i="3"/>
  <c r="G77" i="3"/>
  <c r="A77" i="3"/>
  <c r="I76" i="3"/>
  <c r="G76" i="3"/>
  <c r="A76" i="3"/>
  <c r="I75" i="3"/>
  <c r="G75" i="3"/>
  <c r="A75" i="3"/>
  <c r="I74" i="3"/>
  <c r="G74" i="3"/>
  <c r="A74" i="3"/>
  <c r="I73" i="3"/>
  <c r="G73" i="3"/>
  <c r="A73" i="3"/>
  <c r="I72" i="3"/>
  <c r="G72" i="3"/>
  <c r="A72" i="3"/>
  <c r="I71" i="3"/>
  <c r="G71" i="3"/>
  <c r="A71" i="3"/>
  <c r="I70" i="3"/>
  <c r="G70" i="3"/>
  <c r="A70" i="3"/>
  <c r="I69" i="3"/>
  <c r="G69" i="3"/>
  <c r="A69" i="3"/>
  <c r="I68" i="3"/>
  <c r="G68" i="3"/>
  <c r="A68" i="3"/>
  <c r="I67" i="3"/>
  <c r="G67" i="3"/>
  <c r="A67" i="3"/>
  <c r="I66" i="3"/>
  <c r="G66" i="3"/>
  <c r="A66" i="3"/>
  <c r="I65" i="3"/>
  <c r="G65" i="3"/>
  <c r="A65" i="3"/>
  <c r="I64" i="3"/>
  <c r="G64" i="3"/>
  <c r="A64" i="3"/>
  <c r="I63" i="3"/>
  <c r="G63" i="3"/>
  <c r="A63" i="3"/>
  <c r="I62" i="3"/>
  <c r="G62" i="3"/>
  <c r="A62" i="3"/>
  <c r="I61" i="3"/>
  <c r="G61" i="3"/>
  <c r="A61" i="3"/>
  <c r="I60" i="3"/>
  <c r="G60" i="3"/>
  <c r="A60" i="3"/>
  <c r="I59" i="3"/>
  <c r="G59" i="3"/>
  <c r="A59" i="3"/>
  <c r="I58" i="3"/>
  <c r="G58" i="3"/>
  <c r="A58" i="3"/>
  <c r="I57" i="3"/>
  <c r="G57" i="3"/>
  <c r="A57" i="3"/>
  <c r="I56" i="3"/>
  <c r="G56" i="3"/>
  <c r="A56" i="3"/>
  <c r="I55" i="3"/>
  <c r="G55" i="3"/>
  <c r="A55" i="3"/>
  <c r="I54" i="3"/>
  <c r="G54" i="3"/>
  <c r="A54" i="3"/>
  <c r="I53" i="3"/>
  <c r="G53" i="3"/>
  <c r="A53" i="3"/>
  <c r="I52" i="3"/>
  <c r="G52" i="3"/>
  <c r="A52" i="3"/>
  <c r="I51" i="3"/>
  <c r="G51" i="3"/>
  <c r="A51" i="3"/>
  <c r="I50" i="3"/>
  <c r="G50" i="3"/>
  <c r="A50" i="3"/>
  <c r="I49" i="3"/>
  <c r="G49" i="3"/>
  <c r="A49" i="3"/>
  <c r="I48" i="3"/>
  <c r="G48" i="3"/>
  <c r="A48" i="3"/>
  <c r="I47" i="3"/>
  <c r="G47" i="3"/>
  <c r="A47" i="3"/>
  <c r="I46" i="3"/>
  <c r="G46" i="3"/>
  <c r="A46" i="3"/>
  <c r="I45" i="3"/>
  <c r="G45" i="3"/>
  <c r="A45" i="3"/>
  <c r="I44" i="3"/>
  <c r="G44" i="3"/>
  <c r="A44" i="3"/>
  <c r="I43" i="3"/>
  <c r="G43" i="3"/>
  <c r="A43" i="3"/>
  <c r="I42" i="3"/>
  <c r="G42" i="3"/>
  <c r="A42" i="3"/>
  <c r="I41" i="3"/>
  <c r="G41" i="3"/>
  <c r="A41" i="3"/>
  <c r="I40" i="3"/>
  <c r="G40" i="3"/>
  <c r="A40" i="3"/>
  <c r="I39" i="3"/>
  <c r="G39" i="3"/>
  <c r="A39" i="3"/>
  <c r="I38" i="3"/>
  <c r="G38" i="3"/>
  <c r="A38" i="3"/>
  <c r="I37" i="3"/>
  <c r="G37" i="3"/>
  <c r="A37" i="3"/>
  <c r="I36" i="3"/>
  <c r="G36" i="3"/>
  <c r="A36" i="3"/>
  <c r="I35" i="3"/>
  <c r="G35" i="3"/>
  <c r="A35" i="3"/>
  <c r="I34" i="3"/>
  <c r="G34" i="3"/>
  <c r="A34" i="3"/>
  <c r="I33" i="3"/>
  <c r="G33" i="3"/>
  <c r="A33" i="3"/>
  <c r="I32" i="3"/>
  <c r="G32" i="3"/>
  <c r="A32" i="3"/>
  <c r="I31" i="3"/>
  <c r="G31" i="3"/>
  <c r="A31" i="3"/>
  <c r="I30" i="3"/>
  <c r="G30" i="3"/>
  <c r="A30" i="3"/>
  <c r="I29" i="3"/>
  <c r="G29" i="3"/>
  <c r="A29" i="3"/>
  <c r="I28" i="3"/>
  <c r="G28" i="3"/>
  <c r="A28" i="3"/>
  <c r="I27" i="3"/>
  <c r="G27" i="3"/>
  <c r="A27" i="3"/>
  <c r="I26" i="3"/>
  <c r="G26" i="3"/>
  <c r="A26" i="3"/>
  <c r="I25" i="3"/>
  <c r="G25" i="3"/>
  <c r="A25" i="3"/>
  <c r="I24" i="3"/>
  <c r="G24" i="3"/>
  <c r="A24" i="3"/>
  <c r="I23" i="3"/>
  <c r="G23" i="3"/>
  <c r="A23" i="3"/>
  <c r="I22" i="3"/>
  <c r="G22" i="3"/>
  <c r="A22" i="3"/>
  <c r="I21" i="3"/>
  <c r="G21" i="3"/>
  <c r="A21" i="3"/>
  <c r="I20" i="3"/>
  <c r="G20" i="3"/>
  <c r="A20" i="3"/>
  <c r="I19" i="3"/>
  <c r="G19" i="3"/>
  <c r="A19" i="3"/>
  <c r="I18" i="3"/>
  <c r="G18" i="3"/>
  <c r="A18" i="3"/>
  <c r="I17" i="3"/>
  <c r="G17" i="3"/>
  <c r="A17" i="3"/>
  <c r="I16" i="3"/>
  <c r="G16" i="3"/>
  <c r="A16" i="3"/>
  <c r="I15" i="3"/>
  <c r="G15" i="3"/>
  <c r="A15" i="3"/>
  <c r="I14" i="3"/>
  <c r="G14" i="3"/>
  <c r="A14" i="3"/>
  <c r="I13" i="3"/>
  <c r="G13" i="3"/>
  <c r="A13" i="3"/>
  <c r="I12" i="3"/>
  <c r="G12" i="3"/>
  <c r="A12" i="3"/>
  <c r="I11" i="3"/>
  <c r="G11" i="3"/>
  <c r="A11" i="3"/>
  <c r="I10" i="3"/>
  <c r="G10" i="3"/>
  <c r="A10" i="3"/>
  <c r="I9" i="3"/>
  <c r="G9" i="3"/>
  <c r="A9" i="3"/>
  <c r="I8" i="3"/>
  <c r="G8" i="3"/>
  <c r="A8" i="3"/>
  <c r="I7" i="3"/>
  <c r="G7" i="3"/>
  <c r="A7" i="3"/>
  <c r="I6" i="3"/>
  <c r="G6" i="3"/>
  <c r="A6" i="3"/>
  <c r="L5" i="3"/>
  <c r="K5" i="3"/>
  <c r="J5" i="3"/>
  <c r="H5" i="3"/>
  <c r="F5" i="3"/>
  <c r="E5" i="3"/>
  <c r="D5" i="3"/>
  <c r="C5" i="3"/>
  <c r="B5" i="3"/>
  <c r="A5" i="3"/>
  <c r="A3" i="3"/>
  <c r="A2" i="3"/>
  <c r="A1" i="3"/>
  <c r="B34" i="2"/>
  <c r="B33" i="2"/>
  <c r="B32" i="2"/>
  <c r="B31" i="2"/>
  <c r="B30" i="2"/>
  <c r="B29" i="2"/>
  <c r="B28" i="2"/>
  <c r="B27" i="2"/>
  <c r="B25" i="2"/>
  <c r="B24" i="2"/>
  <c r="B23" i="2"/>
  <c r="B22" i="2"/>
  <c r="B20" i="2"/>
  <c r="B19" i="2"/>
  <c r="B18" i="2"/>
  <c r="B17" i="2"/>
  <c r="B16" i="2"/>
  <c r="B14" i="2"/>
  <c r="B13" i="2"/>
  <c r="B12" i="2"/>
  <c r="B11" i="2"/>
  <c r="B10" i="2"/>
  <c r="B8" i="2"/>
  <c r="B7" i="2"/>
  <c r="B5" i="2"/>
  <c r="B4" i="2"/>
  <c r="A2" i="2"/>
  <c r="A1" i="2"/>
  <c r="B29" i="1"/>
  <c r="B28" i="1"/>
  <c r="B27" i="1"/>
  <c r="B26" i="1"/>
  <c r="B25" i="1"/>
  <c r="B24" i="1"/>
  <c r="B23" i="1"/>
  <c r="B22" i="1"/>
  <c r="B20" i="1"/>
  <c r="B19" i="1"/>
  <c r="B18" i="1"/>
  <c r="B16" i="1"/>
  <c r="B15" i="1"/>
  <c r="B14" i="1"/>
  <c r="B13" i="1"/>
  <c r="B11" i="1"/>
  <c r="B10" i="1"/>
  <c r="B9" i="1"/>
  <c r="B8" i="1"/>
  <c r="B6" i="1"/>
  <c r="B5" i="1"/>
  <c r="B4" i="1"/>
  <c r="A2" i="1"/>
  <c r="A1" i="1"/>
</calcChain>
</file>

<file path=xl/sharedStrings.xml><?xml version="1.0" encoding="utf-8"?>
<sst xmlns="http://schemas.openxmlformats.org/spreadsheetml/2006/main" count="3947" uniqueCount="1739">
  <si>
    <t>Mijn Overheidsinstelling</t>
  </si>
  <si>
    <t>NL</t>
  </si>
  <si>
    <t>0.3</t>
  </si>
  <si>
    <t>19/05/2026 06:31</t>
  </si>
  <si>
    <t>kurtm</t>
  </si>
  <si>
    <t>RARM — Risk Assessment &amp; Remediation Matrix</t>
  </si>
  <si>
    <t>Control ID</t>
  </si>
  <si>
    <t>Richtlijn</t>
  </si>
  <si>
    <t>Assurance</t>
  </si>
  <si>
    <t>Sleutelmaatregel</t>
  </si>
  <si>
    <t>GV.OC-01.1</t>
  </si>
  <si>
    <t>The organisation's mission shall be established, communicated and shall form the basis for information and cybersecurity risk management.</t>
  </si>
  <si>
    <t>Important</t>
  </si>
  <si>
    <t>GV.OC-02.1</t>
  </si>
  <si>
    <t>The organisation shall demonstrate it understands and considers the needs and expectations of both internal and external stakeholders regarding information and cybersecurity risk management.</t>
  </si>
  <si>
    <t>Essential</t>
  </si>
  <si>
    <t>GV.OC-03.1</t>
  </si>
  <si>
    <t>Legal and regulatory requirements regarding information and cybersecurity shall be identified and implemented.</t>
  </si>
  <si>
    <t>Basic</t>
  </si>
  <si>
    <t>GV.OC-03.2</t>
  </si>
  <si>
    <t>Legal, regulatory, and contractual obligations related to information and cybersecurity shall be continuously managed to ensure they remain accurate, up to date, and effectively applied.</t>
  </si>
  <si>
    <t>GV.OC-04.1</t>
  </si>
  <si>
    <t>The organisation shall identify, document, and communicate the critical objectives, capabilities, and services relied upon by external stakeholders, prioritise them based on criticality, and integrate this prioritisation into the risk assessment process.</t>
  </si>
  <si>
    <t>GV.OC-04.2</t>
  </si>
  <si>
    <t>The organisation shall define and document cybersecurity requirements for essential operations, validate them through testing and audits, keep records of results and corrective actions, and regularly update requirements based on evolving risks.</t>
  </si>
  <si>
    <t>GV.OC-04.3</t>
  </si>
  <si>
    <t>Redundancy shall be implemented to meet availability requirements as defined by the organisation, legislation and/or regulations.</t>
  </si>
  <si>
    <t>GV.OC-04.4</t>
  </si>
  <si>
    <t>Recovery time and recovery point objectives for the resumption of essential ICT/OT system processes shall be defined and monitored.</t>
  </si>
  <si>
    <t>GV.OC-05.1</t>
  </si>
  <si>
    <t>The organization shall identify, document, and communicate its role in the supply chain, including the external capabilities, services, and dependencies it relies on (upstream), as well as its interactions with downstream stakeholders.</t>
  </si>
  <si>
    <t>GV.RM-01.1</t>
  </si>
  <si>
    <t>Information and cybersecurity objectives shall be coherently established throughout the organisation and approved by senior management.</t>
  </si>
  <si>
    <t>GV.RM-02.1</t>
  </si>
  <si>
    <t>Risk appetite and risk tolerance statements shall be defined, documented, approved by senior management, communicated, and maintained.</t>
  </si>
  <si>
    <t>GV.RM-03.1</t>
  </si>
  <si>
    <t>As part of the organisation-wide risk management strategy, a comprehensive strategy to manage information and cybersecurity risks shall be developed and updated when changes occur.</t>
  </si>
  <si>
    <t>GV.RM-03.2</t>
  </si>
  <si>
    <t>Information and cybersecurity risks shall be documented, as part of the enterprise risk management processes, formally approved by senior management, and updated when changes occur.</t>
  </si>
  <si>
    <t>GV.RM-04.1</t>
  </si>
  <si>
    <t>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</si>
  <si>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GV.RM-05.1</t>
  </si>
  <si>
    <t>To support the high-level risk management vision, the organisation shall establish clear lines of communication for cybersecurity risks, including those arising from suppliers and third parties.</t>
  </si>
  <si>
    <t>GV.RR-01.1</t>
  </si>
  <si>
    <t>The organisation's top management shall be responsible and accountable for cybersecurity risk and shall foster a culture that is risk-aware, ethical, and continually improving.</t>
  </si>
  <si>
    <t>GV.RR-02.1</t>
  </si>
  <si>
    <t>Information security and Cyber security roles, responsibilities and authorities for employees, suppliers, customers, and partners shall be documented, reviewed, authorised, kept up-to-date, communicated, and coordinated internally and externally..</t>
  </si>
  <si>
    <t>✔</t>
  </si>
  <si>
    <t>GV.RR-02.2</t>
  </si>
  <si>
    <t>The organisation shall appoint a senior-level executive information security officer.</t>
  </si>
  <si>
    <t>GV.RR-03.1</t>
  </si>
  <si>
    <t>Sufficient resources shall be allocated in line with the cybersecurity risk strategy, roles, responsibilities and policies.</t>
  </si>
  <si>
    <t>GV.RR-03.2</t>
  </si>
  <si>
    <t>The organisation shall assign roles and responsibilities for reviewing and updating response and recovery plans, ensuring they reflect changes in the risk environment and remain effective.</t>
  </si>
  <si>
    <t>GV.RR-04.1</t>
  </si>
  <si>
    <t>Personnel with access to the organisation’s most critical information or technology shall be authenticated.</t>
  </si>
  <si>
    <t>GV.RR-04.2</t>
  </si>
  <si>
    <t>A cybersecurity process for human resources shall be developed and maintained applicable at recruitment, during employment and at termination of employment.</t>
  </si>
  <si>
    <t>GV.PO-01.1</t>
  </si>
  <si>
    <t>Policies and procedures for managing information and cybersecurity shall be established, documented, reviewed, approved, updated when changes occur, communicated and enforced.</t>
  </si>
  <si>
    <t>GV.PO-01.2</t>
  </si>
  <si>
    <t>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</si>
  <si>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GV.OV-02.1</t>
  </si>
  <si>
    <t>The information and cybersecurity risk management strategy shall be reviewed and adjusted to ensure coverage of organisational requirements and risks.</t>
  </si>
  <si>
    <t>GV.OV-03.1</t>
  </si>
  <si>
    <t>The organisation's cybersecurity risk management performance shall be evaluated, reviewed and adjusted when necessary.</t>
  </si>
  <si>
    <t>GV.SC-01.1</t>
  </si>
  <si>
    <t>A cybersecurity supply chain risk management program, strategy, objectives, policies, and processes shall be documented, reviewed, updated when changes occur, and approved by organisational stakeholders.</t>
  </si>
  <si>
    <t>GV.SC-02.1</t>
  </si>
  <si>
    <t>Third-party providers shall notify any transfer, termination or transition of personnel with physical or logical access to business-critical system elements of the organisation.</t>
  </si>
  <si>
    <t>GV.SC-03.1</t>
  </si>
  <si>
    <t>Information- and Cybersecurity supply chain risk management shall be integrated into information/cybersecurity and enterprise risk management, risk assessment, and improvement processes.</t>
  </si>
  <si>
    <t>GV.SC-05.1</t>
  </si>
  <si>
    <t>Requirements for addressing cybersecurity risks and the sharing of sensitive information in supply chains shall be established, prioritised, integrated into contracts and other types of formal agreements, and enforced.</t>
  </si>
  <si>
    <t>GV.SC-05.2</t>
  </si>
  <si>
    <t>Contractual information/cybersecurity requirements for suppliers and external partners shall be implemented to ensure a verifiable flaw resolution process and to ensure that deficiencies identified during information/cybersecurity testing and evaluation are remedied.</t>
  </si>
  <si>
    <t>GV.SC-05.3</t>
  </si>
  <si>
    <t>The organisation shall establish contractual requirements permitting  the organisation to review the information/cybersecurity programmes implemented by suppliers and third-party partners.</t>
  </si>
  <si>
    <t>GV.SC-06.1</t>
  </si>
  <si>
    <t>Planning and due diligence shall be carried out to reduce risks before entering into formal relationships with suppliers or other third parties.</t>
  </si>
  <si>
    <t>GV.SC-07.1</t>
  </si>
  <si>
    <t>The risks posed by a supplier, its products and services and other third parties shall be identified, documented, prioritised, mitigated and assessed at least annually and when changes occur during the relationship.</t>
  </si>
  <si>
    <t>GV.SC-07.2</t>
  </si>
  <si>
    <t>A documented list of all critical suppliers, vendors and partners of the organisation that may be involved in a major incident shall be established, kept up-to-date and made available online and off-line with due regard to confidentiality and security.</t>
  </si>
  <si>
    <t>GV.SC-07.3</t>
  </si>
  <si>
    <t>The organisation shall audit business-critical third-party service providers for security compliance.</t>
  </si>
  <si>
    <t>GV.SC-07.4</t>
  </si>
  <si>
    <t>The organisation shall ensure conformity with information/cybersecurity contractual obligations by suppliers and third-party partners through regular reviews of independent audits, assessments, and third party evaluations.</t>
  </si>
  <si>
    <t>GV.SC-08.1</t>
  </si>
  <si>
    <t>The organisation shall identify and document key personnel from relevant suppliers and other third parties to include them in incident planning, response, and recovery activities.</t>
  </si>
  <si>
    <t>GV.SC-09.1</t>
  </si>
  <si>
    <t>Supply chain security practices shall be integrated into information/cybersecurity and enterprise risk management programs, and their performance shall be monitored throughout the product and service life cycle.</t>
  </si>
  <si>
    <t>GV.SC-10.1</t>
  </si>
  <si>
    <t>Cybersecurity supply chain risk management plans shall include actions and responsibilities for managing risks that may arise after a supplier relationship or service agreement has ended.</t>
  </si>
  <si>
    <t>ID.AM-01.1</t>
  </si>
  <si>
    <t>An inventory of physical and virtual infrastructure assets—such as hardware, network devices, and cloud-hosted environments—that support information processing shall be documented, reviewed, and updated as changes occur.</t>
  </si>
  <si>
    <t>ID.AM-01.2</t>
  </si>
  <si>
    <t>The inventory of enterprise assets associated with information and information processing facilities shall reflect changes in the organisation’s context and include all information necessary for effective accountability.</t>
  </si>
  <si>
    <t>ID.AM-01.3</t>
  </si>
  <si>
    <t>When unauthorised hardware is detected, it shall be quarantined for possible exception handling, removed, or replaced, and the inventory shall be updated accordingly.</t>
  </si>
  <si>
    <t>ID.AM-01.4</t>
  </si>
  <si>
    <t>Mechanisms for detecting the presence of unauthorised hardware and firmware components within the organisation’s ICT/OT environment shall be identified.</t>
  </si>
  <si>
    <t>ID.AM-02.1</t>
  </si>
  <si>
    <t>An inventory of software, digital services, and business systems used within the organisation shall be documented, reviewed, and updated as changes occur.</t>
  </si>
  <si>
    <t>ID.AM-02.2</t>
  </si>
  <si>
    <t>The inventory reflecting which software, services and systems are used in the organisation shall reflect changes in the  organisation’s context and include all information necessary for effective accountability.</t>
  </si>
  <si>
    <t>ID.AM-02.3</t>
  </si>
  <si>
    <t>The people responsible and accountable for managing software platforms and applications within the organisation shall be formally identified.</t>
  </si>
  <si>
    <t>ID.AM-02.4</t>
  </si>
  <si>
    <t>When unauthorised software is detected, it shall be quarantined for possible exception handling, removed, or replaced, and the inventory shall be updated accordingly.</t>
  </si>
  <si>
    <t>ID.AM-02.5</t>
  </si>
  <si>
    <t>Mechanisms for detecting the presence of unauthorised software within the organisation’s ICT/OT environment shall be identified.</t>
  </si>
  <si>
    <t>ID.AM-03.2</t>
  </si>
  <si>
    <t>The organisation's network communication and internal data flows shall be mapped, documented, authorised, and updated when changes occur.</t>
  </si>
  <si>
    <t>ID.AM-03.3</t>
  </si>
  <si>
    <t>The organisation's network communication and external data flows shall be mapped, documented , authorised, and updated when changes occur.</t>
  </si>
  <si>
    <t>ID.AM-04.1</t>
  </si>
  <si>
    <t>Organisations shall keep a clear and up-to-date list of all external services it uses, including how they connect to their systems. These services shall be reviewed and approved before use, and the list shall be updated whenever changes happen.</t>
  </si>
  <si>
    <t>ID.AM-04.2</t>
  </si>
  <si>
    <t>The organisation shall map, document and authorise the flow of information to/from external systems and update the flow when changes occur.</t>
  </si>
  <si>
    <t>ID.AM-05.1</t>
  </si>
  <si>
    <t>The organisation’s assets shall be prioritised based on classification, criticality, and business value.</t>
  </si>
  <si>
    <t>ID.AM-07.1</t>
  </si>
  <si>
    <t>Data that the organisation stores and uses shall be identified..</t>
  </si>
  <si>
    <t>ID.AM-07.2</t>
  </si>
  <si>
    <t>Inventories of data and associated metadata shall be maintained for designated data types.</t>
  </si>
  <si>
    <t>ID.AM-08.2</t>
  </si>
  <si>
    <t>Patches and security updates for operating systems and critical system components shall be installed.</t>
  </si>
  <si>
    <t>ID.AM-08.3</t>
  </si>
  <si>
    <t>The organisation shall enforce accountability for all its business-critical assets throughout the system lifecycle, including removal, transfers, and disposal.</t>
  </si>
  <si>
    <t>ID.AM-08.4</t>
  </si>
  <si>
    <t>The organisation shall ensure that the necessary measures are taken to deal with loss, misuse, damage, or theft of assets.</t>
  </si>
  <si>
    <t>ID.AM-08.5</t>
  </si>
  <si>
    <t>The organisation shall ensure that disposal actions are approved, tracked, documented, and verified.</t>
  </si>
  <si>
    <t>ID.AM-08.6</t>
  </si>
  <si>
    <t>The organisation shall plan, perform and document preventive maintenance and repairs on its critical system components according to approved processes and tools.</t>
  </si>
  <si>
    <t>ID.AM-08.7</t>
  </si>
  <si>
    <t>The organisation shall prevent unauthorised removal of maintenance equipment which contains critical system information of the organisation.</t>
  </si>
  <si>
    <t>ID.AM-08.8</t>
  </si>
  <si>
    <t>The organisation shall pre-approve, monitor and enforce maintenance tools for use on its critical systems.</t>
  </si>
  <si>
    <t>ID.AM-08.9</t>
  </si>
  <si>
    <t>Maintenance tools and portable storage devices shall be inspected as they enter the facility and shall be protected by anti-malware solutions that scan them for malicious code before they are used on the organisation's systems.</t>
  </si>
  <si>
    <t>ID.AM-08.10</t>
  </si>
  <si>
    <t>The organisation shall verify security controls following maintenance or repairs/patching, and take action as appropriate.</t>
  </si>
  <si>
    <t>ID.AM-08.11</t>
  </si>
  <si>
    <t>Remote maintenance and diagnostic activities of organisational assets shall be pre-approved and the performance logged.</t>
  </si>
  <si>
    <t>ID.AM-08.12</t>
  </si>
  <si>
    <t>Setting up non-local maintenance and diagnostic sessions over remote network connections shall require strong authenticators and these connections shall be terminated when non-local maintenance is completed.</t>
  </si>
  <si>
    <t>ID.AM-08.13</t>
  </si>
  <si>
    <t>The organisation shall require remote maintenance diagnostic services to be performed from a system that implements security features similar to the security features implemented on the equivalent organisation's critical system.</t>
  </si>
  <si>
    <t>ID.RA-01.1</t>
  </si>
  <si>
    <t>Threats and vulnerabilities shall be identified in all relevant assets, including software, network and system architectures, and facilities that house critical computing assets.</t>
  </si>
  <si>
    <t>ID.RA-01.2</t>
  </si>
  <si>
    <t>A process shall be established to continuously monitor, identify, and document vulnerabilities of the organisation's business critical systems.</t>
  </si>
  <si>
    <t>ID.RA-01.3</t>
  </si>
  <si>
    <t>The organisation shall establish and maintain a documented process that enables continuous review, analysis and remediation of vulnerabilities and makes information sharing possible, where applicable.</t>
  </si>
  <si>
    <t>ID.RA-01.4</t>
  </si>
  <si>
    <t>To ensure that organisation's operations are not adversely affected by the testing process, performance/load testing and penetration testing on the organisation’s systems shall be carried out with care.</t>
  </si>
  <si>
    <t>ID.RA-01.5</t>
  </si>
  <si>
    <t>Vulnerability scanning shall not adversely impact system functions.</t>
  </si>
  <si>
    <t>ID.RA-01.6</t>
  </si>
  <si>
    <t>Vulnerabilities shall be identified and managed in all relevant assets, including software, network and system architectures, and facilities.</t>
  </si>
  <si>
    <t>ID.RA-02.1</t>
  </si>
  <si>
    <t>A threat and vulnerability awareness programme that includes a cross-organisation information-sharing capability shall be implemented.</t>
  </si>
  <si>
    <t>ID.RA-02.2</t>
  </si>
  <si>
    <t>Automated mechanisms shall be implemented to disseminate security alerts and advisories to relevant organisation stakeholders.</t>
  </si>
  <si>
    <t>ID.RA-03.1</t>
  </si>
  <si>
    <t>Threats shall be identified and assessed in relation to all relevant assets, including software, network and system architectures, and facilities.</t>
  </si>
  <si>
    <t>ID.RA-05.1</t>
  </si>
  <si>
    <t>The organisation shall conduct risk assessments in which risk is determined by threats, vulnerabilities and the impact on business processes and assets.</t>
  </si>
  <si>
    <t>ID.RA-05.2</t>
  </si>
  <si>
    <t>The organisation shall conduct and document risk assessments in which risk is determined by threats, vulnerabilities, impact on business processes and assets, and likelihood of their occurrence.</t>
  </si>
  <si>
    <t>ID.RA-05.3</t>
  </si>
  <si>
    <t>Risk assessment results shall be disseminated to relevant stakeholders.</t>
  </si>
  <si>
    <t>ID.RA-06.1</t>
  </si>
  <si>
    <t>Risk responses shall be identified, prioritised, planned, tracked and communicated.</t>
  </si>
  <si>
    <t>ID.RA-08.1</t>
  </si>
  <si>
    <t>The organisation shall establish and implement a vulnerability management plan to identify, analyse, assess, mitigate and communicate all types of vulnerabilities including in the form of a Coordinated Vulnerability Disclosure (CVD) according to applicable legal modalities.</t>
  </si>
  <si>
    <t>ID.RA-08.2</t>
  </si>
  <si>
    <t>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</si>
  <si>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ID.IM-02.1</t>
  </si>
  <si>
    <t>Security tests and exercises, including those conducted with suppliers and relevant third parties, shall be used to identify areas for improvement.</t>
  </si>
  <si>
    <t>ID.IM-03.1</t>
  </si>
  <si>
    <t>The organisation shall conduct post-incident evaluations to analyse lessons learned from incident response and recovery, and consequently improve processes / procedures / technologies to enhance its cyber resilience.</t>
  </si>
  <si>
    <t>ID.IM-03.2</t>
  </si>
  <si>
    <t>The organisation shall incorporate lessons learned from incident handling activities into updated or new incident handling processes and/or procedures that are framed by appropriate training after review, approval and testing.</t>
  </si>
  <si>
    <t>ID.IM-03.3</t>
  </si>
  <si>
    <t>The organisation shall identify improvements derived from the monitoring, measurements, assessments, and lessons learned and consequently translate this into improved processes / procedures / technologies to enhance its cyber resilience (continuous improvement).</t>
  </si>
  <si>
    <t>ID.IM-03.4</t>
  </si>
  <si>
    <t>The organisation shall collaborate and share information about its critical system's related security incidents and mitigation measures with designated partners.</t>
  </si>
  <si>
    <t>ID.IM-03.5</t>
  </si>
  <si>
    <t>Communication of effectiveness of protection technologies shall be shared with relevant stakeholders.</t>
  </si>
  <si>
    <t>ID.IM-03.6</t>
  </si>
  <si>
    <t>The organisation shall implement, where feasible, automated mechanisms to facilitate the process of information sharing and collaboration.</t>
  </si>
  <si>
    <t>ID.IM-03.7</t>
  </si>
  <si>
    <t>The organisation shall implement independent teams to assess its processes, best practices, and technology solutions to safeguard critical systems and assets.</t>
  </si>
  <si>
    <t>ID.IM-03.8</t>
  </si>
  <si>
    <t>The organisation shall ensure that the security plan for its critical systems facilitates the review, testing, and continual improvement of the security protection processes.</t>
  </si>
  <si>
    <t>ID.IM-03.9</t>
  </si>
  <si>
    <t>The organisation shall conduct specialised assessments including in-depth monitoring, vulnerability scanning, malicious user testing, insider threat assessment, performance/load testing, and verification and validation testing on the organisation's critical systems.</t>
  </si>
  <si>
    <t>ID.IM-04.1</t>
  </si>
  <si>
    <t>Contingency and continuity plans shall be established, communicated, maintained, tested, validated, and improved.</t>
  </si>
  <si>
    <t>ID.IM-04.2</t>
  </si>
  <si>
    <t>The organisation shall coordinate the development and testing of Incident Response Plans and other cybersecurity plans that affect operations with stakeholders to ensure that these plans align with overall organisational goals and enhance resilience.</t>
  </si>
  <si>
    <t>PR.AA-01.1</t>
  </si>
  <si>
    <t>Identities and credentials for authorised users, services, and hardware shall be managed.</t>
  </si>
  <si>
    <t>PR.AA-01.2</t>
  </si>
  <si>
    <t>Identities and credentials for authorised users, services and hardware shall be managed through automated mechanisms whenever feasible.</t>
  </si>
  <si>
    <t>PR.AA-01.3</t>
  </si>
  <si>
    <t>System credentials shall be deactivated after a specified period of inactivity unless it would compromise the safe operation of (critical) processes.</t>
  </si>
  <si>
    <t>PR.AA-01.4</t>
  </si>
  <si>
    <t>For transactions within the organisation's critical systems, the organisation shall implement Multi Factor Authentication (MFA), cryptographic certificates, identity tokens, cryptographic keys and other credentials as appropriate and where feasible.</t>
  </si>
  <si>
    <t>PR.AA-01.5</t>
  </si>
  <si>
    <t>The organisation’s critical systems shall be monitored for atypical use of system credentials. Credentials associated with significant risk shall be disabled.</t>
  </si>
  <si>
    <t>PR.AA-02.1</t>
  </si>
  <si>
    <t>The organisation shall implement documented procedures for verifying the identity of individuals before issuing credentials that provide access to the organisation's systems.</t>
  </si>
  <si>
    <t>PR.AA-02.2</t>
  </si>
  <si>
    <t>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</si>
  <si>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PR.AA-03.1</t>
  </si>
  <si>
    <t>All wireless access points used by the organisation, including those providing guest access, shall be securely configured, managed, and monitored to prevent unauthorised  access and ensure network integrity.</t>
  </si>
  <si>
    <t>PR.AA-03.2</t>
  </si>
  <si>
    <t>Multi-Factor Authentication (MFA) shall be required to access the organisation's networks remotely.</t>
  </si>
  <si>
    <t>PR.AA-03.3</t>
  </si>
  <si>
    <t>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</si>
  <si>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PR.AA-03.4</t>
  </si>
  <si>
    <t>Remote access to the organisation’s critical systems shall be monitored and cryptographic mechanisms shall be implemented where determined necessary.</t>
  </si>
  <si>
    <t>PR.AA-03.5</t>
  </si>
  <si>
    <t>The security for connections with external systems shall be verified and framed by documented agreements.</t>
  </si>
  <si>
    <t>PR.AA-04.1</t>
  </si>
  <si>
    <t>Identity assertions shall be protected, conveyed, and verified.</t>
  </si>
  <si>
    <t>PR.AA-05.1</t>
  </si>
  <si>
    <t>Access permissions, rights, and authorisations shall be defined, managed, enforced and reviewed.</t>
  </si>
  <si>
    <t>PR.AA-05.2</t>
  </si>
  <si>
    <t>It shall be determined who needs access to the organisation's business-critical information and technology and the means to gain access.</t>
  </si>
  <si>
    <t>PR.AA-05.3</t>
  </si>
  <si>
    <t>Access rights, privileges and authorisations must be restricted to the systems and specific information needed to perform the tasks (the principle of Least Privilege).</t>
  </si>
  <si>
    <t>PR.AA-05.4</t>
  </si>
  <si>
    <t>No-one shall have administrative privileges for routine day-to-day tasks.</t>
  </si>
  <si>
    <t>PR.AA-05.5</t>
  </si>
  <si>
    <t>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</si>
  <si>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PR.AA-05.6</t>
  </si>
  <si>
    <t>Separation of duties (SoD) shall be ensured in the management of access rights.</t>
  </si>
  <si>
    <t>PR.AA-05.7</t>
  </si>
  <si>
    <t>Privileged users shall be managed and monitored.</t>
  </si>
  <si>
    <t>PR.AA-05.8</t>
  </si>
  <si>
    <t>Account usage restrictions for specific time periods and locations shall be taken into account in the organisation's security access policy and applied accordingly.</t>
  </si>
  <si>
    <t>PR.AA-05.9</t>
  </si>
  <si>
    <t>Privileged users shall be managed, monitored and audited.</t>
  </si>
  <si>
    <t>PR.AA-06.1</t>
  </si>
  <si>
    <t>Physical access to all organisational assets, including critical zones, shall be managed, monitored, and enforced based on risk.</t>
  </si>
  <si>
    <t>PR.AA-06.2</t>
  </si>
  <si>
    <t>Physical access controls shall include specific procedures for emergency situations, ensuring continued protection of critical and non-critical assets during such events.</t>
  </si>
  <si>
    <t>PR.AA-06.3</t>
  </si>
  <si>
    <t>Critical zones shall have additional physical access controls beyond those applied to general facilities.</t>
  </si>
  <si>
    <t>PR.AA-06.4</t>
  </si>
  <si>
    <t>Assets located within critical zones shall be physically protected against unauthorised access, damage, or interference.</t>
  </si>
  <si>
    <t>PR.AT-01.1</t>
  </si>
  <si>
    <t>The organisation shall establish and maintain a cybersecurity awareness and training programme to ensure that all personnel understand how to perform their tasks securely and responsibly.</t>
  </si>
  <si>
    <t>PR.AT-01.2</t>
  </si>
  <si>
    <t>The organisation shall include insider threat awareness and reporting in its cybersecurity training to help personnel recognise and respond to potential internal risks.</t>
  </si>
  <si>
    <t>PR.AT-01.3</t>
  </si>
  <si>
    <t>Personnel shall receive training to understand their specific roles, responsibilities, and priorities during a cybersecurity or information security incident, including the steps they need to follow to respond effectively.</t>
  </si>
  <si>
    <t>PR.AT-01.4</t>
  </si>
  <si>
    <t>The organisation shall evaluate whether its cybersecurity awareness training is effective in improving knowledge, behaviour, and readiness across the organisation.</t>
  </si>
  <si>
    <t>PR.AT-02.1</t>
  </si>
  <si>
    <t>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</si>
  <si>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PR.AT-02.2</t>
  </si>
  <si>
    <t>Individuals in specialised roles shall be provided with awareness and training before privileges are granted, so that they possess the knowledge and skills to perform relevant tasks with cybersecurity risks in mind.</t>
  </si>
  <si>
    <t>PR.AT-02.3</t>
  </si>
  <si>
    <t>Privileged users shall be qualified before privileges are granted, and these users shall be able to demonstrate the understanding of their roles, responsibilities, and authorities.</t>
  </si>
  <si>
    <t>PR.DS-01.1</t>
  </si>
  <si>
    <t>The organisation shall implement software, firmware, and information integrity checks to detect unauthorised changes to its critical system components during storage, transport, start-up and when determined necessary.</t>
  </si>
  <si>
    <t>PR.DS-01.2</t>
  </si>
  <si>
    <t>The organisation shall implement automated tools where feasible to provide notification upon discovering discrepancies during integrity verification.</t>
  </si>
  <si>
    <t>PR.DS-01.3</t>
  </si>
  <si>
    <t>The organisation shall define and implement automated responses to detected integrity violations, using predefined safeguards that are proportionate to the severity and impact of the violation.</t>
  </si>
  <si>
    <t>PR.DS-01.4</t>
  </si>
  <si>
    <t>The organisation shall define and enforce clear policies and practical safeguards to manage and restrict the use of portable storage media, in order to reduce the risk of data leakage, unauthorised access, and malware introduction.</t>
  </si>
  <si>
    <t>PR.DS-01.5</t>
  </si>
  <si>
    <t>The organisation shall only allow the use of removable media when absolutely necessary, and shall put technical measures in place to block automatic execution of files from these devices.</t>
  </si>
  <si>
    <t>PR.DS-01.6</t>
  </si>
  <si>
    <t>The organisation shall protect the confidentiality of its critical assets while at rest.</t>
  </si>
  <si>
    <t>PR.DS-01.9</t>
  </si>
  <si>
    <t>Enterprise assets shall be disposed of safely.</t>
  </si>
  <si>
    <t>PR.DS-02.1</t>
  </si>
  <si>
    <t>Portable storage devices containing system data shall be controlled and protected while in transit and in storage.</t>
  </si>
  <si>
    <t>PR.DS-02.2</t>
  </si>
  <si>
    <t>The organisation shall protect its critical and sensitive information while in transit.</t>
  </si>
  <si>
    <t>PR.DS-10.1</t>
  </si>
  <si>
    <t>The organisation’s critical systems shall be protected against denial-of-service attacks or at least the effect of such attacks shall be limited.</t>
  </si>
  <si>
    <t>PR.DS-11.1</t>
  </si>
  <si>
    <t>Backups for the organisation's business critical data shall be performed and stored on a different system from the device on which the original data resides.</t>
  </si>
  <si>
    <t>PR.DS-11.2</t>
  </si>
  <si>
    <t>The reliability and integrity of backups shall be verified and tested regularly.</t>
  </si>
  <si>
    <t>PR.DS-11.3</t>
  </si>
  <si>
    <t>The organisation shall maintain secure backups of business-critical data in a separate storage location to ensure data availability in case of system failure or data loss. Backup storage shall apply equivalent security controls as the primary environment.</t>
  </si>
  <si>
    <t>PR.DS-11.4</t>
  </si>
  <si>
    <t>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</si>
  <si>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PR.DS-11.5</t>
  </si>
  <si>
    <t>Backups of critical systems (such as operating systems, configurations, and applications) shall be kept separate from backups of critical information (such as business data, documents, and databases) to support faster and more reliable recovery.</t>
  </si>
  <si>
    <t>PR.PS-01.1</t>
  </si>
  <si>
    <t>The organisation shall develop, document, and maintain a baseline configuration for its business-critical systems.</t>
  </si>
  <si>
    <t>PR.PS-01.2</t>
  </si>
  <si>
    <t>The organisation shall configure its business-critical systems to operate with only the essential functions needed for the intended purpose. This includes reviewing and updating baseline configurations to disable any non-essential capabilities.</t>
  </si>
  <si>
    <t>PR.PS-01.3</t>
  </si>
  <si>
    <t>The organisation shall identify and disable specific functions, ports, protocols, and services within its critical systems that are not required for business operations.</t>
  </si>
  <si>
    <t>PR.PS-01.4</t>
  </si>
  <si>
    <t>The organisation shall implement technical safeguards to enforce a policy of ‘deny-all’ and ‘permit-by-exception’ so that only authorised software programmes are executed.</t>
  </si>
  <si>
    <t>PR.PS-01.5</t>
  </si>
  <si>
    <t>Unauthorised configuration changes to organisation's systems shall be monitored and addressed with the appropriate mitigation actions.</t>
  </si>
  <si>
    <t>PR.PS-02.1</t>
  </si>
  <si>
    <t>The organisation shall enforce restrictions on software usage and installation, and ensure that software is maintained, replaced, or removed based on its associated risk.</t>
  </si>
  <si>
    <t>PR.PS-03.1</t>
  </si>
  <si>
    <t>Hardware used in business-critical environments shall be maintained, replaced, or removed based on its associated security and operational risk.</t>
  </si>
  <si>
    <t>PR.PS-04.1</t>
  </si>
  <si>
    <t>Logs shall be maintained, documented, and rmonitored.</t>
  </si>
  <si>
    <t>PR.PS-04.2</t>
  </si>
  <si>
    <t>The organisation shall ensure that logbook records contain an authoritative time source or internal clock time stamp that is compared and synchronised with an authoritative time source.</t>
  </si>
  <si>
    <t>PR.PS-04.3</t>
  </si>
  <si>
    <t>Audit data from the organisation's critical systems shall be moved to an alternative system.</t>
  </si>
  <si>
    <t>PR.PS-04.4</t>
  </si>
  <si>
    <t>The organisation shall ensure that audit processing failures on the organisation's systems generate alerts and trigger defined responses.</t>
  </si>
  <si>
    <t>PR.PS-04.5</t>
  </si>
  <si>
    <t>The organisation shall ensure that authorised personnel can extend or enhance audit logging and monitoring capabilities when needed to support investigations or incident response.</t>
  </si>
  <si>
    <t>PR.PS-05.1</t>
  </si>
  <si>
    <t>Web and e-mail filters shall be installed and used.</t>
  </si>
  <si>
    <t>PR.PS-05.2</t>
  </si>
  <si>
    <t>Installation and execution of unauthorised software shall be prevented.</t>
  </si>
  <si>
    <t>PR.PS-06.1</t>
  </si>
  <si>
    <t>Security shall be considered throughout the lifecycle of systems and applications, whether developed internally or acquired externally.</t>
  </si>
  <si>
    <t>PR.PS-06.2</t>
  </si>
  <si>
    <t>Changes and exceptions shall be tested and validated before being implemented into operational systems.</t>
  </si>
  <si>
    <t>PR.PS-06.3</t>
  </si>
  <si>
    <t>Secure software development practices shall be integrated into all phases of the software development lifecycle, and their effectiveness shall be regularly monitored and improved.</t>
  </si>
  <si>
    <t>PR.PS-06.4</t>
  </si>
  <si>
    <t>For planned changes to the organisation's critical systems, a security impact analysis shall be performed in a separate test environment before implementation in an operational environment.</t>
  </si>
  <si>
    <t>PR.IR-01.1</t>
  </si>
  <si>
    <t>Firewalls shall be installed, configured, and actively maintained on all networks used by the organisation to protect against unauthorised  access and cyber threats.</t>
  </si>
  <si>
    <t>PR.IR-01.2</t>
  </si>
  <si>
    <t>To safeguard critical systems, organisations shall implement network segmentation and segregation aligned with trust boundaries and asset criticality, thereby limiting threat propagation and enforcing strict access control.</t>
  </si>
  <si>
    <t>PR.IR-01.3</t>
  </si>
  <si>
    <t>To ensure operational stability and security, the organisation shall, without exception, identify, document, and control connections between components of its critical systems.</t>
  </si>
  <si>
    <t>PR.IR-01.4</t>
  </si>
  <si>
    <t>The organisation shall implement appropriate boundary protection measures to monitor and control communications at external and key internal boundaries of its critical systems, across both IT and OT environments, to ensure secure and reliable operations.</t>
  </si>
  <si>
    <t>PR.IR-01.5</t>
  </si>
  <si>
    <t>The organisation shall implement, where feasible, authenticated proxy servers or firewalls with URL filtering and threat intelligence capabilities for defined communications traffic between its critical systems and external networks.</t>
  </si>
  <si>
    <t>PR.IR-01.6</t>
  </si>
  <si>
    <t>The organisation shall ensure that its critical systems are designed to fail securely and remain protected in the event of an operational failure of a border protection device.</t>
  </si>
  <si>
    <t>PR.IR-01.7</t>
  </si>
  <si>
    <t>The organisation shall ensure that development and test environments are strictly separated from the production environment, particularly in ICS/OT systems where any crossover could compromise safety, endanger health, or disrupt essential operations.</t>
  </si>
  <si>
    <t>PR.IR-01.8</t>
  </si>
  <si>
    <t>The organisation shall define, monitor, and control the flow of information and data within and between its critical systems to ensure that only authorised and secure exchanges occur, regardless of network boundaries or system architecture.</t>
  </si>
  <si>
    <t>PR.IR-01.9</t>
  </si>
  <si>
    <t>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</si>
  <si>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PR.IR-02.1</t>
  </si>
  <si>
    <t>The organisation shall define, implement and maintain policies and procedures related to emergency and safety systems, fire protection systems and environmental controls for its critical systems.</t>
  </si>
  <si>
    <t>PR.IR-02.2</t>
  </si>
  <si>
    <t>The organisation shall implement fire detection devices that activate and notify key personnel automatically in the event of a fire.</t>
  </si>
  <si>
    <t>PR.IR-03.1</t>
  </si>
  <si>
    <t>The organisation shall implement mechanisms to ensure that critical systems and services remain operational or can be quickly restored during both normal operations and adverse conditions.</t>
  </si>
  <si>
    <t>PR.IR-04.1</t>
  </si>
  <si>
    <t>Adequate resource capacity planning shall ensure that availability of organisation's critical system information processing, networking, telecommunications, and data storage is maintained.</t>
  </si>
  <si>
    <t>DE.CM-01.1</t>
  </si>
  <si>
    <t>Firewalls shall be installed and operated at the network boundaries, including endpoint firewalls.</t>
  </si>
  <si>
    <t>DE.CM-01.2</t>
  </si>
  <si>
    <t>Anti-virus, -spyware, and other -malware programs shall be installed and updated.</t>
  </si>
  <si>
    <t>DE.CM-01.3</t>
  </si>
  <si>
    <t>The organisation shall monitor and identify unauthorised use of its business-critical systems through the detection of unauthorised local connections, network connections and remote connections.</t>
  </si>
  <si>
    <t>DE.CM-01.4</t>
  </si>
  <si>
    <t>The organisation shall continuously monitor its network to spot signs of cyber threats or unusual activity, using clearly defined rules for what counts as a potential security incident.</t>
  </si>
  <si>
    <t>DE.CM-02.1</t>
  </si>
  <si>
    <t>The physical environment shall be monitored to find potentially adverse events.</t>
  </si>
  <si>
    <t>DE.CM-02.2</t>
  </si>
  <si>
    <t>Physical access to the organisation's critical systems and devices, in addition to physical access monitoring to the facility, shall be supplemented by physical intrusion alarms, surveillance equipment, and independent monitoring teams.</t>
  </si>
  <si>
    <t>DE.CM-03.1</t>
  </si>
  <si>
    <t>End point and network protection tools to monitor end-user behaviour for dangerous activity shall be implemented.</t>
  </si>
  <si>
    <t>DE.CM-03.2</t>
  </si>
  <si>
    <t>End point and network protection tools that monitor end-user behaviour for dangerous activity shall be managed.</t>
  </si>
  <si>
    <t>DE.CM-06.1</t>
  </si>
  <si>
    <t>External service provider activities and services shall be secured and monitored to find potentially adverse events.</t>
  </si>
  <si>
    <t>DE.CM-06.2</t>
  </si>
  <si>
    <t>External service providers' conformance with personnel security policies and procedures and contract security requirements shall be monitored relative to their cybersecurity risks.</t>
  </si>
  <si>
    <t>DE.CM-09.1</t>
  </si>
  <si>
    <t>The organisation shall monitor computing hardware, software, runtime environments, and their data to detect potentially adverse events.</t>
  </si>
  <si>
    <t>DE.CM-09.2</t>
  </si>
  <si>
    <t>The organisation shall implement hardware integrity checks to detect unauthorised tampering of critical system hardware. Controls shall be proportionate to the organisation’s risk profile and operational capacity.</t>
  </si>
  <si>
    <t>DE.CM-09.3</t>
  </si>
  <si>
    <t>The organisation's incident response plan shall include measures to detect unauthorised tampering with the hardware of critical systems.</t>
  </si>
  <si>
    <t>DE.CM-09.4</t>
  </si>
  <si>
    <t>The organisation shall establish a system to accurately distinguish between legitimate alerts and false positives, ensuring effective detection and removal of malicious code.</t>
  </si>
  <si>
    <t>DE.AE-02.1</t>
  </si>
  <si>
    <t>Cybersecurity and information security events shall be reviewed and analysed to identify potential attack targets and methods, in accordance with applicable laws, regulations, standards, and policies.</t>
  </si>
  <si>
    <t>DE.AE-02.2</t>
  </si>
  <si>
    <t>The organisation shall implement automated mechanisms where feasible to review and analyse detected events.</t>
  </si>
  <si>
    <t>DE.AE-03.1</t>
  </si>
  <si>
    <t>The logging functionality of protection and detection tools shall be enabled. Logs shall be backed up and retained for a predefined period, and regularly reviewed to identify unusual or potentially harmful activity.</t>
  </si>
  <si>
    <t>DE.AE-03.2</t>
  </si>
  <si>
    <t>The organisation shall ensure that event data from critical systems is collected and correlated using information from multiple relevant sources.</t>
  </si>
  <si>
    <t>DE.AE-03.3</t>
  </si>
  <si>
    <t>The organisation shall combine event analysis with information from vulnerability scans, system performance data, monitoring of critical systems, and facility monitoring, where feasible.</t>
  </si>
  <si>
    <t>DE.AE-04.1</t>
  </si>
  <si>
    <t>The organisation shall assess the negative impacts of detected events on its operations, assets, and individuals, and shall link these impacts to the results of its risk assessments.</t>
  </si>
  <si>
    <t>DE.AE-06.1</t>
  </si>
  <si>
    <t>Information about adverse events shall be promptly delivered to authorised personnel and systems to enable timely detection, investigation, and response.</t>
  </si>
  <si>
    <t>DE.AE-08.1</t>
  </si>
  <si>
    <t>Incidents shall be reported when adverse events meet defined and documented incident criteria.</t>
  </si>
  <si>
    <t>RS.MA-01.1</t>
  </si>
  <si>
    <t>An incident response plan, including defined roles, responsibilities, and authorities, shall be executed during or after a cybersecurity event affecting the organisation's critical systems.</t>
  </si>
  <si>
    <t>RS.MA-01.2</t>
  </si>
  <si>
    <t>The organisation shall coordinate information/cybersecurity incident response actions with all predefined stakeholders.</t>
  </si>
  <si>
    <t>RS.MA-02.1</t>
  </si>
  <si>
    <t>Information/cybersecurity incident reports shall be triaged and validated in accordance with the organisation’s incident response procedures.</t>
  </si>
  <si>
    <t>RS.MA-02.2</t>
  </si>
  <si>
    <t>Automated tools shall be used to support the investigation and impact assessment of validated cybersecurity incidents.</t>
  </si>
  <si>
    <t>RS.MA-03.1</t>
  </si>
  <si>
    <t>Information/cybersecurity incidents shall be categorised, prioritised and escalated as specified in the incident response plan.</t>
  </si>
  <si>
    <t>RS.MA-05.1</t>
  </si>
  <si>
    <t>Clear criteria shall be defined and applied to determine when incident recovery processes need to be initiated.</t>
  </si>
  <si>
    <t>RS.AN-03.1</t>
  </si>
  <si>
    <t>Each incident shall be analysed to determine what occurred and to identify its root cause.</t>
  </si>
  <si>
    <t>RS.AN-06.1</t>
  </si>
  <si>
    <t>Actions performed during an investigation shall be recorded, and the records' integrity and provenance shall be preserved.</t>
  </si>
  <si>
    <t>RS.AN-07.1</t>
  </si>
  <si>
    <t>Incident data and metadata shall be collected and protected to ensure their accuracy, authenticity, and traceability.</t>
  </si>
  <si>
    <t>RS.AN-08.1</t>
  </si>
  <si>
    <t>An incident’s magnitude shall be estimated and validated.</t>
  </si>
  <si>
    <t>RS.CO-02.1</t>
  </si>
  <si>
    <t>Information about cybersecurity incidents shall be communicated to employees in a way that is clear and easy to understand.</t>
  </si>
  <si>
    <t>RS.CO-02.2</t>
  </si>
  <si>
    <t>Cybersecurity incidents shall be shared with relevant external stakeholders within the timeframes defined in the Incident Response Plan, including reporting significant incidents to authorities as required by law.</t>
  </si>
  <si>
    <t>RS.MI-01.1</t>
  </si>
  <si>
    <t>Cybersecurity incidents shall be contained and eliminated. Any decision to accept and retain certain cybersecurity risks shall be formally documented.</t>
  </si>
  <si>
    <t>RS.MI-01.2</t>
  </si>
  <si>
    <t>The organisation shall detect unauthorised access or data leakage and take appropriate mitigation actions, including monitoring of critical systems at external boundaries and key internal points.</t>
  </si>
  <si>
    <t>RC.RP-01.1</t>
  </si>
  <si>
    <t>A recovery process for disasters and information/cybersecurity incidents shall be developed and executed.</t>
  </si>
  <si>
    <t>RC.RP-02.1</t>
  </si>
  <si>
    <t>The organisation's essential functions and services shall be continued with little or no loss of operational continuity, and continuity shall be maintained until full system recovery.</t>
  </si>
  <si>
    <t>RC.RP-05.1</t>
  </si>
  <si>
    <t>The integrity of restored systems and assets shall be verified before they are returned to service. Systems and services shall be fully restored, and normal operations shall be confirmed.</t>
  </si>
  <si>
    <t>RC.RP-06.1</t>
  </si>
  <si>
    <t>The end of incident recovery shall be formally declared based on predefined criteria, and all incident-related documentation shall be completed and reviewed.</t>
  </si>
  <si>
    <t>RC.CO-03.1</t>
  </si>
  <si>
    <t>Recovery activities and progress in restoring operational capabilities shall be communicated to designated internal and external stakeholders in accordance with established communication procedures.</t>
  </si>
  <si>
    <t>RC.CO-04.1</t>
  </si>
  <si>
    <t>Public updates on incident recovery shall be shared using approved communication methods and messaging, in accordance with established procedures.</t>
  </si>
  <si>
    <t>RC.CO-04.2</t>
  </si>
  <si>
    <t>The organisation shall assign a Public Relations Officer (PRO) to manage public communications during information/cybersecurity incident recovery, ensuring that public updates are shared while maintaining the confidentiality, integrity, and accuracy of the information.</t>
  </si>
  <si>
    <t>RC.CO-04.3</t>
  </si>
  <si>
    <t>The organisation shall implement a crisis communication strategy to mitigate negative impacts during a crisis and help restore its reputation afterward.</t>
  </si>
  <si>
    <t>naam / name / nom
omschrijving / description
eigenaar / owner / propriétaire
dienst / department / service
integriteit / integrity / intégrité
beschikbaarheid / availability / disponibilité
confidentialiteit / confidentiality / confidentialité</t>
  </si>
  <si>
    <t>naam / name / nom
type / asset type
omschrijving / description
eigenaar / owner / propriétaire
dienst / department / service
integriteit / integrity / intégrité
beschikbaarheid / availability / disponibilité
confidentialiteit / confidentiality / confidentialité</t>
  </si>
  <si>
    <t>CyFun 2025 + 2023 — Controls &amp; Requirements (ESSENTIAL) — Vergelijking</t>
  </si>
  <si>
    <t>CyFun 2025</t>
  </si>
  <si>
    <t>Versie</t>
  </si>
  <si>
    <t>CyFun 2023</t>
  </si>
  <si>
    <t>Category</t>
  </si>
  <si>
    <t>Controls linked to
the management aspects</t>
  </si>
  <si>
    <t>Key Measure</t>
  </si>
  <si>
    <t>Subcategory</t>
  </si>
  <si>
    <t>Assurance level</t>
  </si>
  <si>
    <t>Requirement</t>
  </si>
  <si>
    <t>Category (2023)</t>
  </si>
  <si>
    <t>Controls linked (2023)</t>
  </si>
  <si>
    <t>Key Measure (2023)</t>
  </si>
  <si>
    <t>Subcategory (2023)</t>
  </si>
  <si>
    <t>Assurance level (2023)</t>
  </si>
  <si>
    <t>Requirement (2023)</t>
  </si>
  <si>
    <t>Organisational Context (GV.OC): The circumstances - mission, stakeholder expectations, dependencies, and legal, regulatory, and contractual requirements - surrounding the organisation's cybersecurity risk management decisions are understood.</t>
  </si>
  <si>
    <t>GV.OC-01: The organisational mission is understood and informs cybersecurity risk management.</t>
  </si>
  <si>
    <t>GV.OC-01.1: The organisation's mission shall be established, communicated and shall form the basis for information and cybersecurity risk management.</t>
  </si>
  <si>
    <t>Beide</t>
  </si>
  <si>
    <t>Business Environment (ID.BE): The organization’s mission, objectives, stakeholders, and activities are understood and prioritized; this information is used to inform cybersecurity roles, responsibilities, and risk management decisions.</t>
  </si>
  <si>
    <t>ID.BE-2: The organization’s place in critical infrastructure and its industry sector is identified and communicated</t>
  </si>
  <si>
    <t>ID.BE-2.1: The organization’s place in critical infrastructure and its industry sector shall be identified and communicated.</t>
  </si>
  <si>
    <t>GV.OC-02: Internal and external stakeholders are understood, and their needs and expectations regarding cybersecurity risk management are understood and considered.</t>
  </si>
  <si>
    <t>GV.OC-02.1: The organisation shall demonstrate it understands and considers the needs and expectations of both internal and external stakeholders regarding information and cybersecurity risk management.</t>
  </si>
  <si>
    <t>Enkel 2025</t>
  </si>
  <si>
    <t>GV.OC-03: Legal, regulatory, and contractual requirements regarding cybersecurity are understood and managed.</t>
  </si>
  <si>
    <t>GV.OC-03.1:  Legal and regulatory requirements regarding information and cybersecurity shall be identified and implemented.</t>
  </si>
  <si>
    <t>Governance (ID.GV): The policies, procedures, and processes to manage and monitor the organization’s regulatory, legal, risk, environmental, and operational requirements are understood and inform the management of cybersecurity risk.</t>
  </si>
  <si>
    <t>ID.GV-3: Legal and regulatory requirements regarding cybersecurity, including privacy and civil liberties obligations, are understood and managed</t>
  </si>
  <si>
    <t>ID.GV-3.1: Legal and regulatory requirements regarding information/cybersecurity, including privacy obligations, shall be understood and implemented.</t>
  </si>
  <si>
    <t>GV.OC-03.2: Legal, regulatory, and contractual obligations related to information and cybersecurity shall be continuously managed to ensure they remain accurate, up to date, and effectively applied.</t>
  </si>
  <si>
    <t>ID.GV-3.2: Legal and regulatory requirements regarding information/cybersecurity, including privacy obligations, shall be managed.</t>
  </si>
  <si>
    <t>GV.OC-04: Critical objectives, capabilities, and services that external stakeholders depend on or expect from the organisation are understood and communicated.</t>
  </si>
  <si>
    <t>GV.OC-04.1: The organisation shall identify, document, and communicate the critical objectives, capabilities, and services relied upon by external stakeholders, prioritise them based on criticality, and integrate this prioritisation into the risk assessment process.</t>
  </si>
  <si>
    <t>ID.BE-4: Dependencies and critical functions for delivery of critical services are established</t>
  </si>
  <si>
    <t>ID.BE-4.1: Dependencies and mission-critical functions for the delivery of critical services shall be identified, documented, and prioritized according to their criticality as part of the risk assessment process.</t>
  </si>
  <si>
    <t>GV.OC-04.2: The organisation shall define and document cybersecurity requirements for essential operations, validate them through testing and audits, keep records of results and corrective actions, and regularly update requirements based on evolving risks.</t>
  </si>
  <si>
    <t>ID.BE-5: Resilience requirements to support delivery of critical services are established for all operating states (e.g. under duress/attack, during recovery, normal operations)</t>
  </si>
  <si>
    <t>ID.BE-5.1: To support cyber resilience and secure the delivery of critical services, the necessary requirements are identified, documented and their implementation tested and approved.</t>
  </si>
  <si>
    <t>GV.OC-04.3: Redundancy shall be implemented to meet availability requirements as defined by the organisation, legislation and/or regulations.</t>
  </si>
  <si>
    <t>ID.BE-5.2: Information processing &amp; supporting facilities shall implement redundancy to meet availability requirements, as defined by the organization and/or regulatory frameworks.</t>
  </si>
  <si>
    <t>GV.OC-04.4: Recovery time and recovery point objectives for the resumption of essential ICT/OT system processes shall be defined and monitored.</t>
  </si>
  <si>
    <t>ID.BE-5.3: Recovery time and recovery point objectives for the resumption of essential ICT/OT system processes shall be defined.</t>
  </si>
  <si>
    <t>GV.OC-05: Outcomes, capabilities, and services that the organization depends on are understood and communicated.</t>
  </si>
  <si>
    <t>GV.OC-05.1: The organization shall identify, document, and communicate its role in the supply chain, including the external capabilities, services, and dependencies it relies on (upstream), as well as its interactions with downstream stakeholders.</t>
  </si>
  <si>
    <t>ID.BE-1: The organization’s role in the supply chain is identified and communicated</t>
  </si>
  <si>
    <t>ID.BE-1.1: The organization’s role in the supply chain shall be identified, documented, and communicated.</t>
  </si>
  <si>
    <t>Risk Management Strategy (GV.RM): The organisation's priorities, constraints, risk tolerance and appetite statements, and assumptions, are established, communicated, and used to support operational risk decisions.</t>
  </si>
  <si>
    <t>Control linked to the management aspects</t>
  </si>
  <si>
    <t>GV.RM-01: Risk management objectives are established and agreed to by organisational  stakeholders.</t>
  </si>
  <si>
    <t>GV.RM-01.1: Information and cybersecurity objectives shall be coherently established throughout the organisation and approved by senior management.</t>
  </si>
  <si>
    <t>Risk Management Strategy (ID.RM): The organization’s priorities, constraints, risk tolerances, and assumptions are established and used to support operational risk decisions.</t>
  </si>
  <si>
    <t>ID.RM-1: Risk management processes are established, managed, and agreed to by organizational stakeholders</t>
  </si>
  <si>
    <t>ID.RM-1.1: A cyber risk management process that identifies key internal and external stakeholders and facilitates addressing risk-related issues and information shall be created, documented, reviewed, approved, and updated when changes occur.</t>
  </si>
  <si>
    <t>GV.RM-02: Risk appetite and risk tolerance statements are established, communicated, and maintained.</t>
  </si>
  <si>
    <t>GV.RM-02.1:Risk appetite and risk tolerance statements shall be defined, documented, approved by senior management, communicated, and maintained.</t>
  </si>
  <si>
    <t>ID.RM-2: Organizational risk tolerance is determined and clearly expressed</t>
  </si>
  <si>
    <t>ID.RM-2.1: The organization shall clearly determine it’s risk appetite.</t>
  </si>
  <si>
    <t>GV.RM-03: Cybersecurity risk management activities and outcomes are included in enterprise risk management processes.</t>
  </si>
  <si>
    <t>GV.RM-03.1: As part of the organisation-wide risk management strategy, a comprehensive strategy to manage information and cybersecurity risks shall be developed and updated when changes occur.</t>
  </si>
  <si>
    <t>ID.GV-4: Governance and risk management processes address cybersecurity risks</t>
  </si>
  <si>
    <t>ID.GV-4.1: As part of the company's overall risk management, a comprehensive strategy to manage information security and cybersecurity risks shall be developed and updated when changes occur.</t>
  </si>
  <si>
    <t>GV.RM-03.2: Information and cybersecurity risks shall be documented, as part of the enterprise risk management processes, formally approved by senior management, and updated when changes occur.</t>
  </si>
  <si>
    <t>ID.GV-4.2: Information security and cybersecurity risks shall be documented, formally approved, and updated when changes occur.</t>
  </si>
  <si>
    <t>GV.RM-04: Strategic direction that describes appropriate risk response options is established and communicated.</t>
  </si>
  <si>
    <t>GV.RM-04.1: A high-level plan or vision shall be formally established and clearly communicated to everyone involved on how to manage risks, including the different strategies the organisation can employ to deal with identified risks based on risk appetite or risk tolerance level.</t>
  </si>
  <si>
    <t>GV.RM-05: Lines of communication across the organisation are established for cybersecurity risks, including risks from suppliers and other third parties.</t>
  </si>
  <si>
    <t>GV.RM-05.1: To support the high-level risk management vision, the organisation shall establish clear lines of communication for cybersecurity risks, including those arising from suppliers and third parties.</t>
  </si>
  <si>
    <t>Roles, Responsibilities and Authorities (GV.RR): Cybersecurity roles, responsibilities, and authorities to foster accountability, performance assessment, and continuous improvement are established and communicated.</t>
  </si>
  <si>
    <t>GV.RR-01: Organisational leadership is responsible and accountable for cybersecurity risk and fosters a culture that is risk-aware, ethical, and continually improving.</t>
  </si>
  <si>
    <t>GV.RR-01.1: The organisation's top management shall be responsible and accountable for cybersecurity risk and shall foster a culture that is risk-aware, ethical, and continually improving.</t>
  </si>
  <si>
    <t>GV.RR-02: Roles, responsibilities, and authorities related to cybersecurity risk management are established, communicated, understood, and enforced.</t>
  </si>
  <si>
    <t>GV.RR-02.1: Information security and Cyber security roles, responsibilities and authorities for employees, suppliers, customers, and partners shall be documented, reviewed, authorised, kept up-to-date, communicated, and coordinated internally and externally..</t>
  </si>
  <si>
    <t>Asset Management (ID.AM): The data, personnel, devices, systems, and facilities that enable the organization to achieve business purposes are identified and managed consistent with their relative importance to organizational objectives and the organization’s risk strategy.</t>
  </si>
  <si>
    <t>ID.AM-6: Cybersecurity roles, responsibilities, and authorities for the entire workforce and third-party stakeholders are established</t>
  </si>
  <si>
    <t>ID.AM-6.1: Information security and cybersecurity roles, responsibilities and authorities within the organization shall be documented, reviewed, authorized, and updated and alignment with organization-internal roles and external partners.  Key Measure</t>
  </si>
  <si>
    <t>GV.RR-02.2: The organisation shall appoint a senior-level executive information security officer.</t>
  </si>
  <si>
    <t>ID.AM-6.2: The organization shall appoint an information security officer.</t>
  </si>
  <si>
    <t>GV.RR-03: Adequate resources are allocated commensurate with the cybersecurity risk strategy, roles, responsibilities, and policies.</t>
  </si>
  <si>
    <t>GV.RR-03.1: Sufficient resources shall be allocated in line with the cybersecurity risk strategy, roles, responsibilities and policies.</t>
  </si>
  <si>
    <t>GV.RR-03.2: The organisation shall assign roles and responsibilities for reviewing and updating response and recovery plans, ensuring they reflect changes in the risk environment and remain effective.</t>
  </si>
  <si>
    <t>Improvements (RS.IM): Organizational response activities are improved by incorporating lessons learned from current and previous detection/response activities.</t>
  </si>
  <si>
    <t>RS.IM-2: Response and Recovery strategies are updated</t>
  </si>
  <si>
    <t>RS.IM-2.1: The organization shall update the response and recovery  plans to address changes in its context.</t>
  </si>
  <si>
    <t>GV.RR-04: Cybersecurity is included in human resources practices.</t>
  </si>
  <si>
    <t>GV.RR-04.1: Personnel with access to the organisation’s most critical information or technology shall be authenticated.</t>
  </si>
  <si>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</si>
  <si>
    <t>PR.IP-11: Cybersecurity is included in human resources practices (e.g., deprovisioning, personnel screening)</t>
  </si>
  <si>
    <t>PR.IP-11.1: Personnel having access to the organization’s most critical information or technology shall be verified.</t>
  </si>
  <si>
    <t>GV.RR-04.2: A cybersecurity process for human resources shall be developed and maintained applicable at recruitment, during employment and at termination of employment.</t>
  </si>
  <si>
    <t>PR.IP-11.2: Develop and maintain a human resource information/cyber security process that is applicable when recruiting, during employment and at termination of employment.</t>
  </si>
  <si>
    <t>Policy (GV.PO): Organisational  cybersecurity policy is established, communicated, and enforced.</t>
  </si>
  <si>
    <t>GV.PO-01: Policy for managing cybersecurity risks is established based on Organisational context, cybersecurity strategy, and priorities and is communicated and enforced.</t>
  </si>
  <si>
    <t>GV.PO-01.1: Policies and procedures for managing information and cybersecurity shall be established, documented, reviewed, approved, updated when changes occur, communicated and enforced.</t>
  </si>
  <si>
    <t>ID.GV-1: Organizational cybersecurity policy is established and communicated</t>
  </si>
  <si>
    <t>ID.GV-1.1: Policies and procedures for information security and cyber security shall be created, documented, reviewed, approved, and updated when changes occur.</t>
  </si>
  <si>
    <t>GV.PO-01.2: 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</si>
  <si>
    <t>ID.GV-1.2: An organization-wide information security and cybersecurity policy shall be established, documented, updated when changes occur, disseminated, and approved by senior management.</t>
  </si>
  <si>
    <t>Oversight (GV.OV): Results of organisation-wide cybersecurity risk management activities and performance are used to inform, improve, and adjust the risk management strategy.</t>
  </si>
  <si>
    <t>GV.OV-02: The cybersecurity risk management strategy is reviewed and adjusted to ensure coverage of organisational  requirements and risks.</t>
  </si>
  <si>
    <t>GV.OV-02.1: The information and cybersecurity risk management strategy shall be reviewed and adjusted to ensure coverage of organisational requirements and risks.</t>
  </si>
  <si>
    <t>GV.OV-03: Organisational cybersecurity risk management performance is evaluated and reviewed for adjustments needed.</t>
  </si>
  <si>
    <t>GV.OV-03.1: The organisation's cybersecurity risk management performance shall be evaluated, reviewed and adjusted when necessary.</t>
  </si>
  <si>
    <t>Cybersecurity Supply Chain Risk Management (GV.SC): Cyber supply chain risk management processes are identified, established, managed, monitored, and improved by organisational stakeholders.</t>
  </si>
  <si>
    <t>GV.SC-01: A cybersecurity supply chain risk management programme, strategy, objectives, policies, and processes are established and agreed to by organisational stakeholders.</t>
  </si>
  <si>
    <t>GV.SC-01.1: A cybersecurity supply chain risk management program, strategy, objectives, policies, and processes shall be documented, reviewed, updated when changes occur, and approved by organisational stakeholders.</t>
  </si>
  <si>
    <t>ID.BE-1.2: The organization shall protect its ICT/OT environment from supply chain threats by applying security safeguards as part of a documented comprehensive security strategy.</t>
  </si>
  <si>
    <t>GV.SC-02: Cybersecurity roles and responsibilities for suppliers, customers, and partners are established, communicated, and coordinated internally and externally.</t>
  </si>
  <si>
    <t>GV.SC-02.1: Third-party providers shall notify any transfer, termination or transition of personnel with physical or logical access to business-critical system elements of the organisation.</t>
  </si>
  <si>
    <t>Awareness and Training (PR.AT): The organization’s personnel and partners are provided cybersecurity awareness education and are trained to perform their cybersecurity-related duties and responsibilities consistent with related policies, procedures, and agreements.</t>
  </si>
  <si>
    <t>PR.AT-3: Third-party stakeholders (e.g., suppliers, customers, partners) understand their roles and responsibilities</t>
  </si>
  <si>
    <t>PR.AT-3.2: Third-party providers shall be required to notify any personnel transfers, termination, or transition involving personnel with physical or logical access to organization's business critical system's components.</t>
  </si>
  <si>
    <t>GV.SC-03: Cybersecurity supply chain risk management is integrated into cybersecurity and enterprise risk management, risk assessment, and improvement processes.</t>
  </si>
  <si>
    <t>GV.SC-03.1: Information- and Cybersecurity supply chain risk management shall be integrated into information/cybersecurity and enterprise risk management, risk assessment, and improvement processes.</t>
  </si>
  <si>
    <t>GV.SC-05: Requirements to address cybersecurity risks in supply chains are established, prioritised, and integrated into contracts and other types of agreements with suppliers and other relevant third parties.</t>
  </si>
  <si>
    <t>GV.SC-05.1: Requirements for addressing cybersecurity risks and the sharing of sensitive information in supply chains shall be established, prioritised, integrated into contracts and other types of formal agreements, and enforced.</t>
  </si>
  <si>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</si>
  <si>
    <t>ID.SC-3: Contracts with suppliers and third-party partners are used to implement appropriate measures designed to meet the objectives of an organization’s cybersecurity program and Cyber Supply Chain Risk Management Plan.</t>
  </si>
  <si>
    <t>ID.SC-3.1: Based on the results of the cyber supply chain risk assessment, a contractual framework for suppliers and external partners shall be established to address sharing of sensitive information and distributed and interconnected ICT/OT products and services.</t>
  </si>
  <si>
    <t>GV.SC-05.2: Contractual information/cybersecurity requirements for suppliers and external partners shall be implemented to ensure a verifiable flaw resolution process and to ensure that deficiencies identified during information/cybersecurity testing and evaluation are remedied.</t>
  </si>
  <si>
    <t>ID.SC-3.2: Contractual information security and cybersecurity’ requirements for suppliers and third-party partners shall be implemented to ensure a verifiable flaw remediation process, and to ensure the correction of flaws identified during ‘information security and cybersecurity’ testing and evaluation.</t>
  </si>
  <si>
    <t>GV.SC-05.3: The organisation shall establish contractual requirements permitting  the organisation to review the information/cybersecurity programmes implemented by suppliers and third-party partners.</t>
  </si>
  <si>
    <t>ID.SC-3.3: The organization shall establish contractual requirements permitting the organization to review the ‘information security and cybersecurity’ programs implemented by suppliers and third-party partners.</t>
  </si>
  <si>
    <t>GV.SC-06: Planning and due diligence are performed to reduce risks before entering into formal supplier or other third-party relationships.</t>
  </si>
  <si>
    <t>GV.SC-06.1: Planning and due diligence shall be carried out to reduce risks before entering into formal relationships with suppliers or other third parties.</t>
  </si>
  <si>
    <t>GV.SC-07: The risks posed by a supplier, their products and services, and other third parties are understood, recorded, prioritised, assessed, responded to, and monitored over the course of the relationship.</t>
  </si>
  <si>
    <t>GV.SC-07.1: The risks posed by a supplier, its products and services and other third parties shall be identified, documented, prioritised, mitigated and assessed at least annually and when changes occur during the relationship.</t>
  </si>
  <si>
    <t>ID.SC-2: Suppliers and third party partners of information systems, components, and services are identified, prioritized, and assessed using a cyber supply chain risk assessment process</t>
  </si>
  <si>
    <t>ID.SC-2.1: The organization shall conduct cyber supply chain risk assessments at least annually or when a change to the organization’s critical systems, operational environment, or supply chain occurs; These assessments shall be documented, and the results disseminated to relevant stakeholders including those responsible for ICT/OT systems.</t>
  </si>
  <si>
    <t>GV.SC-07.2: A documented list of all critical suppliers, vendors and partners of the organisation that may be involved in a major incident shall be established, kept up-to-date and made available online and off-line with due regard to confidentiality and security.</t>
  </si>
  <si>
    <t>ID.SC-2.2: A documented list of all the organization’s suppliers, vendors and partners who may be involved in a major incident shall be established, kept up-to-date and made available online and offline.</t>
  </si>
  <si>
    <t>GV.SC-07.3: The organisation shall audit business-critical third-party service providers for security compliance.</t>
  </si>
  <si>
    <t>PR.AT-3.4: The organization shall audit business-critical external service providers for security compliance.</t>
  </si>
  <si>
    <t>GV.SC-07.4: The organisation shall ensure conformity with information/cybersecurity contractual obligations by suppliers and third-party partners through regular reviews of independent audits, assessments, and third party evaluations.</t>
  </si>
  <si>
    <t>ID.SC-4: Suppliers and third-party partners are routinely assessed using audits, test results, or other forms of evaluations to confirm they are meeting their contractual obligations.</t>
  </si>
  <si>
    <t>ID.SC-4.2: The organization shall review assessments of suppliers’ and third-party partner’s compliance with contractual obligations by routinely reviewing third-party independent audits, test results, and other evaluations.</t>
  </si>
  <si>
    <t>GV.SC-08: Relevant suppliers and other third parties are included in incident planning, response, and recovery activities.</t>
  </si>
  <si>
    <t>GV.SC-08.1: The organisation shall identify and document key personnel from relevant suppliers and other third parties to include them in incident planning, response, and recovery activities.</t>
  </si>
  <si>
    <t>ID.SC-5: Response and recovery planning and testing are conducted with suppliers and third-party providers</t>
  </si>
  <si>
    <t>ID.SC-5.1: The organization shall identify and document key personnel from suppliers and third-party partners to include them as stakeholders in response and recovery planning activities.</t>
  </si>
  <si>
    <t>GV.SC-09: Supply chain security practices are integrated into cybersecurity and enterprise risk management programmes, and their performance is monitored throughout the technology product and service life cycle.</t>
  </si>
  <si>
    <t>GV.SC-09.1: Supply chain security practices shall be integrated into information/cybersecurity and enterprise risk management programs, and their performance shall be monitored throughout the product and service life cycle.</t>
  </si>
  <si>
    <t>GV.SC-10: Cybersecurity supply chain risk management plans include provisions for activities that occur after the conclusion of a partnership or service agreement.</t>
  </si>
  <si>
    <t>GV.SC-10.1: Cybersecurity supply chain risk management plans shall include actions and responsibilities for managing risks that may arise after a supplier relationship or service agreement has ended.</t>
  </si>
  <si>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</si>
  <si>
    <t>ID.AM-01: Inventories of hardware managed by the organisation are maintained.</t>
  </si>
  <si>
    <t>ID.AM-01.1: An inventory of physical and virtual infrastructure assets—such as hardware, network devices, and cloud-hosted environments—that support information processing shall be documented, reviewed, and updated as changes occur.</t>
  </si>
  <si>
    <t>ID.AM-1: Physical devices and systems within the organization are inventoried</t>
  </si>
  <si>
    <t>ID.AM-1.1: An inventory of assets associated with information and information processing facilities within the organization shall be documented, reviewed, and updated when changes occur.</t>
  </si>
  <si>
    <t>ID.AM-01.2: The inventory of enterprise assets associated with information and information processing facilities shall reflect changes in the organisation’s context and include all information necessary for effective accountability.</t>
  </si>
  <si>
    <t>ID.AM-1.2: The inventory of assets associated with information and information processing facilities shall reflect changes in the  organization’s context and include all information necessary for effective accountability.</t>
  </si>
  <si>
    <t>ID.AM-01.3: When unauthorised hardware is detected, it shall be quarantined for possible exception handling, removed, or replaced, and the inventory shall be updated accordingly.</t>
  </si>
  <si>
    <t>ID.AM-1.3: When unauthorized hardware is detected, it shall be quarantined for possible exception handling, removed, or replaced, and the inventory shall be updated accordingly.</t>
  </si>
  <si>
    <t>ID.AM-01.4: Mechanisms for detecting the presence of unauthorised hardware and firmware components within the organisation’s ICT/OT environment shall be identified.</t>
  </si>
  <si>
    <t>ID.AM-1.4: Mechanisms for detecting the presence of unauthorized hardware and firmware components within the organization's network shall be identified.</t>
  </si>
  <si>
    <t>ID.AM-02: Inventories of software, services, and systems managed by the organisation are maintained.</t>
  </si>
  <si>
    <t>ID.AM-02.1: An inventory of software, digital services, and business systems used within the organisation shall be documented, reviewed, and updated as changes occur.</t>
  </si>
  <si>
    <t>ID.AM-2: Software platforms and applications within the organization are inventoried</t>
  </si>
  <si>
    <t>ID.AM-2.1: An inventory that reflects what software platforms and applications are being used in the organization shall be documented, reviewed, and updated when changes occur.</t>
  </si>
  <si>
    <t>ID.AM-02.2: The inventory reflecting which software, services and systems are used in the organisation shall reflect changes in the  organisation’s context and include all information necessary for effective accountability.</t>
  </si>
  <si>
    <t>ID.AM-2.2: The inventory of software platforms and applications  associated with information and information processing shall reflect changes in the  organization’s context and include all information necessary for effective accountability.</t>
  </si>
  <si>
    <t>ID.AM-02.3: The people responsible and accountable for managing software platforms and applications within the organisation shall be formally identified.</t>
  </si>
  <si>
    <t>ID.AM-2.3: Individuals who are responsible and who are accountable for administering software platforms and applications within the organization shall be identified.</t>
  </si>
  <si>
    <t>ID.AM-02.4: When unauthorised software is detected, it shall be quarantined for possible exception handling, removed, or replaced, and the inventory shall be updated accordingly.</t>
  </si>
  <si>
    <t>ID.AM-2.4: When unauthorized software is detected, it shall be quarantined for possible exception handling, removed, or replaced, and the inventory shall be updated accordingly.</t>
  </si>
  <si>
    <t>ID.AM-02.5: Mechanisms for detecting the presence of unauthorised software within the organisation’s ICT/OT environment shall be identified.</t>
  </si>
  <si>
    <t>ID.AM-2.5: Mechanisms for detecting the presence of unauthorized software within the organization’s ICT/OT environment shall be identified.</t>
  </si>
  <si>
    <t>ID.AM-03: Representations of the organisation's authorised network communication and internal and external network data flows are maintained.</t>
  </si>
  <si>
    <t>ID.AM-03.2: The organisation's network communication and internal data flows shall be mapped, documented, authorised, and updated when changes occur.</t>
  </si>
  <si>
    <t>ID.AM-3: Organizational communication and data flows are mapped</t>
  </si>
  <si>
    <t>ID.AM-3.2: All connections within the organization's ICT/OT environment, and to other organization-internal platforms shall be mapped, documented, approved, and updated as appropriate.</t>
  </si>
  <si>
    <t>ID.AM-03.3: The organisation's network communication and external data flows shall be mapped, documented , authorised, and updated when changes occur.</t>
  </si>
  <si>
    <t>ID.AM-3.3: The information flows/data flows within the organization’s ICT/OT environment, as well as to other organization-internal systems shall be mapped, documented, authorized, and updated when changes occur.</t>
  </si>
  <si>
    <t>ID.AM-04: Inventories of services provided by suppliers are maintained.</t>
  </si>
  <si>
    <t>ID.AM-04.1: Organisations shall keep a clear and up-to-date list of all external services it uses, including how they connect to their systems. These services shall be reviewed and approved before use, and the list shall be updated whenever changes happen.</t>
  </si>
  <si>
    <t>ID.AM-4: External information systems are catalogued</t>
  </si>
  <si>
    <t>ID.AM-4.1: The organization shall map, document, authorize and when changes occur, update, all external services and the connections made with them.</t>
  </si>
  <si>
    <t>ID.AM-04.2: The organisation shall map, document and authorise the flow of information to/from external systems and update the flow when changes occur.</t>
  </si>
  <si>
    <t>ID.AM-4.2: The flow of information to/from external systems shall be mapped, documented, authorized, and update when changes occur.</t>
  </si>
  <si>
    <t>ID.AM-05: Assets are prioritised based on classification, criticality, resources, and impact on the mission</t>
  </si>
  <si>
    <t>ID.AM-05.1: The organisation’s assets shall be prioritised based on classification, criticality, and business value.</t>
  </si>
  <si>
    <t>ID.AM-5: Resources (e.g., hardware, devices, data, time, personnel, and software) are prioritized based on their classification, criticality, and business value</t>
  </si>
  <si>
    <t>ID.AM-5.1: The organization’s resources (hardware, devices, data, time, personnel, information, and software) shall be prioritized based on their classification, criticality, and business value.</t>
  </si>
  <si>
    <t>ID.AM-07: Inventories of data and corresponding metadata for designated data types are maintained</t>
  </si>
  <si>
    <t>ID.AM-07.1: Data that the organisation stores and uses shall be identified..</t>
  </si>
  <si>
    <t>ID.AM-3.1: Information that the organization stores and uses shall be identified.</t>
  </si>
  <si>
    <t>ID.AM-07.2: Inventories of data and associated metadata shall be maintained for designated data types.</t>
  </si>
  <si>
    <t>ID.AM-08: Systems, hardware, software, services, and data are managed throughout their life cycles.</t>
  </si>
  <si>
    <t>ID.AM-08.2: Patches and security updates for operating systems and critical system components shall be installed.</t>
  </si>
  <si>
    <t>Maintenance (PR.MA): Maintenance and repairs of industrial control and information system components are performed consistent with policies and procedures.</t>
  </si>
  <si>
    <t>PR.MA-1: Maintenance and repair of organizational assets are performed and logged, with approved and controlled tools</t>
  </si>
  <si>
    <t>PR.MA-1.1: Patches and security updates for Operating Systems and critical system components shall be installed.</t>
  </si>
  <si>
    <t>ID.AM-08.3: The organisation shall enforce accountability for all its business-critical assets throughout the system lifecycle, including removal, transfers, and disposal.</t>
  </si>
  <si>
    <t>Data Security (PR.DS): Information and records (data) are managed consistent with the organization’s risk strategy to protect the confidentiality, integrity, and availability of information.</t>
  </si>
  <si>
    <t>PR.DS-3: Assets are formally managed throughout removal, transfers, and disposition</t>
  </si>
  <si>
    <t>PR.DS-3.2: The organization shall enforce accountability for all its business-critical assets throughout the system lifecycle, including removal, transfers, and disposition.</t>
  </si>
  <si>
    <t>ID.AM-08.4: The organisation shall ensure that the necessary measures are taken to deal with loss, misuse, damage, or theft of assets.</t>
  </si>
  <si>
    <t>PR.DS-3.3: The organization shall ensure that the necessary measures are taken to deal with  loss, misuse, damage, or theft of assets.</t>
  </si>
  <si>
    <t>ID.AM-08.5: The organisation shall ensure that disposal actions are approved, tracked, documented, and verified.</t>
  </si>
  <si>
    <t>PR.DS-3.4: The organization shall ensure that disposal actions are approved, tracked, documented, and verified.</t>
  </si>
  <si>
    <t>ID.AM-08.6: The organisation shall plan, perform and document preventive maintenance and repairs on its critical system components according to approved processes and tools.</t>
  </si>
  <si>
    <t>PR.MA-1.2: The organization shall plan, perform and document preventive maintenance and repairs on its critical system components according to approved processes and tools.</t>
  </si>
  <si>
    <t>ID.AM-08.7: The organisation shall prevent unauthorised removal of maintenance equipment which contains critical system information of the organisation.</t>
  </si>
  <si>
    <t>PR.MA-1.5: The organization shall prevent the unauthorized removal of maintenance equipment containing organization's critical system information.</t>
  </si>
  <si>
    <t>ID.AM-08.8: The organisation shall pre-approve, monitor and enforce maintenance tools for use on its critical systems.</t>
  </si>
  <si>
    <t>PR.MA-1.3: The organization shall enforce approval requirements, control, and monitoring of maintenance tools for use on the its critical systems.</t>
  </si>
  <si>
    <t>ID.AM-08.9: Maintenance tools and portable storage devices shall be inspected as they enter the facility and shall be protected by anti-malware solutions that scan them for malicious code before they are used on the organisation's systems.</t>
  </si>
  <si>
    <t>PR.MA-1.6: Maintenance tools and portable storage devices shall be inspected when  brought into the facility and shall be protected by anti-malware solutions so that they are scanned for malicious code before they are used on organization's systems.</t>
  </si>
  <si>
    <t>ID.AM-08.10: The organisation shall verify security controls following maintenance or repairs/patching, and take action as appropriate.</t>
  </si>
  <si>
    <t>PR.MA-1.7: The organization shall verify security controls following hardware and software maintenance or repairs/patching and take action as appropriate.</t>
  </si>
  <si>
    <t>ID.AM-08.11: Remote maintenance and diagnostic activities of organisational assets shall be pre-approved and the performance logged.</t>
  </si>
  <si>
    <t>PR.MA-2: Remote maintenance of organizational assets is approved, logged, and performed in a manner that prevents unauthorized access</t>
  </si>
  <si>
    <t>PR.MA-2.1: Remote maintenance shall only occur after prior approval, monitoring to avoid unauthorised access, and approval of the outcome of the maintenance activities as described in approved processes or procedures.</t>
  </si>
  <si>
    <t>ID.AM-08.12: Setting up non-local maintenance and diagnostic sessions over remote network connections shall require strong authenticators and these connections shall be terminated when non-local maintenance is completed.</t>
  </si>
  <si>
    <t>PR.MA-2.2: The organization shall make sure that strong authenticators, record keeping, and session termination for remote maintenance is implemented.</t>
  </si>
  <si>
    <t>ID.AM-08.13: The organisation shall require remote maintenance diagnostic services to be performed from a system that implements security features similar to the security features implemented on the equivalent organisation's critical system.</t>
  </si>
  <si>
    <t>PR.MA-2.3: The organization shall require that diagnostic services pertaining to remote maintenance be performed from a system that implements a security capability comparable to the capability implemented on the equivalent organization's critical system.</t>
  </si>
  <si>
    <t>Risk Assessment (ID.RA): The cybersecurity risk to the organisation, assets, and individuals is understood by the organisation.</t>
  </si>
  <si>
    <t>ID.RA-01: Vulnerabilities in assets are identified, validated, and recorded.</t>
  </si>
  <si>
    <t>ID.RA-01.1: Threats and vulnerabilities shall be identified in all relevant assets, including software, network and system architectures, and facilities that house critical computing assets.</t>
  </si>
  <si>
    <t>Risk Assessment (ID.RA): The organization understands the cybersecurity risk to organizational operations (including mission, functions, image, or reputation), organizational assets, and individuals.</t>
  </si>
  <si>
    <t>ID.RA-1: Asset vulnerabilities are identified and documented</t>
  </si>
  <si>
    <t>ID.RA-1.1: Threats and vulnerabilities shall be identified.</t>
  </si>
  <si>
    <t>ID.RA-01.2: A process shall be established to continuously monitor, identify, and document vulnerabilities of the organisation's business critical systems.</t>
  </si>
  <si>
    <t>ID.RA-1.2: A process shall be established to monitor, identify, and document vulnerabilities of the organisation's business critical systems in a continuous manner.</t>
  </si>
  <si>
    <t>ID.RA-01.3: The organisation shall establish and maintain a documented process that enables continuous review, analysis and remediation of vulnerabilities and makes information sharing possible, where applicable.</t>
  </si>
  <si>
    <t>PR.IP-12: A vulnerability management plan is developed and implemented</t>
  </si>
  <si>
    <t>PR.IP-12.1: The organization shall establish and maintain a documented process that allows continuous review of vulnerabilities and strategies to mitigate them.</t>
  </si>
  <si>
    <t>ID.RA-01.4: To ensure that organisation's operations are not adversely affected by the testing process, performance/load testing and penetration testing on the organisation’s systems shall be carried out with care.</t>
  </si>
  <si>
    <t>ID.RA-1.3: To ensure that organization's operations are not adversely impacted by the testing process, performance/load testing and penetration testing on the organization’s systems shall be conducted with care.</t>
  </si>
  <si>
    <t>ID.RA-01.5: Vulnerability scanning shall not adversely impact system functions.</t>
  </si>
  <si>
    <t>Security Continuous Monitoring (DE.CM): The information system and assets are monitored to identify cybersecurity events and verify the effectiveness of protective measures.</t>
  </si>
  <si>
    <t>DE.CM-8: Vulnerability scans are performed</t>
  </si>
  <si>
    <t>DE.CM-8.1: The organization shall monitor and scan for vulnerabilities in its critical systems and hosted applications ensuring that system functions are not adversely impacted by the scanning process.</t>
  </si>
  <si>
    <t>ID.RA-01.6: Vulnerabilities shall be identified and managed in all relevant assets, including software, network and system architectures, and facilities.</t>
  </si>
  <si>
    <t>ID.RA-02: Cyber threat intelligence is received from information sharing forums and sources.</t>
  </si>
  <si>
    <t>ID.RA-02.1: A threat and vulnerability awareness programme that includes a cross-organisation information-sharing capability shall be implemented.</t>
  </si>
  <si>
    <t>ID.RA-2: Cyber threat intelligence is received from information sharing forums and sources</t>
  </si>
  <si>
    <t>ID.RA-2.1: A threat and vulnerability awareness program that includes a cross-organization information-sharing capability shall be implemented.</t>
  </si>
  <si>
    <t>ID.RA-02.2: Automated mechanisms shall be implemented to disseminate security alerts and advisories to relevant organisation stakeholders.</t>
  </si>
  <si>
    <t>ID.RA-2.2: It shall be identified where automated mechanisms can be implemented to make security alert and advisory information available to relevant organization stakeholders.</t>
  </si>
  <si>
    <t>ID.RA-03: Internal and external threats to the organisation are identified and recorded</t>
  </si>
  <si>
    <t>ID.RA-03.1: Threats shall be identified and assessed in relation to all relevant assets, including software, network and system architectures, and facilities.</t>
  </si>
  <si>
    <t>ID.RA-05: Threats, vulnerabilities, likelihoods, and impacts are used to understand inherent risk and inform risk response prioritisation.</t>
  </si>
  <si>
    <t>ID.RA-05.1: The organisation shall conduct risk assessments in which risk is determined by threats, vulnerabilities and the impact on business processes and assets.</t>
  </si>
  <si>
    <t>ID.RA-5: Threats, vulnerabilities, likelihoods, and impacts are used to determine risk</t>
  </si>
  <si>
    <t>ID.RA-5.1: The organization shall conduct risk assessments in which risk is determined by threats, vulnerabilities and impact on business processes and assets.</t>
  </si>
  <si>
    <t>ID.RA-05.2: The organisation shall conduct and document risk assessments in which risk is determined by threats, vulnerabilities, impact on business processes and assets, and likelihood of their occurrence.</t>
  </si>
  <si>
    <t>ID.RA-5.2: The organization shall conduct and  document risk assessments in which risk is determined by threats, vulnerabilities, impact on business processes and assets, and the likelihood of their occurrence.</t>
  </si>
  <si>
    <t>ID.RA-05.3: Risk assessment results shall be disseminated to relevant stakeholders.</t>
  </si>
  <si>
    <t>ID.RA-5.3: Risk assessment results shall be disseminated to relevant stakeholders.</t>
  </si>
  <si>
    <t>ID.RA-06: Risk responses are chosen, prioritised, planned, tracked, and communicated.</t>
  </si>
  <si>
    <t>ID.RA-06.1: Risk responses shall be identified, prioritised, planned, tracked and communicated.</t>
  </si>
  <si>
    <t>ID.RA-6: Risk responses are identified and prioritized</t>
  </si>
  <si>
    <t>ID.RA-6.1: A comprehensive strategy shall be developed and implemented to manage risks to the organization’s critical systems, that includes the identification and prioritization of risk responses.</t>
  </si>
  <si>
    <t>ID.RA-08: Processes for receiving, analysing, and responding to vulnerability disclosures are established.</t>
  </si>
  <si>
    <t>ID.RA-08.1: The organisation shall establish and implement a vulnerability management plan to identify, analyse, assess, mitigate and communicate all types of vulnerabilities including in the form of a Coordinated Vulnerability Disclosure (CVD) according to applicable legal modalities.</t>
  </si>
  <si>
    <t>Analysis (RS.AN): Analysis is conducted to ensure effective response and support recovery activities.</t>
  </si>
  <si>
    <t>RS.AN-5: Processes are established to receive, analyze and respond to vulnerabilities disclosed to the organization from internal and external sources (e.g. internal testing, security bulletins, or security researchers)</t>
  </si>
  <si>
    <t>RS.AN-5.1: The organization shall implement vulnerability management processes and procedures that include processing, analyzing and remedying vulnerabilities from internal and external sources.</t>
  </si>
  <si>
    <t>ID.RA-08.2: 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</si>
  <si>
    <t>RS.AN-5.2: The organization shall implement automated mechanisms to disseminate and track remediation efforts for vulnerability information, captured from internal and external sources, to key stakeholders.</t>
  </si>
  <si>
    <t>Improvement (ID.IM): Improvements to organisational  cybersecurity risk management processes, procedures and activities are identified across all CyFun®  functions.</t>
  </si>
  <si>
    <t>ID.IM-02: Improvements are identified from security tests and exercises, including those made in coordination with suppliers and relevant third parties.</t>
  </si>
  <si>
    <t>ID.IM-02.1: Security tests and exercises, including those conducted with suppliers and relevant third parties, shall be used to identify areas for improvement.</t>
  </si>
  <si>
    <t>ID.IM-03:  Improvements are identified from execution of operational processes, procedures, and activities.</t>
  </si>
  <si>
    <t>ID.IM-03.1: The organisation shall conduct post-incident evaluations to analyse lessons learned from incident response and recovery, and consequently improve processes / procedures / technologies to enhance its cyber resilience.</t>
  </si>
  <si>
    <t>RS.IM-1: Response plans incorporate lessons learned</t>
  </si>
  <si>
    <t>RS.IM-1.1: The organization shall conduct post-incident evaluations to analyse lessons learned from incident response and recovery, and consequently improve processes / procedures / technologies to enhance its cyber resilience.</t>
  </si>
  <si>
    <t>ID.IM-03.2: The organisation shall incorporate lessons learned from incident handling activities into updated or new incident handling processes and/or procedures that are framed by appropriate training after review, approval and testing.</t>
  </si>
  <si>
    <t>Improvements (RC.IM): Recovery planning and processes are improved by incorporating lessons learned into future activities.</t>
  </si>
  <si>
    <t>RC.IM-1: Recovery plans incorporate lessons learned</t>
  </si>
  <si>
    <t>RC.IM-1.1: The organization shall incorporate lessons learned from incident recovery activities into updated or new system recovery procedures and, after testing, frame this with appropriate training.</t>
  </si>
  <si>
    <t>ID.IM-03.3: The organisation shall identify improvements derived from the monitoring, measurements, assessments, and lessons learned and consequently translate this into improved processes / procedures / technologies to enhance its cyber resilience (continuous improvement).</t>
  </si>
  <si>
    <t>PR.IP-7: Protection processes are improved</t>
  </si>
  <si>
    <t>PR.IP-7.1: The organization shall incorporate improvements derived from the monitoring, measurements, assessments, and lessons learned into protection process updates (continuous improvement).</t>
  </si>
  <si>
    <t>ID.IM-03.4: The organisation shall collaborate and share information about its critical system's related security incidents and mitigation measures with designated partners.</t>
  </si>
  <si>
    <t>PR.IP-8: Effectiveness of protection technologies is shared</t>
  </si>
  <si>
    <t>PR.IP-8.1: The organization shall collaborate and share information about its critical system's related security incidents and mitigation measures with designated partners.</t>
  </si>
  <si>
    <t>ID.IM-03.5: Communication of effectiveness of protection technologies shall be shared with relevant stakeholders.</t>
  </si>
  <si>
    <t>PR.IP-8.2: Communication of effectiveness of protection technologies shall be shared with appropriate parties.</t>
  </si>
  <si>
    <t>ID.IM-03.6: The organisation shall implement, where feasible, automated mechanisms to facilitate the process of information sharing and collaboration.</t>
  </si>
  <si>
    <t>PR.IP-8.3: The organization shall implement, where feasible, automated mechanisms to assist in information collaboration.</t>
  </si>
  <si>
    <t>ID.IM-03.7: The organisation shall implement independent teams to assess its processes, best practices, and technology solutions to safeguard critical systems and assets.</t>
  </si>
  <si>
    <t>PR.IP-7.2: The organization shall implement independent teams to assess the protection process(es).</t>
  </si>
  <si>
    <t>ID.IM-03.8: The organisation shall ensure that the security plan for its critical systems facilitates the review, testing, and continual improvement of the security protection processes.</t>
  </si>
  <si>
    <t>PR.IP-7.3: The organization shall ensure that the security plan for its critical systems facilitates the review, testing, and continual improvement of the security protection processes.</t>
  </si>
  <si>
    <t>ID.IM-03.9: The organisation shall conduct specialised assessments including in-depth monitoring, vulnerability scanning, malicious user testing, insider threat assessment, performance/load testing, and verification and validation testing on the organisation's critical systems.</t>
  </si>
  <si>
    <t>Detection Processes (DE.DP): Detection processes and procedures are maintained and tested to ensure awareness of anomalous events.</t>
  </si>
  <si>
    <t>DE.DP-5: Detection processes are continuously improved</t>
  </si>
  <si>
    <t>DE.DP-5.2: The organization shall conduct specialized assessments including in-depth monitoring, vulnerability scanning, malicious user testing, insider threat assessment, performance/load testing, and verification and validation testing on the organization's critical systems.</t>
  </si>
  <si>
    <t>ID.IM-04: Incident response plans and other cybersecurity plans that affect operations are established, communicated, maintained, and improved.</t>
  </si>
  <si>
    <t>ID.IM-04.1: Contingency and continuity plans shall be established, communicated, maintained, tested, validated, and improved.</t>
  </si>
  <si>
    <t>PR.IP-9: Response plans (Incident Response and Business Continuity) and recovery plans (Incident Recovery and Disaster Recovery) are in place and managed</t>
  </si>
  <si>
    <t>PR.IP-9.1: Incident response plans (Incident Response and Business Continuity) and recovery plans (Incident Recovery and Disaster Recovery) shall be established, maintained, approved, and tested to determine the effectiveness of the plans, and the readiness to execute the plans.</t>
  </si>
  <si>
    <t>ID.IM-04.2: The organisation shall coordinate the development and testing of Incident Response Plans and other cybersecurity plans that affect operations with stakeholders to ensure that these plans align with overall organisational goals and enhance resilience.</t>
  </si>
  <si>
    <t>PR.IP-9.2: The organization shall coordinate the development and the testing of incident response plans and recovery plans with stakeholders responsible for related plans.</t>
  </si>
  <si>
    <t>Identity Management, Authentication, and Access Control (PR.AA): Access to physical and logical assets is limited to authorised users, services, and hardware and managed commensurate with the assessed risk of unauthorised access.</t>
  </si>
  <si>
    <t>PR.AA-01: Identities and credentials for authorised users, services, and hardware are managed by the organisation.</t>
  </si>
  <si>
    <t>PR.AA-01.1: Identities and credentials for authorised users, services, and hardware shall be managed.</t>
  </si>
  <si>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</si>
  <si>
    <t>PR.AC-1: Identities and credentials are issued, managed, verified, revoked, and audited for authorized devices, users and processes</t>
  </si>
  <si>
    <t>PR.AC-1.1: Identities and credentials for authorized devices and users shall be managed.</t>
  </si>
  <si>
    <t>PR.AA-01.2: Identities and credentials for authorised users, services and hardware shall be managed through automated mechanisms whenever feasible.</t>
  </si>
  <si>
    <t>PR.AC-1.2: Identities and credentials for authorized devices and users shall be managed, where feasible through automated mechanisms.</t>
  </si>
  <si>
    <t>PR.AA-01.3: System credentials shall be deactivated after a specified period of inactivity unless it would compromise the safe operation of (critical) processes.</t>
  </si>
  <si>
    <t>PR.AC-1.3: System credentials shall be deactivated after a specified period of inactivity unless it would compromise the safe operation of (critical) processes.</t>
  </si>
  <si>
    <t>PR.AA-01.4: For transactions within the organisation's critical systems, the organisation shall implement Multi Factor Authentication (MFA), cryptographic certificates, identity tokens, cryptographic keys and other credentials as appropriate and where feasible.</t>
  </si>
  <si>
    <t>PR.AC-1.4: For transactions within the organization's critical systems, the organization shall implement: •multi-factor end-user authentication (MFA or "strong authentication"). •certificate-based authentication for system-to-system communications</t>
  </si>
  <si>
    <t>PR.AA-01.5: The organisation’s critical systems shall be monitored for atypical use of system credentials. Credentials associated with significant risk shall be disabled.</t>
  </si>
  <si>
    <t>PR.AC-1.5: The organization’s critical systems shall be monitored for atypical use of system credentials. Credentials associated with significant risk shall be disabled.</t>
  </si>
  <si>
    <t>PR.AA-02: Identities are proofed and bound to credentials based on the context of interactions.</t>
  </si>
  <si>
    <t>PR.AA-02.1: The organisation shall implement documented procedures for verifying the identity of individuals before issuing credentials that provide access to the organisation's systems.</t>
  </si>
  <si>
    <t>PR.AC-6: Identities are proofed and bound to credentials and asserted in interactions</t>
  </si>
  <si>
    <t>PR.AC-6.1: The organization shall implement documented procedures for verifying the identity of individuals before issuing credentials that provide access to organization's systems.</t>
  </si>
  <si>
    <t>PR.AA-02.2: 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</si>
  <si>
    <t>PR.AC-6.2: The organization shall ensure the use of unique credentials bound to each verified user, device, and process interacting with the organization's critical systems; make sure that they are authenticated, and that the unique identifiers are captured when performing system interactions.</t>
  </si>
  <si>
    <t>PR.AA-03: Users, services, and hardware are authenticated.</t>
  </si>
  <si>
    <t>PR.AA-03.1: All wireless access points used by the organisation, including those providing guest access, shall be securely configured, managed, and monitored to prevent unauthorised  access and ensure network integrity.</t>
  </si>
  <si>
    <t>PR.AC-3: Remote access is managed</t>
  </si>
  <si>
    <t>PR.AC-3.1: The organisation's wireless access points shall be secured.</t>
  </si>
  <si>
    <t>PR.AA-03.2: Multi-Factor Authentication (MFA) shall be required to access the organisation's networks remotely.</t>
  </si>
  <si>
    <t>PR.AC-3.2: The organization's networks when accessed remotely shall be secured, including through multi-factor authentication (MFA).</t>
  </si>
  <si>
    <t>PR.AA-03.3: 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</si>
  <si>
    <t>PR.AC-3.3: Usage restrictions, connection requirements, implementation guidance, and authorizations for remote access to the organization’s critical systems environment shall be identified, documented and implemented.</t>
  </si>
  <si>
    <t>PR.AA-03.4: Remote access to the organisation’s critical systems shall be monitored and cryptographic mechanisms shall be implemented where determined necessary.</t>
  </si>
  <si>
    <t>PR.AC-3.4: Remote access to the organization’s critical systems shall be monitored and cryptographic mechanisms shall be implemented where determined necessary.</t>
  </si>
  <si>
    <t>PR.AA-03.5: The security for connections with external systems shall be verified and framed by documented agreements.</t>
  </si>
  <si>
    <t>PR.AC-3.5: The security for connections with external systems shall be verified and framed by documented agreements.</t>
  </si>
  <si>
    <t>PR.AA-04: Identity assertions are protected, conveyed, and verified.</t>
  </si>
  <si>
    <t>PR.AA-04.1: Identity assertions shall be protected, conveyed, and verified.</t>
  </si>
  <si>
    <t>PR.AA-05: Access permissions, entitlements, and authorisations are defined in a policy, managed, enforced, and reviewed, and incorporate the principles of least privilege and separation of duties.</t>
  </si>
  <si>
    <t>PR.AA-05.1: Access permissions, rights, and authorisations shall be defined, managed, enforced and reviewed.</t>
  </si>
  <si>
    <t>PR.AC-4: Access permissions and authorizations are managed, incorporating the principles of least privilege and separation of duties</t>
  </si>
  <si>
    <t>PR.AC-4.1: Access permissions for users to the organization’s systems shall be defined and managed.</t>
  </si>
  <si>
    <t>PR.AA-05.2: It shall be determined who needs access to the organisation's business-critical information and technology and the means to gain access.</t>
  </si>
  <si>
    <t>PR.AC-4.2: It shall be identified who should have access to the organization's business's critical information and technology and the means to get access.</t>
  </si>
  <si>
    <t>PR.AA-05.3: Access rights, privileges and authorisations must be restricted to the systems and specific information needed to perform the tasks (the principle of Least Privilege).</t>
  </si>
  <si>
    <t>PR.AC-4.3: Employee access to data and information shall be limited to the systems and specific information they need to do their jobs (the principle of Least Privilege).</t>
  </si>
  <si>
    <t>PR.AA-05.4: No-one shall have administrative privileges for routine day-to-day tasks.</t>
  </si>
  <si>
    <t>PR.AC-4.4: Nobody shall have administrator privileges for daily tasks.</t>
  </si>
  <si>
    <t>PR.AA-05.5: 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</si>
  <si>
    <t>PR.AC-4.5: Where feasible, automated mechanisms shall be implemented to support the management of user accounts on the organisation's critical systems, including disabling, monitoring, reporting and deleting user accounts.</t>
  </si>
  <si>
    <t>PR.AA-05.6: Separation of duties (SoD) shall be ensured in the management of access rights.</t>
  </si>
  <si>
    <t>PR.AC-4.6: Separation of duties (SoD) shall be ensured in the management of access rights.</t>
  </si>
  <si>
    <t>PR.AA-05.7: Privileged users shall be managed and monitored.</t>
  </si>
  <si>
    <t>PR.AC-4.7: Priviliged users shall be managed and monitored.</t>
  </si>
  <si>
    <t>PR.AA-05.8: Account usage restrictions for specific time periods and locations shall be taken into account in the organisation's security access policy and applied accordingly.</t>
  </si>
  <si>
    <t>PR.AC-4.8: Account usage restrictions for specific time periods and locations shall be taken into account in the organization's security access policy and applied accordingly.</t>
  </si>
  <si>
    <t>PR.AA-05.9: Privileged users shall be managed, monitored and audited.</t>
  </si>
  <si>
    <t>PR.AC-4.9: Priviliged users shall be managed,  monitored and audited.</t>
  </si>
  <si>
    <t>PR.AA-06: Physical access to assets is managed, monitored, and enforced commensurate with risk.</t>
  </si>
  <si>
    <t>PR.AA-06.1: Physical access to all organisational assets, including critical zones, shall be managed, monitored, and enforced based on risk.</t>
  </si>
  <si>
    <t>PR.AC-2: Physical access to assets is managed and protected</t>
  </si>
  <si>
    <t>PR.AC-2.1: Physical access to the facility, servers and network components shall be managed.</t>
  </si>
  <si>
    <t>PR.AA-06.2: Physical access controls shall include specific procedures for emergency situations, ensuring continued protection of critical and non-critical assets during such events.</t>
  </si>
  <si>
    <t>PR.AC-2.2: The management of physical access shall include measures related to access in emergency situations.</t>
  </si>
  <si>
    <t>PR.AA-06.3: Critical zones shall have additional physical access controls beyond those applied to general facilities.</t>
  </si>
  <si>
    <t>PR.AC-2.3: Physical access to critical zones shall be controlled in addition to the physical access to the facility.</t>
  </si>
  <si>
    <t>PR.AA-06.4: Assets located within critical zones shall be physically protected against unauthorised access, damage, or interference.</t>
  </si>
  <si>
    <t>PR.AC-2.4: Assets related to critical zones shall be physically protected.</t>
  </si>
  <si>
    <t>Awareness and Training (PR.AT): The organisation's personnel are provided with cybersecurity awareness and training, so that they can perform their cybersecurity-related tasks</t>
  </si>
  <si>
    <t>PR.AT-01: Personnel are provided with awareness and training so that they possess the knowledge and skills to perform general tasks with cybersecurity risks in mind</t>
  </si>
  <si>
    <t>PR.AT-01.1: The organisation shall establish and maintain a cybersecurity awareness and training programme to ensure that all personnel understand how to perform their tasks securely and responsibly.</t>
  </si>
  <si>
    <t>PR.AT-1: All users are informed and trained</t>
  </si>
  <si>
    <t>PR.AT-1.1: Employees shall be trained as appropriate.</t>
  </si>
  <si>
    <t>PR.AT-01.2: The organisation shall include insider threat awareness and reporting in its cybersecurity training to help personnel recognise and respond to potential internal risks.</t>
  </si>
  <si>
    <t>PR.AT-1.2: The organization shall incorporate insider threat recognition and reporting into security awareness training.</t>
  </si>
  <si>
    <t>PR.AT-01.3: Personnel shall receive training to understand their specific roles, responsibilities, and priorities during a cybersecurity or information security incident, including the steps they need to follow to respond effectively.</t>
  </si>
  <si>
    <t>Communications (RS.CO): Response activities are coordinated with internal and external stakeholders (e.g. external support from law enforcement agencies).</t>
  </si>
  <si>
    <t>RS.CO-1: Personnel know their roles and order of operations when a response is needed</t>
  </si>
  <si>
    <t>RS.CO-1.1: The organization shall ensure that personnel understand their roles, objectives, restoration priorities, task sequences (order of operations) and assignment responsibilities for event response.</t>
  </si>
  <si>
    <t>PR.AT-01.4: The organisation shall evaluate whether its cybersecurity awareness training is effective in improving knowledge, behaviour, and readiness across the organisation.</t>
  </si>
  <si>
    <t>PR.AT-1.3: The organization shall implement an evaluation method to measure the effectiveness of the awareness trainings.</t>
  </si>
  <si>
    <t>PR.AT-02: Individuals in specialised roles are provided with awareness and training so that they possess the knowledge and skills to perform relevant tasks with cybersecurity risks in mind.</t>
  </si>
  <si>
    <t>PR.AT-02.1: 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</si>
  <si>
    <t>PR.AT-4: Senior executives understand their roles and responsibilities</t>
  </si>
  <si>
    <t>PR.AT-4.1: Senior executives shall demonstrate the understanding of their roles, responsibilities, and authorities.</t>
  </si>
  <si>
    <t>PR.AT-02.2: Individuals in specialised roles shall be provided with awareness and training before privileges are granted, so that they possess the knowledge and skills to perform relevant tasks with cybersecurity risks in mind.</t>
  </si>
  <si>
    <t>PR.AT-5: Physical and cybersecurity personnel understand their roles and responsibilities</t>
  </si>
  <si>
    <t>PR.AT-5.1: The organization shall ensure that personnel responsible for the physical protection and security of the organization's critical systems and facilities are qualified through training before privileges are granted, and that they understand their responsibilities.</t>
  </si>
  <si>
    <t>PR.AT-02.3: Privileged users shall be qualified before privileges are granted, and these users shall be able to demonstrate the understanding of their roles, responsibilities, and authorities.</t>
  </si>
  <si>
    <t>PR.AT-2: Privileged users understand their roles and responsibilities</t>
  </si>
  <si>
    <t>PR.AT-2.1: Privileged users shall be qualified before privileges are granted, and these users shall be able to demonstrate the understanding of their roles, responsibilities, and authorities.</t>
  </si>
  <si>
    <t>Data Security (PR.DS): Data are managed consistent with the organisation's risk strategy to protect the confidentiality, integrity, and availability of information</t>
  </si>
  <si>
    <t>PR.DS-01: The confidentiality, integrity, and availability of data-at-rest are protected.</t>
  </si>
  <si>
    <t>PR.DS-01.1: The organisation shall implement software, firmware, and information integrity checks to detect unauthorised changes to its critical system components during storage, transport, start-up and when determined necessary.</t>
  </si>
  <si>
    <t>PR.DS-6: Integrity checking mechanisms are used to verify software, firmware, and information integrity</t>
  </si>
  <si>
    <t>PR.DS-6.1: The organization shall implement software, firmware, and information integrity checks to detect unauthorized changes to its critical system components during storage, transport, start-up and when determined necessary.</t>
  </si>
  <si>
    <t>PR.DS-01.2: The organisation shall implement automated tools where feasible to provide notification upon discovering discrepancies during integrity verification.</t>
  </si>
  <si>
    <t>PR.DS-6.2: The organization shall implement automated tools where feasible to provide notification upon discovering discrepancies during integrity verification.</t>
  </si>
  <si>
    <t>PR.DS-01.3: The organisation shall define and implement automated responses to detected integrity violations, using predefined safeguards that are proportionate to the severity and impact of the violation.</t>
  </si>
  <si>
    <t>PR.DS-6.3: The organization shall implement automatic response capability with pre-defined security safeguards when integrity violations are discovered.</t>
  </si>
  <si>
    <t>PR.DS-01.4: The organisation shall define and enforce clear policies and practical safeguards to manage and restrict the use of portable storage media, in order to reduce the risk of data leakage, unauthorised access, and malware introduction.</t>
  </si>
  <si>
    <t>Protective Technology (PR.PT): Technical security solutions are managed to ensure the security and resilience of systems and assets, consistent with related policies, procedures, and agreements.</t>
  </si>
  <si>
    <t>PR.PT-2: Removable media is protected and its use restricted according to policy</t>
  </si>
  <si>
    <t>PR.PT-2.1: The usage restriction of portable storage devices shall be ensured through an appropriate documented policy and supporting safeguards.</t>
  </si>
  <si>
    <t>PR.DS-01.5: The organisation shall only allow the use of removable media when absolutely necessary, and shall put technical measures in place to block automatic execution of files from these devices.</t>
  </si>
  <si>
    <t>PR.PT-2.2: The organisation should technically prohibit the connection of removable media unless strictly necessary; in other instances, the execution of autoruns from such media should be disabled.</t>
  </si>
  <si>
    <t>PR.DS-01.6: The organisation shall protect the confidentiality of its critical assets while at rest.</t>
  </si>
  <si>
    <t>PR.DS-1: Data-at-rest is protected</t>
  </si>
  <si>
    <t>PR.DS-1.1: The organization shall protect its critical system information determined to be critical/ sensitive while at rest.</t>
  </si>
  <si>
    <t>PR.DS-01.9: Enterprise assets shall be disposed of safely.</t>
  </si>
  <si>
    <t>PR.DS-3.1: Assets and media shall be disposed of safely.</t>
  </si>
  <si>
    <t>PR.DS-02: The confidentiality, integrity, and availability of data-in-transit are protected.</t>
  </si>
  <si>
    <t>PR.DS-02.1: Portable storage devices containing system data shall be controlled and protected while in transit and in storage.</t>
  </si>
  <si>
    <t>PR.PT-2.3: Portable storage devices containing system data shall be controlled and protected while in transit and in storage.</t>
  </si>
  <si>
    <t>PR.DS-02.2: The organisation shall protect its critical and sensitive information while in transit.</t>
  </si>
  <si>
    <t>PR.DS-2: Data-in-transit is protected</t>
  </si>
  <si>
    <t>PR.DS-2.1: The organization shall protect its critical system information determined to be critical when in transit.</t>
  </si>
  <si>
    <t>PR.DS-10: The confidentiality, integrity, and availability of data-in-use are protected.</t>
  </si>
  <si>
    <t>PR.DS-10.1: The organisation’s critical systems shall be protected against denial-of-service attacks or at least the effect of such attacks shall be limited.</t>
  </si>
  <si>
    <t>PR.DS-4: Adequate capacity to ensure availability is maintained</t>
  </si>
  <si>
    <t>PR.DS-4.3: The organization’s critical systems shall be protected against denial-of-service attacks or at least the effect of such attacks will be limited.</t>
  </si>
  <si>
    <t>PR.DS-11: Backups of data are created, protected, maintained, and tested.</t>
  </si>
  <si>
    <t>PR.DS-11.1: Backups for the organisation's business critical data shall be performed and stored on a different system from the device on which the original data resides.</t>
  </si>
  <si>
    <t>PR.IP-4: Backups of information are conducted, maintained, and tested</t>
  </si>
  <si>
    <t>PR.IP-4.1: Backups for organization's business critical data shall be conducted and stored on a system different from the device on which the original data resides</t>
  </si>
  <si>
    <t>PR.DS-11.2: The reliability and integrity of backups shall be verified and tested regularly.</t>
  </si>
  <si>
    <t>PR.IP-4.2: The reliability and integrity of backups shall be verified and tested on regular basis.</t>
  </si>
  <si>
    <t>PR.DS-11.3: The organisation shall maintain secure backups of business-critical data in a separate storage location to ensure data availability in case of system failure or data loss. Backup storage shall apply equivalent security controls as the primary environment.</t>
  </si>
  <si>
    <t>PR.IP-4.3: A separate alternate storage site for system backups shall be operated and the same security safeguards as the primary storage location shall be employed.</t>
  </si>
  <si>
    <t>PR.DS-11.4: 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</si>
  <si>
    <t>PR.IP-4.4: Backup verification shall be coordinated with the functions in the organization that are responsible for related plans.</t>
  </si>
  <si>
    <t>PR.DS-11.5: Backups of critical systems (such as operating systems, configurations, and applications) shall be kept separate from backups of critical information (such as business data, documents, and databases) to support faster and more reliable recovery.</t>
  </si>
  <si>
    <t>PR.IP-4.5: Critical system backup shall be separated from critical information backup.</t>
  </si>
  <si>
    <t>Platform Security (PR.PS): The hardware, software (e.g., firmware, operating systems, applications), and services of physical and virtual platforms are managed consistent with the organisation's risk strategy to protect their confidentiality, integrity, and availability.</t>
  </si>
  <si>
    <t>PR.PS-01: Configuration management practices are established and applied.</t>
  </si>
  <si>
    <t>PR.PS-01.1: The organisation shall develop, document, and maintain a baseline configuration for its business-critical systems.</t>
  </si>
  <si>
    <t>PR.IP-1: A baseline configuration of information technology/industrial control systems is created and maintained incorporating security principles (e.g. concept of least functionality)</t>
  </si>
  <si>
    <t>PR.IP-1.1: The organization shall develop, document, and maintain a baseline configuration for the its business critical systems.</t>
  </si>
  <si>
    <t>PR.PS-01.2: The organisation shall configure its business-critical systems to operate with only the essential functions needed for the intended purpose. This includes reviewing and updating baseline configurations to disable any non-essential capabilities.</t>
  </si>
  <si>
    <t>PR.IP-1.2: The organization shall configure its business-critical systems to provide only essential capabilities; Therefore the baseline configuration shall be reviewed, and unnecessary capabilities disabled.</t>
  </si>
  <si>
    <t>PR.PS-01.3: The organisation shall identify and disable specific functions, ports, protocols, and services within its critical systems that are not required for business operations.</t>
  </si>
  <si>
    <t>PR.PT-3: The principle of least functionality is incorporated by configuring systems to provide only essential capabilities</t>
  </si>
  <si>
    <t>PR.PT-3.2: The organization shall disable defined functions, ports, protocols, and services within its critical systems that it deems unnecessary.</t>
  </si>
  <si>
    <t>PR.PS-01.4: The organisation shall implement technical safeguards to enforce a policy of ‘deny-all’ and ‘permit-by-exception’ so that only authorised software programmes are executed.</t>
  </si>
  <si>
    <t>PR.PT-3.3: The organization shall implement technical safeguards to enforce a deny-all, permit-by-exception policy to only allow the execution of authorized software programs.</t>
  </si>
  <si>
    <t>PR.PS-01.5: Unauthorised configuration changes to organisation's systems shall be monitored and addressed with the appropriate mitigation actions.</t>
  </si>
  <si>
    <t>DE.CM-7: Monitoring for unauthorized personnel, connections, devices, and software is performed</t>
  </si>
  <si>
    <t>DE.CM-7.2: Unauthorized configuration changes to organization's systems shall be monitored and addressed with the appropriate mitigation actions.</t>
  </si>
  <si>
    <t>PR.PS-02: Software is maintained, replaced, and removed commensurate with risk.</t>
  </si>
  <si>
    <t>PR.PS-02.1: The organisation shall enforce restrictions on software usage and installation, and ensure that software is maintained, replaced, or removed based on its associated risk.</t>
  </si>
  <si>
    <t>DE.CM-3: Personnel activity is monitored to detect potential cybersecurity events</t>
  </si>
  <si>
    <t>DE.CM-3.3: Software usage and installation restrictions shall be enforced.</t>
  </si>
  <si>
    <t>PR.PS-03:  Hardware is maintained, replaced, and removed commensurate with risk.</t>
  </si>
  <si>
    <t>PR.PS-03.1: Hardware used in business-critical environments shall be maintained, replaced, or removed based on its associated security and operational risk.</t>
  </si>
  <si>
    <t>PR.MA-1.4: The organization shall verify security controls following hardware maintenance or repairs, and take action as appropriate.</t>
  </si>
  <si>
    <t>Governance Measure</t>
  </si>
  <si>
    <t>PR.PS-04: Log records are generated and made available for continuous monitoring.</t>
  </si>
  <si>
    <t>PR.PS-04.1: Logs shall be maintained, documented, and rmonitored.</t>
  </si>
  <si>
    <t>PR.PT-1: Audit/log records are determined, documented, implemented, and reviewed in accordance with policy</t>
  </si>
  <si>
    <t>PR.PT-1.1: Logs shall be maintained, documented, and reviewed.</t>
  </si>
  <si>
    <t>PR.PS-04.2: The organisation shall ensure that logbook records contain an authoritative time source or internal clock time stamp that is compared and synchronised with an authoritative time source.</t>
  </si>
  <si>
    <t>PR.PT-1.2: The organization shall ensure that the log records include an authoritative time source or internal clock time stamp that are compared and synchronized  to an authoritative time source.</t>
  </si>
  <si>
    <t>PR.PS-04.3: Audit data from the organisation's critical systems shall be moved to an alternative system.</t>
  </si>
  <si>
    <t>PR.DS-4.2: Audit data from the organization's critical systems shall be moved to an alternative system.</t>
  </si>
  <si>
    <t>PR.PS-04.4: The organisation shall ensure that audit processing failures on the organisation's systems generate alerts and trigger defined responses.</t>
  </si>
  <si>
    <t>PR.PT-1.3: The organization shall ensure that audit processing failures on the organization's systems generate alerts and trigger defined responses.</t>
  </si>
  <si>
    <t>PR.PS-04.5: The organisation shall ensure that authorised personnel can extend or enhance audit logging and monitoring capabilities when needed to support investigations or incident response.</t>
  </si>
  <si>
    <t>PR.PT-1.4: The organization shall enable authorized individuals to extend audit capabilities when required by events.</t>
  </si>
  <si>
    <t>PR.PS-05: Installation and execution of unauthorised software are prevented.</t>
  </si>
  <si>
    <t>PR.PS-05.1:  Web and e-mail filters shall be installed and used.</t>
  </si>
  <si>
    <t>PR.PT-4: Communications and control networks are protected</t>
  </si>
  <si>
    <t>PR.PT-4.1: Web and e-mail filters shall be installed and used.</t>
  </si>
  <si>
    <t>PR.PS-05.2: Installation and execution of unauthorised software shall be prevented.</t>
  </si>
  <si>
    <t>PR.PS-06: Secure software development practices are integrated, and their performance is monitored throughout the software development life cycle.</t>
  </si>
  <si>
    <t>PR.PS-06.1: Security shall be considered throughout the lifecycle of systems and applications, whether developed internally or acquired externally.</t>
  </si>
  <si>
    <t>PR.IP-2: A System Development Life Cycle to manage systems is implemented</t>
  </si>
  <si>
    <t>PR.IP-2.1: The system and application development life cycle shall include security considerations.</t>
  </si>
  <si>
    <t>PR.PS-06.2: Changes and exceptions shall be tested and validated before being implemented into operational systems.</t>
  </si>
  <si>
    <t>PR.IP-3: Configuration change control processes are in place</t>
  </si>
  <si>
    <t>PR.IP-3.1: Changes shall be tested and validated before being implemented into operational systems.</t>
  </si>
  <si>
    <t>PR.PS-06.3: Secure software development practices shall be integrated into all phases of the software development lifecycle, and their effectiveness shall be regularly monitored and improved.</t>
  </si>
  <si>
    <t>PR.IP-2.2: The development process for critical systems and system components shall cover the full design cycle and shall provide a description of the functional properties of security controls, and design and implementation information for security-relevant system interfaces.</t>
  </si>
  <si>
    <t>PR.PS-06.4: For planned changes to the organisation's critical systems, a security impact analysis shall be performed in a separate test environment before implementation in an operational environment.</t>
  </si>
  <si>
    <t>PR.IP-3.2: For planned changes to the organization's critical systems, a security impact analysis shall be performed in a separate test environment before implementation in an operational environment.</t>
  </si>
  <si>
    <t>Technology Infrastructure Resilience (PR.IR): Security architectures are managed with the organisation's risk strategy to protect asset confidentiality, integrity, and availability, and organisational resilience.</t>
  </si>
  <si>
    <t>PR.IR-01: Networks and environments are protected from unauthorised logical access and usage.</t>
  </si>
  <si>
    <t>PR.IR-01.1: Firewalls shall be installed, configured, and actively maintained on all networks used by the organisation to protect against unauthorised  access and cyber threats.</t>
  </si>
  <si>
    <t>PR.AC-5: Network integrity is protected (e.g., network segregation, network segmentation)</t>
  </si>
  <si>
    <t>PR.AC-5.1: Firewalls shall be installed and activated on all the organization's networks.</t>
  </si>
  <si>
    <t>PR.IR-01.2: To safeguard critical systems, organisations shall implement network segmentation and segregation aligned with trust boundaries and asset criticality, thereby limiting threat propagation and enforcing strict access control.</t>
  </si>
  <si>
    <t>PR.AC-5.2: Where appropriate, network integrity of the organization's critical systems shall be protected by incorporating network segmentation and segregation.</t>
  </si>
  <si>
    <t>PR.IR-01.3: To ensure operational stability and security, the organisation shall, without exception, identify, document, and control connections between components of its critical systems.</t>
  </si>
  <si>
    <t>PR.AC-5.3: Where appropriate, network integrity of the organization's critical systems shall be protected by (1) Identifying, documenting, and controlling connections between system components. (2) Limiting external connections to the organization's critical systems.</t>
  </si>
  <si>
    <t>PR.IR-01.4: The organisation shall implement appropriate boundary protection measures to monitor and control communications at external and key internal boundaries of its critical systems, across both IT and OT environments, to ensure secure and reliable operations.</t>
  </si>
  <si>
    <t>PR.AC-5.4: The organization shall monitor and control connections and communications at the external boundary and at key internal boundaries within the organization's critical systems by implementing boundary protection devices where appropriate.</t>
  </si>
  <si>
    <t>PR.IR-01.5: The organisation shall implement, where feasible, authenticated proxy servers or firewalls with URL filtering and threat intelligence capabilities for defined communications traffic between its critical systems and external networks.</t>
  </si>
  <si>
    <t>PR.AC-5.5: The organization shall implement, where feasible, authenticated proxy servers for defined communications traffic between the organization's critical systems and external networks.</t>
  </si>
  <si>
    <t>PR.IR-01.6: The organisation shall ensure that its critical systems are designed to fail securely and remain protected in the event of an operational failure of a border protection device.</t>
  </si>
  <si>
    <t>PR.AC-5.6: The organization shall ensure that the organization's critical systems fail safely when a border protection device fails operationally.</t>
  </si>
  <si>
    <t>PR.IR-01.7: The organisation shall ensure that development and test environments are strictly separated from the production environment, particularly in ICS/OT systems where any crossover could compromise safety, endanger health, or disrupt essential operations.</t>
  </si>
  <si>
    <t>PR.DS-7: The development and testing environment(s) are separate from the production environment</t>
  </si>
  <si>
    <t>PR.DS-7.1: The development and test environment(s) shall be isolated from the production environment.</t>
  </si>
  <si>
    <t>PR.IR-01.8: The organisation shall define, monitor, and control the flow of information and data within and between its critical systems to ensure that only authorised and secure exchanges occur, regardless of network boundaries or system architecture.</t>
  </si>
  <si>
    <t>PR.PT-4.2: The organization shall control the information flows/data flows within its critical systems and between interconnected systems.</t>
  </si>
  <si>
    <t>PR.IR-01.9: 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</si>
  <si>
    <t>PR.PT-4.3: The organization shall manage the interface for external communication services by establishing a traffic flow policy, protecting the confidentiality and integrity of the information being transmitted; This includes the review and documenting of each exception to the traffic flow policy.</t>
  </si>
  <si>
    <t>PR.IR-02: The organisation's technology assets are protected from environmental threats.</t>
  </si>
  <si>
    <t>PR.IR-02.1: The organisation shall define, implement and maintain policies and procedures related to emergency and safety systems, fire protection systems and environmental controls for its critical systems.</t>
  </si>
  <si>
    <t>PR.IP-5: Policy and regulations regarding the physical operating environment for organizational assets are met</t>
  </si>
  <si>
    <t>PR.IP-5.1: The organization shall define, implement, and enforce policy and procedures regarding emergency and safety systems, fire protection systems, and environment controls for its critical systems.</t>
  </si>
  <si>
    <t>PR.IR-02.2: The organisation shall implement fire detection devices that activate and notify key personnel automatically in the event of a fire.</t>
  </si>
  <si>
    <t>PR.IP-5.2: The organization shall implement fire detection devices that activate and notify key personnel automatically in the event of a fire.</t>
  </si>
  <si>
    <t>PR.IR-03: Mechanisms are implemented to achieve resilience requirements in normal and adverse situations.</t>
  </si>
  <si>
    <t>PR.IR-03.1: The organisation shall implement mechanisms to ensure that critical systems and services remain operational or can be quickly restored during both normal operations and adverse conditions.</t>
  </si>
  <si>
    <t>PR.IR-04: Adequate resource capacity to ensure availability is maintained.</t>
  </si>
  <si>
    <t>PR.IR-04.1: Adequate resource capacity planning shall ensure that availability of organisation's critical system information processing, networking, telecommunications, and data storage is maintained.</t>
  </si>
  <si>
    <t>PR.DS-4.1: Capacity planning shall ensure adequate resources for organization's critical system information processing, networking, telecommunications, and data storage.</t>
  </si>
  <si>
    <t>Continuous Monitoring (DE.CM): Assets are monitored to find anomalies, indicators of compromise, and other potentially adverse events.</t>
  </si>
  <si>
    <t>DE.CM-01: Networks and network services are monitored to find potentially adverse events.</t>
  </si>
  <si>
    <t>DE.CM-01.1: Firewalls shall be installed and operated at the network boundaries, including endpoint firewalls.</t>
  </si>
  <si>
    <t>DE.CM-1: The network is monitored to detect potential cybersecurity events</t>
  </si>
  <si>
    <t>DE.CM-1.1: Firewalls shall be installed and  operated on the network boundaries and completed with firewall protection on the endpoints.</t>
  </si>
  <si>
    <t>DE.CM-01.2: Anti-virus, -spyware, and other -malware programs shall be installed and updated.</t>
  </si>
  <si>
    <t>DE.CM-4: Malicious code is detected</t>
  </si>
  <si>
    <t>DE.CM-4.1: Anti-virus, -spyware, and other -malware programs shall be installed and updated.</t>
  </si>
  <si>
    <t>DE.CM-01.3: The organisation shall monitor and identify unauthorised use of its business-critical systems through the detection of unauthorised local connections, network connections and remote connections.</t>
  </si>
  <si>
    <t>DE.CM-1.2: The organization shall monitor and identify unauthorized use of its business critical systems through the detection of unauthorized local connections, network connections and remote connections.</t>
  </si>
  <si>
    <t>DE.CM-01.4: The organisation shall continuously monitor its network to spot signs of cyber threats or unusual activity, using clearly defined rules for what counts as a potential security incident.</t>
  </si>
  <si>
    <t>DE.CM-1.3: The organization shall conduct ongoing security status monitoring of its network to detect defined information/cybersecurity events and indicators of potential information/cybersecurity events.</t>
  </si>
  <si>
    <t>DE.CM-02: The physical environment is monitored to find potentially adverse events.</t>
  </si>
  <si>
    <t>DE.CM-02.1: The physical environment shall be monitored to find potentially adverse events.</t>
  </si>
  <si>
    <t>DE.CM-2: The physical environment is monitored to detect potential cybersecurity events</t>
  </si>
  <si>
    <t>DE.CM-2.1: The physical environment of the facility shall be monitored for potential information/cybersecurity events.</t>
  </si>
  <si>
    <t>DE.CM-02.2: Physical access to the organisation's critical systems and devices, in addition to physical access monitoring to the facility, shall be supplemented by physical intrusion alarms, surveillance equipment, and independent monitoring teams.</t>
  </si>
  <si>
    <t>DE.CM-2.2: The physical access to organization's critical systems and devices shall be, on top of the physical access monitoring to the facility, increased through physical intrusion alarms, surveillance equipment, independent surveillance teams.</t>
  </si>
  <si>
    <t>DE.CM-03: Personnel activity and technology usage are monitored to find potentially adverse events.</t>
  </si>
  <si>
    <t>DE.CM-03.1: End point and network protection tools to monitor end-user behaviour for dangerous activity shall be implemented.</t>
  </si>
  <si>
    <t>DE.CM-3.1: End point and network protection tools to monitor end-user behavior for dangerous activity shall be implemented.</t>
  </si>
  <si>
    <t>DE.CM-03.2: End point and network protection tools that monitor end-user behaviour for dangerous activity shall be managed.</t>
  </si>
  <si>
    <t>DE.CM-3.2: End point and network protection tools that monitor end-user behavior for dangerous activity shall be managed.</t>
  </si>
  <si>
    <t>DE.CM-06: External service provider activities and services are monitored to find potentially adverse events.</t>
  </si>
  <si>
    <t>DE.CM-06.1: External service provider activities and services shall be secured and monitored to find potentially adverse events.</t>
  </si>
  <si>
    <t>DE.CM-6: External service provider activity is monitored to detect potential cybersecurity events</t>
  </si>
  <si>
    <t>DE.CM-6.1: All external connections by vendors supporting IT/OT applications or infrastructure shall be secured and actively monitored to ensure that only permissible actions occur during the connection.</t>
  </si>
  <si>
    <t>DE.CM-06.2: External service providers' conformance with personnel security policies and procedures and contract security requirements shall be monitored relative to their cybersecurity risks.</t>
  </si>
  <si>
    <t>DE.CM-6.2: External service providers' conformance with personnel security policies and procedures and contract security requirements shall be monitored relative to their cybersecurity risks.</t>
  </si>
  <si>
    <t>DE.CM-09: Computing hardware and software, runtime environments, and their data are monitored to find potentially adverse events.</t>
  </si>
  <si>
    <t>DE.CM-09.1: The organisation shall monitor computing hardware, software, runtime environments, and their data to detect potentially adverse events.</t>
  </si>
  <si>
    <t>DE.CM-5: Unauthorized mobile code is detected</t>
  </si>
  <si>
    <t>DE.CM-5.1: The organization shall define acceptable and unacceptable mobile code and mobile code technologies; and authorize, monitor, and control the use of mobile code within the system.</t>
  </si>
  <si>
    <t>DE.CM-09.2:The organisation shall implement hardware integrity checks to detect unauthorised tampering of critical system hardware. Controls shall be proportionate to the organisation’s risk profile and operational capacity.</t>
  </si>
  <si>
    <t>PR.DS-8: Integrity checking mechanisms are used to verify hardware integrity</t>
  </si>
  <si>
    <t>PR.DS-8.1: The organization shall implement hardware integrity checks to detect unauthorized tampering to its critical system's hardware.</t>
  </si>
  <si>
    <t>DE.CM-09.3: The organisation's incident response plan shall include measures to detect unauthorised tampering with the hardware of critical systems.</t>
  </si>
  <si>
    <t>PR.DS-8.2: The organization shall incorporate the detection of unauthorized tampering to its critical system's hardware into the organization incident response capability.</t>
  </si>
  <si>
    <t>DE.CM-09.4: The organisation shall establish a system to accurately distinguish between legitimate alerts and false positives, ensuring effective detection and removal of malicious code.</t>
  </si>
  <si>
    <t>DE.CM-4.2: The organisation shall set up a system to detect false positives while detecting and eradicating malicious code.</t>
  </si>
  <si>
    <t>Adverse Event Analysis (DE.AE): Anomalies, indicators of compromise, and other potentially adverse events are analysed to characterise the events and detect cybersecurity incidents.</t>
  </si>
  <si>
    <t>DE.AE-02: Potentially adverse events are analysed to better understand associated activities.</t>
  </si>
  <si>
    <t>DE.AE-02.1: Cybersecurity and information security events shall be reviewed and analysed to identify potential attack targets and methods, in accordance with applicable laws, regulations, standards, and policies.</t>
  </si>
  <si>
    <t>Anomalies and Events (DE.AE): Anomalous activity is detected and the potential impact of events is understood.</t>
  </si>
  <si>
    <t>DE.AE-2: Detected events are analyzed to understand attack targets and methods</t>
  </si>
  <si>
    <t>DE.AE-2.1: The organization shall review and analyze detected events to understand attack targets and methods.</t>
  </si>
  <si>
    <t>DE.AE-02.2: The organisation shall implement automated mechanisms where feasible to review and analyse detected events.</t>
  </si>
  <si>
    <t>DE.AE-2.2: The organization shall implement automated mechanisms where feasible to review and analyze detected events.</t>
  </si>
  <si>
    <t>DE.AE-03: Information is correlated from multiple sources.</t>
  </si>
  <si>
    <t>DE.AE-03.1: The logging functionality of protection and detection tools shall be enabled. Logs shall be backed up and retained for a predefined period, and regularly reviewed to identify unusual or potentially harmful activity.</t>
  </si>
  <si>
    <t>DE.AE-3: Event data are collected and correlated from multiple sources and sensors</t>
  </si>
  <si>
    <t>DE.AE-3.1: The activity logging functionality of protection / detection hardware or software  (e.g. firewalls, anti-virus) shall be enabled, backed-up and reviewed.</t>
  </si>
  <si>
    <t>DE.AE-03.2: The organisation shall ensure that event data from critical systems is collected and correlated using information from multiple relevant sources.</t>
  </si>
  <si>
    <t>DE.AE-3.2: The organization shall ensure that event data is compiled and correlated across its critical systems using various sources such as event reports, audit monitoring, network monitoring, physical access monitoring, and user/administrator reports.</t>
  </si>
  <si>
    <t>DE.AE-03.3: The organisation shall combine event analysis with information from vulnerability scans, system performance data, monitoring of critical systems, and facility monitoring, where feasible.</t>
  </si>
  <si>
    <t>DE.AE-3.3: The organization shall integrate analysis of events where feasible with the analysis of vulnerability scanning information; performance data; its critical system's monitoring, and facility monitoring to further enhance the ability to identify inappropriate or unusual activity.</t>
  </si>
  <si>
    <t>DE.AE-04: The estimated impact and scope of adverse events are understood.</t>
  </si>
  <si>
    <t>DE.AE-04.1: The organisation shall assess the negative impacts of detected events on its operations, assets, and individuals, and shall link these impacts to the results of its risk assessments.</t>
  </si>
  <si>
    <t>DE.AE-4: Impact of events is determined</t>
  </si>
  <si>
    <t>DE.AE-4.1: Negative impacts to organization’s operations, assets, and individuals resulting from detected events shall be determined and correlated with risk assessment outcomes.</t>
  </si>
  <si>
    <t>DE.AE-06: Information on adverse events is provided to authorised staff and tools.</t>
  </si>
  <si>
    <t>DE.AE-06.1: Information about adverse events shall be promptly delivered to authorised personnel and systems to enable timely detection, investigation, and response.</t>
  </si>
  <si>
    <t>DE.DP-4: Event detection information is communicated</t>
  </si>
  <si>
    <t>DE.DP-4.1: The organization shall communicate event detection information to predefined parties.</t>
  </si>
  <si>
    <t>DE.AE-08: Incidents are declared when adverse events meet the defined incident criteria.</t>
  </si>
  <si>
    <t>DE.AE-08.1: Incidents shall be reported when adverse events meet defined and documented incident criteria.</t>
  </si>
  <si>
    <t>DE.AE-5: Incident alert thresholds are established</t>
  </si>
  <si>
    <t>DE.AE-5.1: The organization shall implement automated mechanisms and system generated alerts to support event detection and to assist in the identification of security alert thresholds.</t>
  </si>
  <si>
    <t>Incident Management (RS.MA): Responses to detected cybersecurity incidents are managed.</t>
  </si>
  <si>
    <t>RS.MA-01: The incident response plan is executed in coordination with relevant third parties once an incident is declared.</t>
  </si>
  <si>
    <t>RS.MA-01.1: An incident response plan, including defined roles, responsibilities, and authorities, shall be executed during or after a cybersecurity event affecting the organisation's critical systems.</t>
  </si>
  <si>
    <t>Response Planning (RS.RP): Response processes and procedures are executed and maintained, to ensure response to detected cybersecurity incidents.</t>
  </si>
  <si>
    <t>RS.RP-1: Response plan is executed during or after an incident</t>
  </si>
  <si>
    <t>RS.RP-1.1: An incident response process, including roles, responsibilities, and authorities, shall be executed during or after an information/cybersecurity event on the organization's critical systems.</t>
  </si>
  <si>
    <t>RS.MA-01.2: The organisation shall coordinate information/cybersecurity incident response actions with all predefined stakeholders.</t>
  </si>
  <si>
    <t>RS.CO-4: Coordination with stakeholders occurs consistent with response plans</t>
  </si>
  <si>
    <t>RS.CO-4.1: The organization shall coordinate information/cybersecurity incident response actions with all predefined stakeholders.</t>
  </si>
  <si>
    <t>RS.MA-02: Incident reports are triaged and validated.</t>
  </si>
  <si>
    <t>RS.MA-02.1: Information/cybersecurity incident reports shall be triaged and validated in accordance with the organisation’s incident response procedures.</t>
  </si>
  <si>
    <t>RS.AN-1: Notifications from detection systems are investigated</t>
  </si>
  <si>
    <t>RS.AN-1.1: The organization shall investigate information/cybersecurity-related notifications generated from detection systems.</t>
  </si>
  <si>
    <t>RS.MA-02.2: Automated tools shall be used to support the investigation and impact assessment of validated cybersecurity incidents.</t>
  </si>
  <si>
    <t>RS.AN-1.2: The organization shall implement automated mechanisms to assist in the investigation and analysis of information/cybersecurity-related notifications.</t>
  </si>
  <si>
    <t>RS.MA-03: Incidents are categorised and prioritised.</t>
  </si>
  <si>
    <t>RS.MA-03.1: Information/cybersecurity incidents shall be categorised, prioritised and escalated as specified in the incident response plan.</t>
  </si>
  <si>
    <t>RS.AN-2: The impact of the incident is understood</t>
  </si>
  <si>
    <t>RS.AN-2.1: Thorough investigation and result analysis shall be the base for understanding the full implication of the information/cybersecurity incident.</t>
  </si>
  <si>
    <t>RS.MA-05: The criteria for initiating incident recovery are applied.</t>
  </si>
  <si>
    <t>RS.MA-05.1: Clear criteria shall be defined and applied to determine when incident recovery processes need to be initiated.</t>
  </si>
  <si>
    <t>Incident Analysis (RS.AN): Investigations are conducted to ensure effective response and support forensics and recovery activities.</t>
  </si>
  <si>
    <t>RS.AN-03: 	Analysis is performed to establish what has taken place during an incident and the root cause of the incident.</t>
  </si>
  <si>
    <t>RS.AN-03.1: Each incident shall be analysed to determine what occurred and to identify its root cause.</t>
  </si>
  <si>
    <t>RS.AN-3: Forensics are performed</t>
  </si>
  <si>
    <t>RS.AN-3.2: The organization shall conduct forensic analysis on collected information/cybersecurity event information to determine root cause.</t>
  </si>
  <si>
    <t>RS.AN-06: Actions performed during an investigation are recorded, and the records’ integrity and provenance are preserved</t>
  </si>
  <si>
    <t>RS.AN-06.1: Actions performed during an investigation shall be recorded, and the records' integrity and provenance shall be preserved.</t>
  </si>
  <si>
    <t>RS.AN-3.1: The organization shall provide on-demand audit review, analysis, and reporting for after-the-fact investigations of information/cybersecurity incidents.</t>
  </si>
  <si>
    <t>RS.AN-07: Incident data and metadata are collected, and their integrity and provenance are preserved.</t>
  </si>
  <si>
    <t>RS.AN-07.1: Incident data and metadata shall be collected and protected to ensure their accuracy, authenticity, and traceability.</t>
  </si>
  <si>
    <t>RS.AN-08: An incident's magnitude is estimated and validated.</t>
  </si>
  <si>
    <t>RS.AN-08.1: An incident’s magnitude shall be estimated and validated.</t>
  </si>
  <si>
    <t>Incident Response Reporting and Communication (RS.CO): Response activities are coordinated with internal and external stakeholders as required by laws, regulations, or policies.</t>
  </si>
  <si>
    <t>RS.CO-02: Internal and external stakeholders are notified of incidents.</t>
  </si>
  <si>
    <t>RS.CO-02.1: Information about cybersecurity incidents shall be communicated to employees in a way that is clear and easy to understand.</t>
  </si>
  <si>
    <t>RS.CO-3: Information is shared consistent with response plans</t>
  </si>
  <si>
    <t>RS.CO-3.1: Information/cybersecurity incident information shall be communicated and shared with the organization’s employees in a format that they can understand.</t>
  </si>
  <si>
    <t>RS.CO-02.2:Cybersecurity incidents shall be shared with relevant external stakeholders within the timeframes defined in the Incident Response Plan, including reporting significant incidents to authorities as required by law.</t>
  </si>
  <si>
    <t>RS.CO-3.2: The organization shall share information/cybersecurity incident information with relevant stakeholders as foreseen in the incident response plan.</t>
  </si>
  <si>
    <t>Incident Mitigation (RS.MI): Activities are performed to prevent expansion of an event and mitigate its effects.</t>
  </si>
  <si>
    <t>RS.MI-01:	 Incidents are contained.</t>
  </si>
  <si>
    <t>RS.MI-01.1: Cybersecurity incidents shall be contained and eliminated. Any decision to accept and retain certain cybersecurity risks shall be formally documented.</t>
  </si>
  <si>
    <t>Mitigation (RS.MI): Activities are performed to prevent expansion of an event, mitigate its effects, and resolve the incident.</t>
  </si>
  <si>
    <t>RS.MI-1: Incidents are contained</t>
  </si>
  <si>
    <t>RS.MI-1.1: The organization shall implement an incident handling capability for information/cybersecurity incidents on its business critical systems that includes preparation, detection and analysis, containment, eradication, recovery and documented risk acceptance.</t>
  </si>
  <si>
    <t>RS.MI-01.2: The organisation shall detect unauthorised access or data leakage and take appropriate mitigation actions, including monitoring of critical systems at external boundaries and key internal points.</t>
  </si>
  <si>
    <t>PR.DS-5: Protections against data leaks are implemented</t>
  </si>
  <si>
    <t>PR.DS-5.1: The organization shall take appropriate actions resulting in the monitoring of its critical systems at external borders and critical internal points when unauthorized access and activities, including data leakage, is detected.</t>
  </si>
  <si>
    <t>Incident Recovery Plan Execution (RC.RP) : Restoration activities are performed to ensure operational availability of systems and services affected by cybersecurity incidents.</t>
  </si>
  <si>
    <t>RC.RP-01: The recovery portion of the incident response plan is executed once initiated from the incident response process.</t>
  </si>
  <si>
    <t>RC.RP-01.1: A recovery process for disasters and information/cybersecurity incidents shall be developed and executed.</t>
  </si>
  <si>
    <t>Recovery Planning (RC.RP): Recovery processes and procedures are executed and maintained to ensure restoration of systems or assets affected by cybersecurity incidents.</t>
  </si>
  <si>
    <t>RC.RP-1: Recovery plan is executed during or after a cybersecurity incident</t>
  </si>
  <si>
    <t>RC.RP-1.1: A recovery process for disasters and information/cybersecurity incidents shall be developed and executed as appropriate.</t>
  </si>
  <si>
    <t>RC.RP-02: Recovery actions are selected, scoped, prioritised, and performed.</t>
  </si>
  <si>
    <t>RC.RP-02.1: The organisation's essential functions and services shall be continued with little or no loss of operational continuity, and continuity shall be maintained until full system recovery.</t>
  </si>
  <si>
    <t>RC.RP-1.2: The essential organization’s functions and services shall be continued with little or no loss of operational continuity and continuity shall be sustained until full system restoration.</t>
  </si>
  <si>
    <t>RC.RP-05: The integrity of restored assets is verified, systems and services are restored, and normal operating status is confirmed.</t>
  </si>
  <si>
    <t>RC.RP-05.1: The integrity of restored systems and assets shall be verified before they are returned to service. Systems and services shall be fully restored, and normal operations shall be confirmed.</t>
  </si>
  <si>
    <t>RC.RP-06: The end of incident recovery is declared based on criteria, and incident-related documentation is completed.</t>
  </si>
  <si>
    <t>RC.RP-06.1: The end of incident recovery shall be formally declared based on predefined criteria, and all incident-related documentation shall be completed and reviewed.</t>
  </si>
  <si>
    <t>Incident Recovery Communication (RC.CO): Restoration activities are coordinated with internal and external parties.</t>
  </si>
  <si>
    <t>RC.CO-03: Recovery activities and progress in restoring operational capabilities are communicated to designated internal and external stakeholders.</t>
  </si>
  <si>
    <t>RC.CO-03.1: Recovery activities and progress in restoring operational capabilities shall be communicated to designated internal and external stakeholders in accordance with established communication procedures.</t>
  </si>
  <si>
    <t>Communications (RC.CO): Restoration activities are coordinated with internal and external parties (e.g.  coordinating centers, Internet Service Providers, owners of attacking systems, victims, other CSIRTs, and vendors).</t>
  </si>
  <si>
    <t>RC.CO-3: Recovery activities are communicated to internal and external stakeholders as well as executive and management teams</t>
  </si>
  <si>
    <t>RC.CO-3.1: The organization shall communicate recovery activities to predefined stakeholders, executive and management teams.</t>
  </si>
  <si>
    <t>RC.CO-04: Public updates on incident recovery are shared using approved methods and messaging.</t>
  </si>
  <si>
    <t>RC.CO-04.1: Public updates on incident recovery shall be shared using approved communication methods and messaging, in accordance with established procedures.</t>
  </si>
  <si>
    <t>RC.CO-1: Public relations are managed</t>
  </si>
  <si>
    <t>RC.CO-1.1: The organization shall centralize and coordinate how information is disseminated and manage how the organization is presented to the public.</t>
  </si>
  <si>
    <t>RC.CO-04.2: The organisation shall assign a Public Relations Officer (PRO) to manage public communications during information/cybersecurity incident recovery, ensuring that public updates are shared while maintaining the confidentiality, integrity, and accuracy of the information.</t>
  </si>
  <si>
    <t>RC.CO-1.2: A Public Relations Officer shall be assigned.</t>
  </si>
  <si>
    <t>RC.CO-04.3: The organisation shall implement a crisis communication strategy to mitigate negative impacts during a crisis and help restore its reputation afterward.</t>
  </si>
  <si>
    <t>RC.CO-2: Reputation is repaired after an incident</t>
  </si>
  <si>
    <t>RC.CO-2.1: The organization shall implement a crisis response strategy to protect the organization from the negative consequences of a crisis and help restore its reputation.</t>
  </si>
  <si>
    <t>CyFun 2023 — Controls niet opgenomen in versie 2025  (Enkel 2023)</t>
  </si>
  <si>
    <t>Enkel 2023</t>
  </si>
  <si>
    <t>ID.BE-3: Priorities for organizational mission, objectives, and activities are established and communicated</t>
  </si>
  <si>
    <t>ID.BE-3.1: Priorities for organizational mission, objectives, and activities are established and communicated.</t>
  </si>
  <si>
    <t>ID.RM-3: The organization’s determination of risk tolerance is informed by its role in critical infrastructure and sector specific risk analysis</t>
  </si>
  <si>
    <t>ID.RM-3.1: The organization’s role in critical infrastructure and its sector shall determine the organization’s risk appetite.</t>
  </si>
  <si>
    <t>ID.SC-4.1: The organization shall review assessments of suppliers’ and third-party partner’s compliance with contractual obligations by routinely reviewing audits, test results, and other evaluations.</t>
  </si>
  <si>
    <t>PR.AC-7: Users, devices, and other assets are authenticated (e.g., single-factor, multi-factor) commensurate with the risk of the transaction (e.g., individuals’ security and privacy risks and other organizational risks)</t>
  </si>
  <si>
    <t>PR.AC-7.1: The organization shall perform a documented risk assessment on organization's critical system transactions and authenticate users, devices, and other assets (e.g., single-factor, multi-factor) commensurate with the risk of the transaction (e.g., individuals’ security and privacy risks and other organizational risks).</t>
  </si>
  <si>
    <t>PR.AT-3.1: The organization shall establish and enforce security requirements for business-critical third-party providers and users.</t>
  </si>
  <si>
    <t>PR.AT-3.3: The organization shall monitor business critical service providers and users for security compliance.</t>
  </si>
  <si>
    <t>PR.IP-6: Data is destroyed according to policy</t>
  </si>
  <si>
    <t>PR.IP-6.1: The organization shall ensure that its critical system's data is destroyed according to policy.</t>
  </si>
  <si>
    <t>PR.PT-3.1: The organization shall configure the business critical systems to provide only essential capabilities.</t>
  </si>
  <si>
    <t>DE.AE-5.2: The organization shall define incident alert thresholds.</t>
  </si>
  <si>
    <t>DE.CM-7.1: The organization's business critical systems shall be monitored for unauthorized personnel access, connections, devices, access points, and software.</t>
  </si>
  <si>
    <t>DE.CM-8.2: The vulnerability scanning process shall include analysis, remediation, and information sharing.</t>
  </si>
  <si>
    <t>DE.DP-2: Detection activities comply with all applicable requirements</t>
  </si>
  <si>
    <t>DE.DP-2.1: The organization shall conduct detection activities in accordance with applicable federal and regional laws, industry regulations and standards, policies, and other applicable requirements.</t>
  </si>
  <si>
    <t>DE.DP-3: Detection processes are tested</t>
  </si>
  <si>
    <t>DE.DP-3.1: The organization shall validate that event detection processes are operating as intended.</t>
  </si>
  <si>
    <t>DE.DP-5.1: Improvements derived from the monitoring, measurement, assessment, testing, review, and lessons learned, shall be incorporated into detection process revisions.</t>
  </si>
  <si>
    <t>RS.CO-2: Incidents are reported consistent with established criteria</t>
  </si>
  <si>
    <t>RS.CO-2.1: The organization shall implement reporting on information/cybersecurity incidents on its critical systems in an organization-defined time frame to organization-defined personnel or roles.</t>
  </si>
  <si>
    <t>RS.CO-5: Voluntary information sharing occurs with external stakeholders to achieve broader cybersecurity situational awareness</t>
  </si>
  <si>
    <t>RS.CO-5.1: The organization shall share information/cybersecurity event information voluntarily, as appropriate, with external stakeholders, industry security groups,… to achieve broader information/cybersecurity situational awareness.</t>
  </si>
  <si>
    <t>RS.AN-4: Incidents are categorized consistent with response plans</t>
  </si>
  <si>
    <t>RS.AN-4.1: Information/cybersecurity incidents shall be categorized according to the level of severity and impact consistent with the evaluation criteria included the incident response plan.</t>
  </si>
  <si>
    <t>RS.IM-1.2: Lessons learned from incident handling shall be translated into updated or new incident handling procedures that shall be tested, approved and trained.</t>
  </si>
  <si>
    <t>ID.SC-1: Cyber supply chain risk management processes are identified, established, assessed, managed, and agreed to by organizational stakeholders</t>
  </si>
  <si>
    <t>ID.SC-1.1: The organization shall document, review, approve, update when changes occur, and implement a cyber supply chain risk management process that supports the identification, assessment, and mitigation of the risks associated with the distributed and interconnected nature of ICT/OT product and service supply chains.</t>
  </si>
  <si>
    <t>ID.SC-5.2: The organization shall identify and document key personnel from suppliers and third-party partners to include them as stakeholders in testing and execution of the response and recovery plans.</t>
  </si>
  <si>
    <t>PR.IP-6.2: Sanitation processes shall be documented and tested.</t>
  </si>
  <si>
    <t>DE.AE-1: A baseline of network operations and expected data flows for users and systems is established and managed</t>
  </si>
  <si>
    <t>DE.AE-1.1: The organization shall ensure that a baseline of network operations and expected data flows for its critical systems is developed, documented and maintained to track events.</t>
  </si>
  <si>
    <t>RS.AN-2.2: The organization shall implement automated mechanisms to support incident impact analysis.</t>
  </si>
  <si>
    <t>RS.CO-2.2: Events shall be reported consistent with established criteria.</t>
  </si>
  <si>
    <t>Kwetsbaarheden — Remediëring via CyFun 2025 Controls  ·  dubbelklik op een cel om ✔ te plaatsen</t>
  </si>
  <si>
    <t>C</t>
  </si>
  <si>
    <t>Vertrouwelijkheid</t>
  </si>
  <si>
    <t>I</t>
  </si>
  <si>
    <t>Integriteit</t>
  </si>
  <si>
    <t>A</t>
  </si>
  <si>
    <t>Beschikbaarheid</t>
  </si>
  <si>
    <t>Afwijkingen — CyFun 2023 controls zonder 2025 equivalent</t>
  </si>
  <si>
    <t>Kwetsbaarheid</t>
  </si>
  <si>
    <t>C / I / A</t>
  </si>
  <si>
    <t>Control ID (DB)</t>
  </si>
  <si>
    <t>Reden</t>
  </si>
  <si>
    <t>Geen afwijkingen — alle DB-controls bestaan in CyFun 2025.</t>
  </si>
  <si>
    <t>Sleutel</t>
  </si>
  <si>
    <t>FR</t>
  </si>
  <si>
    <t>EN</t>
  </si>
  <si>
    <t>cfg_title_main</t>
  </si>
  <si>
    <t>GRC Tool — Informatieveiligheid voor Overheidsdiensten</t>
  </si>
  <si>
    <t>Outil GRC — Sécurité de l'information pour les services publics</t>
  </si>
  <si>
    <t>GRC Tool — Information Security for Government Services</t>
  </si>
  <si>
    <t>app_tagline</t>
  </si>
  <si>
    <t>Governance · Risico · Compliance</t>
  </si>
  <si>
    <t>Gouvernance · Risque · Conformité</t>
  </si>
  <si>
    <t>Governance · Risk · Compliance</t>
  </si>
  <si>
    <t>ui_tips</t>
  </si>
  <si>
    <t>TIPS</t>
  </si>
  <si>
    <t>CONSEILS</t>
  </si>
  <si>
    <t>ui_quicklinks</t>
  </si>
  <si>
    <t>SNELKOPPELINGEN</t>
  </si>
  <si>
    <t>RACCOURCIS</t>
  </si>
  <si>
    <t>QUICK LINKS</t>
  </si>
  <si>
    <t>ui_goto_config</t>
  </si>
  <si>
    <t>→  Configuratie</t>
  </si>
  <si>
    <t>→  Configuration</t>
  </si>
  <si>
    <t>ui_goto_ref</t>
  </si>
  <si>
    <t>→  Referentiewaarden</t>
  </si>
  <si>
    <t>→  Valeurs de référence</t>
  </si>
  <si>
    <t>→  Reference Values</t>
  </si>
  <si>
    <t>ui_goto_proc</t>
  </si>
  <si>
    <t>→  Processen</t>
  </si>
  <si>
    <t>→  Processus</t>
  </si>
  <si>
    <t>→  Processes</t>
  </si>
  <si>
    <t>ui_goto_assets</t>
  </si>
  <si>
    <t>→  Informatieassets</t>
  </si>
  <si>
    <t>→  Actifs informationnels</t>
  </si>
  <si>
    <t>→  Information Assets</t>
  </si>
  <si>
    <t>ui_goto_verant</t>
  </si>
  <si>
    <t>→  Verantwoordelijken</t>
  </si>
  <si>
    <t>→  Responsables</t>
  </si>
  <si>
    <t>→  Responsible Persons</t>
  </si>
  <si>
    <t>ui_goto_import</t>
  </si>
  <si>
    <t>→  Import &amp; Export</t>
  </si>
  <si>
    <t>ui_goto_info</t>
  </si>
  <si>
    <t>→  Informatie</t>
  </si>
  <si>
    <t>→  Information</t>
  </si>
  <si>
    <t>cfg_section_general</t>
  </si>
  <si>
    <t>ALGEMENE INSTELLINGEN</t>
  </si>
  <si>
    <t>PARAMÈTRES GÉNÉRAUX</t>
  </si>
  <si>
    <t>GENERAL SETTINGS</t>
  </si>
  <si>
    <t>cfg_section_display</t>
  </si>
  <si>
    <t>WEERGAVE-INSTELLINGEN</t>
  </si>
  <si>
    <t>PARAMÈTRES D'AFFICHAGE</t>
  </si>
  <si>
    <t>DISPLAY SETTINGS</t>
  </si>
  <si>
    <t>cfg_section_meta</t>
  </si>
  <si>
    <t>OVER DIT BESTAND</t>
  </si>
  <si>
    <t>À PROPOS DE CE FICHIER</t>
  </si>
  <si>
    <t>ABOUT THIS FILE</t>
  </si>
  <si>
    <t>cfg_org_label</t>
  </si>
  <si>
    <t>Naam overheidsinstelling</t>
  </si>
  <si>
    <t>Nom de l'institution publique</t>
  </si>
  <si>
    <t>Name of public institution</t>
  </si>
  <si>
    <t>cfg_dept_label</t>
  </si>
  <si>
    <t>Dienst / Entiteit</t>
  </si>
  <si>
    <t>Service / Entité</t>
  </si>
  <si>
    <t>Department / Entity</t>
  </si>
  <si>
    <t>cfg_lang_label</t>
  </si>
  <si>
    <t>Taal / Langue / Language</t>
  </si>
  <si>
    <t>cfg_lang_hint</t>
  </si>
  <si>
    <t>Kies NL, FR of EN. Dropdowns en vertalingen passen zich automatisch aan.</t>
  </si>
  <si>
    <t>Choisissez NL, FR ou EN. Les listes et traductions s'adaptent automatiquement.</t>
  </si>
  <si>
    <t>Choose NL, FR or EN. Dropdowns and translations adapt automatically.</t>
  </si>
  <si>
    <t>cfg_lang_change_hint</t>
  </si>
  <si>
    <t>Na taalwijziging: herselect bestaande classificatiewaarden in de gegevensbladen.</t>
  </si>
  <si>
    <t>Après changement de langue : re-sélectionnez les valeurs dans les feuilles de données.</t>
  </si>
  <si>
    <t>After language change: re-select existing classification values in data sheets.</t>
  </si>
  <si>
    <t>cfg_version_label</t>
  </si>
  <si>
    <t>Version</t>
  </si>
  <si>
    <t>cfg_updated_label</t>
  </si>
  <si>
    <t>Laatste update</t>
  </si>
  <si>
    <t>Dernière mise à jour</t>
  </si>
  <si>
    <t>Last updated</t>
  </si>
  <si>
    <t>cfg_updated_by_label</t>
  </si>
  <si>
    <t>Bijgewerkt door</t>
  </si>
  <si>
    <t>Mis à jour par</t>
  </si>
  <si>
    <t>Updated by</t>
  </si>
  <si>
    <t>cfg_save_hint</t>
  </si>
  <si>
    <t>Sla het bestand op na elke wijziging (Ctrl+S).</t>
  </si>
  <si>
    <t>Enregistrez le fichier après chaque modification (Ctrl+S).</t>
  </si>
  <si>
    <t>Save the file after every change (Ctrl+S).</t>
  </si>
  <si>
    <t>info_title</t>
  </si>
  <si>
    <t>Over dit instrument</t>
  </si>
  <si>
    <t>À propos de cet outil</t>
  </si>
  <si>
    <t>About this tool</t>
  </si>
  <si>
    <t>info_section_doel</t>
  </si>
  <si>
    <t>DOEL</t>
  </si>
  <si>
    <t>OBJECTIF</t>
  </si>
  <si>
    <t>PURPOSE</t>
  </si>
  <si>
    <t>info_doel_txt</t>
  </si>
  <si>
    <t>Deze GRC-tool ondersteunt overheidsorganisaties bij het systematisch beheren van informatieveiligheid. Processen en informatieassets worden geclassificeerd op integriteit, beschikbaarheid en confidentialiteit (5 niveaus: Laag → Kritiek).</t>
  </si>
  <si>
    <t>Cet outil GRC aide les organisations publiques à gérer systématiquement la sécurité de l'information. Les processus et actifs sont classifiés sur l'intégrité, la disponibilité et la confidentialité (5 niveaux : Faible → Critique).</t>
  </si>
  <si>
    <t>This GRC tool supports government organisations in systematically managing information security. Processes and assets are classified on integrity, availability and confidentiality (5 levels: Low → Critical).</t>
  </si>
  <si>
    <t>info_section_scope</t>
  </si>
  <si>
    <t>TOEPASSINGSGEBIED</t>
  </si>
  <si>
    <t>CHAMP D'APPLICATION</t>
  </si>
  <si>
    <t>SCOPE</t>
  </si>
  <si>
    <t>info_scope_txt</t>
  </si>
  <si>
    <t>Gericht op Belgische en Nederlandse overheidsdiensten (NIS2, GDPR, ISO 27001:2022, BIO).</t>
  </si>
  <si>
    <t>Destiné aux services publics belges et néerlandais (NIS2, RGPD, ISO 27001:2022, BIO).</t>
  </si>
  <si>
    <t>Aimed at Belgian and Dutch government services (NIS2, GDPR, ISO 27001:2022, BIO).</t>
  </si>
  <si>
    <t>info_section_modules</t>
  </si>
  <si>
    <t>MODULES IN DEZE VERSIE</t>
  </si>
  <si>
    <t>MODULES DANS CETTE VERSION</t>
  </si>
  <si>
    <t>MODULES IN THIS VERSION</t>
  </si>
  <si>
    <t>info_mod_proc</t>
  </si>
  <si>
    <t>Processen — Classificeer bedrijfsprocessen op I · B · C.</t>
  </si>
  <si>
    <t>Processus — Classifiez les processus métier sur I · D · C.</t>
  </si>
  <si>
    <t>Processes — Classify business processes on I · A · C.</t>
  </si>
  <si>
    <t>info_mod_assets</t>
  </si>
  <si>
    <t>Informatieassets — Classificeer informatieactiva op I · B · C.</t>
  </si>
  <si>
    <t>Actifs informationnels — Classifiez les actifs sur I · D · C.</t>
  </si>
  <si>
    <t>Information Assets — Classify information assets on I · A · C.</t>
  </si>
  <si>
    <t>info_mod_verant</t>
  </si>
  <si>
    <t>Verantwoordelijken — Contactregister van GRC-verantwoordelijken.</t>
  </si>
  <si>
    <t>Responsables — Registre de contacts des responsables GRC.</t>
  </si>
  <si>
    <t>Responsible Persons — Contact register of GRC responsible persons.</t>
  </si>
  <si>
    <t>info_mod_import</t>
  </si>
  <si>
    <t>Import &amp; Export — Macro's om gegevens te importeren uit externe bestanden.</t>
  </si>
  <si>
    <t>Import &amp; Export — Macros pour importer des données depuis des fichiers externes.</t>
  </si>
  <si>
    <t>Import &amp; Export — Macros to import data from external files.</t>
  </si>
  <si>
    <t>info_section_guide</t>
  </si>
  <si>
    <t>HOE GEBRUIKEN</t>
  </si>
  <si>
    <t>MODE D'EMPLOI</t>
  </si>
  <si>
    <t>HOW TO USE</t>
  </si>
  <si>
    <t>info_guide_1</t>
  </si>
  <si>
    <t>1. Configuratie: vul de naam van de instelling in en kies de taal (NL / FR / EN).</t>
  </si>
  <si>
    <t>1. Configuration : saisissez le nom et choisissez la langue (NL / FR / EN).</t>
  </si>
  <si>
    <t>1. Configuration: enter the name of the institution and choose the language (NL / FR / EN).</t>
  </si>
  <si>
    <t>info_guide_2</t>
  </si>
  <si>
    <t>2. Referentiewaarden: raadpleeg de definitie van elk classificatieniveau (1–5).</t>
  </si>
  <si>
    <t>2. Valeurs de référence : consultez la définition de chaque niveau de classification (1–5).</t>
  </si>
  <si>
    <t>2. Reference Values: consult the definition of each classification level (1–5).</t>
  </si>
  <si>
    <t>info_guide_3</t>
  </si>
  <si>
    <t>3. Processen &amp; Informatieassets: vul de gegevens in. Kies niveau 1–5 per dimensie.</t>
  </si>
  <si>
    <t>3. Processus &amp; Actifs : saisissez les données. Choisissez le niveau 1–5 par dimension.</t>
  </si>
  <si>
    <t>3. Processes &amp; Assets: enter data. Choose level 1–5 per dimension.</t>
  </si>
  <si>
    <t>info_guide_4</t>
  </si>
  <si>
    <t>4. Import &amp; Export: gebruik de macro's om gegevens in bulk te importeren.</t>
  </si>
  <si>
    <t>4. Import &amp; Export : utilisez les macros pour importer des données en masse.</t>
  </si>
  <si>
    <t>4. Import &amp; Export: use the macros to import data in bulk.</t>
  </si>
  <si>
    <t>info_section_version</t>
  </si>
  <si>
    <t>VERSIE-INFORMATIE</t>
  </si>
  <si>
    <t>INFORMATIONS DE VERSION</t>
  </si>
  <si>
    <t>VERSION INFORMATION</t>
  </si>
  <si>
    <t>info_v_tool</t>
  </si>
  <si>
    <t>GRC Tool v0.3</t>
  </si>
  <si>
    <t>Outil GRC v0.3</t>
  </si>
  <si>
    <t>info_v_status</t>
  </si>
  <si>
    <t>Status: Prototype / Fase 3</t>
  </si>
  <si>
    <t>Statut : Prototype / Phase 3</t>
  </si>
  <si>
    <t>Status: Prototype / Phase 3</t>
  </si>
  <si>
    <t>info_v_frameworks</t>
  </si>
  <si>
    <t>Kaders: ISO 27001:2022 · NIS2 · GDPR · BIO</t>
  </si>
  <si>
    <t>Cadres : ISO 27001:2022 · NIS2 · RGPD · BIO</t>
  </si>
  <si>
    <t>Frameworks: ISO 27001:2022 · NIS2 · GDPR · BIO</t>
  </si>
  <si>
    <t>ref_title</t>
  </si>
  <si>
    <t>Referentiewaarden en Classificatieschalen</t>
  </si>
  <si>
    <t>Valeurs de référence et échelles de classification</t>
  </si>
  <si>
    <t>Reference Values and Classification Scales</t>
  </si>
  <si>
    <t>ref_subtitle</t>
  </si>
  <si>
    <t>Gebruik deze schalen bij het invullen van de classificatievelden (1 = Laag … 5 = Kritiek).</t>
  </si>
  <si>
    <t>Utilisez ces échelles lors du remplissage des champs de classification (1 = Faible … 5 = Critique).</t>
  </si>
  <si>
    <t>Use these scales when filling in classification fields (1 = Low … 5 = Critical).</t>
  </si>
  <si>
    <t>ref_level</t>
  </si>
  <si>
    <t>Niveau</t>
  </si>
  <si>
    <t>Level</t>
  </si>
  <si>
    <t>ref_label</t>
  </si>
  <si>
    <t>Benaming</t>
  </si>
  <si>
    <t>Désignation</t>
  </si>
  <si>
    <t>Designation</t>
  </si>
  <si>
    <t>ref_description</t>
  </si>
  <si>
    <t>Omschrijving</t>
  </si>
  <si>
    <t>Description</t>
  </si>
  <si>
    <t>ref_lvl1_label</t>
  </si>
  <si>
    <t>Laag</t>
  </si>
  <si>
    <t>Faible</t>
  </si>
  <si>
    <t>Low</t>
  </si>
  <si>
    <t>ref_lvl2_label</t>
  </si>
  <si>
    <t>Gemiddeld</t>
  </si>
  <si>
    <t>Moyen</t>
  </si>
  <si>
    <t>Medium</t>
  </si>
  <si>
    <t>ref_lvl3_label</t>
  </si>
  <si>
    <t>Hoog</t>
  </si>
  <si>
    <t>Élevé</t>
  </si>
  <si>
    <t>High</t>
  </si>
  <si>
    <t>ref_lvl4_label</t>
  </si>
  <si>
    <t>Zeer Hoog</t>
  </si>
  <si>
    <t>Très élevé</t>
  </si>
  <si>
    <t>Very High</t>
  </si>
  <si>
    <t>ref_lvl5_label</t>
  </si>
  <si>
    <t>Classified</t>
  </si>
  <si>
    <t>ref_lvl1_desc</t>
  </si>
  <si>
    <t>Beperkte gevolgen. Verstoring of verlies heeft een verwaarloosbaar effect.</t>
  </si>
  <si>
    <t>Conséquences limitées. La perturbation ou la perte a un effet négligeable.</t>
  </si>
  <si>
    <t>Limited consequences. Disruption or loss has a negligible effect.</t>
  </si>
  <si>
    <t>ref_lvl2_desc</t>
  </si>
  <si>
    <t>Merkbare gevolgen. Beperkt maar waarneembaar effect op de dienstverlening.</t>
  </si>
  <si>
    <t>Conséquences notables. Effet limité mais perceptible sur le service.</t>
  </si>
  <si>
    <t>Noticeable consequences. Limited but perceptible effect on service delivery.</t>
  </si>
  <si>
    <t>ref_lvl3_desc</t>
  </si>
  <si>
    <t>Ernstige gevolgen. Significante schade aan de dienstverlening of betrokkenen.</t>
  </si>
  <si>
    <t>Conséquences graves. Dommages significatifs au service ou aux parties concernées.</t>
  </si>
  <si>
    <t>Serious consequences. Significant damage to service delivery or stakeholders.</t>
  </si>
  <si>
    <t>ref_lvl4_desc</t>
  </si>
  <si>
    <t>Zeer ernstige gevolgen. Grote schade, gevaar voor personen of vitale functies.</t>
  </si>
  <si>
    <t>Conséquences très graves. Dommages importants, danger pour des personnes ou fonctions vitales.</t>
  </si>
  <si>
    <t>Very serious consequences. Major damage, danger to persons or vital functions.</t>
  </si>
  <si>
    <t>ref_lvl5_desc</t>
  </si>
  <si>
    <t>Kritieke gevolgen. Onherstelbare schade, gevaar voor nationale veiligheid of grondrechten, of volledige uitval van vitale overheidsfuncties.</t>
  </si>
  <si>
    <t>Conséquences critiques. Dommages irréparables, danger pour la sécurité nationale ou les droits fondamentaux, ou arrêt total des fonctions gouvernementales vitales.</t>
  </si>
  <si>
    <t>Critical consequences. Irreparable damage, danger to national security or fundamental rights, or complete failure of vital government functions.</t>
  </si>
  <si>
    <t>ref_section_int</t>
  </si>
  <si>
    <t>INTEGRITEIT</t>
  </si>
  <si>
    <t>INTÉGRITÉ</t>
  </si>
  <si>
    <t>INTEGRITY</t>
  </si>
  <si>
    <t>ref_int_subtitle</t>
  </si>
  <si>
    <t>Mate van correctheid, volledigheid en betrouwbaarheid van gegevens.</t>
  </si>
  <si>
    <t>Degré de correction, d'exhaustivité et de fiabilité des données.</t>
  </si>
  <si>
    <t>Degree of correctness, completeness and reliability of data.</t>
  </si>
  <si>
    <t>ref_int_1</t>
  </si>
  <si>
    <t>Fouten hebben geen impact op beslissingen of dienstverlening.</t>
  </si>
  <si>
    <t>Les erreurs n'ont aucun impact sur les décisions ou le service.</t>
  </si>
  <si>
    <t>Errors have no impact on decisions or service delivery.</t>
  </si>
  <si>
    <t>ref_int_2</t>
  </si>
  <si>
    <t>Fouten kunnen leiden tot beperkte fouten in beslissingen.</t>
  </si>
  <si>
    <t>Les erreurs peuvent entraîner des erreurs limitées dans les décisions.</t>
  </si>
  <si>
    <t>Errors may lead to limited mistakes in decisions.</t>
  </si>
  <si>
    <t>ref_int_3</t>
  </si>
  <si>
    <t>Fouten leiden tot verkeerde beslissingen met significante gevolgen.</t>
  </si>
  <si>
    <t>Les erreurs entraînent des décisions erronées avec des conséquences significatives.</t>
  </si>
  <si>
    <t>Errors lead to wrong decisions with significant consequences.</t>
  </si>
  <si>
    <t>ref_int_4</t>
  </si>
  <si>
    <t>Fouten leiden tot grove schade: gevaar, juridische gevolgen, schending van rechten.</t>
  </si>
  <si>
    <t>Les erreurs entraînent des dommages graves : danger, conséquences juridiques, violation des droits.</t>
  </si>
  <si>
    <t>Errors lead to serious damage: danger, legal consequences, violation of rights.</t>
  </si>
  <si>
    <t>ref_int_5</t>
  </si>
  <si>
    <t>Fouten kunnen leiden tot onherstelbare schade, gevaar voor nationale veiligheid of fundamentele schending van grondrechten.</t>
  </si>
  <si>
    <t>Les erreurs peuvent entraîner des dommages irréparables, un danger pour la sécurité nationale ou une violation fondamentale des droits.</t>
  </si>
  <si>
    <t>Errors may lead to irreparable damage, danger to national security or fundamental violation of rights.</t>
  </si>
  <si>
    <t>ref_section_avail</t>
  </si>
  <si>
    <t>BESCHIKBAARHEID</t>
  </si>
  <si>
    <t>DISPONIBILITÉ</t>
  </si>
  <si>
    <t>AVAILABILITY</t>
  </si>
  <si>
    <t>ref_avail_subtitle</t>
  </si>
  <si>
    <t>Mate van toegankelijkheid wanneer dat nodig is.</t>
  </si>
  <si>
    <t>Degré de disponibilité lorsque nécessaire.</t>
  </si>
  <si>
    <t>Degree of accessibility when needed.</t>
  </si>
  <si>
    <t>ref_avail_1</t>
  </si>
  <si>
    <t>Uitval heeft geen merkbare impact. Processen lopen handmatig verder.</t>
  </si>
  <si>
    <t>La panne n'a pas d'impact. Les processus continuent manuellement.</t>
  </si>
  <si>
    <t>Outage has no noticeable impact. Processes continue manually.</t>
  </si>
  <si>
    <t>ref_avail_2</t>
  </si>
  <si>
    <t>Uitval veroorzaakt hinder maar geen kritieke verstoring.</t>
  </si>
  <si>
    <t>La panne cause des inconvénients mais pas de perturbation critique.</t>
  </si>
  <si>
    <t>Outage causes inconvenience but no critical disruption.</t>
  </si>
  <si>
    <t>ref_avail_3</t>
  </si>
  <si>
    <t>Uitval leidt tot significante verstoring van de dienstverlening.</t>
  </si>
  <si>
    <t>La panne entraîne une perturbation significative du service.</t>
  </si>
  <si>
    <t>Outage leads to significant disruption of services.</t>
  </si>
  <si>
    <t>ref_avail_4</t>
  </si>
  <si>
    <t>Uitval veroorzaakt grote schade of stillegging van belangrijke diensten.</t>
  </si>
  <si>
    <t>La panne provoque des dommages importants ou l'arrêt de services importants.</t>
  </si>
  <si>
    <t>Outage causes major damage or shutdown of important services.</t>
  </si>
  <si>
    <t>ref_avail_5</t>
  </si>
  <si>
    <t>Uitval leidt tot volledige stopzetting van vitale overheidsfuncties of noodsituaties met gevaar voor leven.</t>
  </si>
  <si>
    <t>La panne entraîne l'arrêt total des fonctions gouvernementales vitales ou des situations d'urgence mettant des vies en danger.</t>
  </si>
  <si>
    <t>Outage leads to complete failure of vital government functions or emergencies endangering lives.</t>
  </si>
  <si>
    <t>ref_section_conf</t>
  </si>
  <si>
    <t>CONFIDENTIALITEIT</t>
  </si>
  <si>
    <t>CONFIDENTIALITÉ</t>
  </si>
  <si>
    <t>CONFIDENTIALITY</t>
  </si>
  <si>
    <t>ref_conf_subtitle</t>
  </si>
  <si>
    <t>Toegankelijkheid enkel voor bevoegde personen of systemen.</t>
  </si>
  <si>
    <t>Accessibilité uniquement aux personnes ou systèmes autorisés.</t>
  </si>
  <si>
    <t>Accessibility only to authorised persons or systems.</t>
  </si>
  <si>
    <t>ref_conf_1</t>
  </si>
  <si>
    <t>Openbare gegevens. Verspreiding heeft geen nadelige gevolgen.</t>
  </si>
  <si>
    <t>Données publiques. La diffusion n'a pas de conséquences négatives.</t>
  </si>
  <si>
    <t>Public data. Disclosure has no adverse consequences.</t>
  </si>
  <si>
    <t>ref_conf_2</t>
  </si>
  <si>
    <t>Interne gegevens. Verspreiding kan leiden tot beperkte reputatieschade.</t>
  </si>
  <si>
    <t>Données internes. La diffusion peut entraîner des dommages à la réputation.</t>
  </si>
  <si>
    <t>Internal data. Disclosure may lead to limited reputational damage.</t>
  </si>
  <si>
    <t>ref_conf_3</t>
  </si>
  <si>
    <t>Vertrouwelijke gegevens. Ongeoorloofde verspreiding heeft ernstige gevolgen.</t>
  </si>
  <si>
    <t>Données confidentielles. La diffusion non autorisée a de graves conséquences.</t>
  </si>
  <si>
    <t>Confidential data. Unauthorised disclosure has serious consequences.</t>
  </si>
  <si>
    <t>ref_conf_4</t>
  </si>
  <si>
    <t>Strikt vertrouwelijke gegevens. Verspreiding bedreigt personen, organisaties of vitale processen.</t>
  </si>
  <si>
    <t>Données strictement confidentielles. La diffusion menace des personnes, organisations ou processus vitaux.</t>
  </si>
  <si>
    <t>Strictly confidential data. Disclosure threatens persons, organisations or vital processes.</t>
  </si>
  <si>
    <t>ref_conf_5</t>
  </si>
  <si>
    <t>Geheime gegevens. Verspreiding kan nationale veiligheid, grondrechten of vitale staatsfuncties schaden.</t>
  </si>
  <si>
    <t>Données secrètes. La diffusion peut nuire à la sécurité nationale, aux droits fondamentaux ou aux fonctions vitales de l'État.</t>
  </si>
  <si>
    <t>Secret data. Disclosure may harm national security, fundamental rights or vital state functions.</t>
  </si>
  <si>
    <t>proc_title</t>
  </si>
  <si>
    <t>Processen</t>
  </si>
  <si>
    <t>Processus</t>
  </si>
  <si>
    <t>Processes</t>
  </si>
  <si>
    <t>proc_subtitle</t>
  </si>
  <si>
    <t>Voer de bedrijfsprocessen in en ken de veiligheidclassificatie toe (1 = Laag … 5 = Kritiek).</t>
  </si>
  <si>
    <t>Saisissez les processus et attribuez la classification de sécurité (1 = Faible … 5 = Critique).</t>
  </si>
  <si>
    <t>Enter the business processes and assign the security classification (1 = Low … 5 = Critical).</t>
  </si>
  <si>
    <t>proc_col_id</t>
  </si>
  <si>
    <t>ID</t>
  </si>
  <si>
    <t>proc_col_naam</t>
  </si>
  <si>
    <t>Naam</t>
  </si>
  <si>
    <t>Nom</t>
  </si>
  <si>
    <t>Name</t>
  </si>
  <si>
    <t>proc_col_omschrijving</t>
  </si>
  <si>
    <t>proc_col_eigenaar</t>
  </si>
  <si>
    <t>Proceseigenaar</t>
  </si>
  <si>
    <t>Propriétaire</t>
  </si>
  <si>
    <t>Process Owner</t>
  </si>
  <si>
    <t>proc_col_dienst</t>
  </si>
  <si>
    <t>proc_col_integriteit</t>
  </si>
  <si>
    <t>Intégrité</t>
  </si>
  <si>
    <t>Integrity</t>
  </si>
  <si>
    <t>proc_col_beschikbaar</t>
  </si>
  <si>
    <t>Disponibilité</t>
  </si>
  <si>
    <t>Availability</t>
  </si>
  <si>
    <t>proc_col_conf</t>
  </si>
  <si>
    <t>Confidentialiteit</t>
  </si>
  <si>
    <t>Confidentialité</t>
  </si>
  <si>
    <t>Confidentiality</t>
  </si>
  <si>
    <t>proc_col_assets</t>
  </si>
  <si>
    <t>Informatieassets</t>
  </si>
  <si>
    <t>Actifs informationnels</t>
  </si>
  <si>
    <t>Information Assets</t>
  </si>
  <si>
    <t>proc_col_opmerkingen</t>
  </si>
  <si>
    <t>Opmerkingen</t>
  </si>
  <si>
    <t>Remarques</t>
  </si>
  <si>
    <t>Remarks</t>
  </si>
  <si>
    <t>asset_title</t>
  </si>
  <si>
    <t>asset_subtitle</t>
  </si>
  <si>
    <t>Voer de informatieactiva in en ken de veiligheidclassificatie toe (1 = Laag … 5 = Kritiek).</t>
  </si>
  <si>
    <t>Saisissez les actifs et attribuez la classification de sécurité (1 = Faible … 5 = Critique).</t>
  </si>
  <si>
    <t>Enter the information assets and assign the security classification (1 = Low … 5 = Critical).</t>
  </si>
  <si>
    <t>asset_col_id</t>
  </si>
  <si>
    <t>asset_col_naam</t>
  </si>
  <si>
    <t>asset_col_type</t>
  </si>
  <si>
    <t>Type</t>
  </si>
  <si>
    <t>asset_col_omschrijving</t>
  </si>
  <si>
    <t>asset_col_eigenaar</t>
  </si>
  <si>
    <t>Eigenaar</t>
  </si>
  <si>
    <t>Owner</t>
  </si>
  <si>
    <t>asset_col_dienst</t>
  </si>
  <si>
    <t>asset_col_integriteit</t>
  </si>
  <si>
    <t>asset_col_beschikbaar</t>
  </si>
  <si>
    <t>asset_col_conf</t>
  </si>
  <si>
    <t>asset_col_opmerkingen</t>
  </si>
  <si>
    <t>verant_title</t>
  </si>
  <si>
    <t>Verantwoordelijken</t>
  </si>
  <si>
    <t>Responsables</t>
  </si>
  <si>
    <t>Responsible Persons</t>
  </si>
  <si>
    <t>verant_subtitle</t>
  </si>
  <si>
    <t>Overzicht van contactpersonen en hun GRC-rol.</t>
  </si>
  <si>
    <t>Aperçu des personnes de contact et de leur rôle GRC.</t>
  </si>
  <si>
    <t>Overview of contact persons and their GRC role.</t>
  </si>
  <si>
    <t>verant_col_id</t>
  </si>
  <si>
    <t>verant_col_naam</t>
  </si>
  <si>
    <t>verant_col_voornaam</t>
  </si>
  <si>
    <t>Voornaam</t>
  </si>
  <si>
    <t>Prénom</t>
  </si>
  <si>
    <t>First Name</t>
  </si>
  <si>
    <t>verant_col_functie</t>
  </si>
  <si>
    <t>Functietitel</t>
  </si>
  <si>
    <t>Titre de fonction</t>
  </si>
  <si>
    <t>Job Title</t>
  </si>
  <si>
    <t>verant_col_dienst</t>
  </si>
  <si>
    <t>verant_col_email</t>
  </si>
  <si>
    <t>E-mailadres</t>
  </si>
  <si>
    <t>Adresse e-mail</t>
  </si>
  <si>
    <t>Email Address</t>
  </si>
  <si>
    <t>verant_col_tel</t>
  </si>
  <si>
    <t>Telefoon</t>
  </si>
  <si>
    <t>Téléphone</t>
  </si>
  <si>
    <t>Phone</t>
  </si>
  <si>
    <t>verant_col_rol</t>
  </si>
  <si>
    <t>Rol in GRC</t>
  </si>
  <si>
    <t>Rôle dans le GRC</t>
  </si>
  <si>
    <t>Role in GRC</t>
  </si>
  <si>
    <t>verant_col_opmerkingen</t>
  </si>
  <si>
    <t>ie_title</t>
  </si>
  <si>
    <t>Import &amp; Export</t>
  </si>
  <si>
    <t>ie_subtitle</t>
  </si>
  <si>
    <t>Importeer gegevens vanuit externe bronnen of exporteer het GRC-register.</t>
  </si>
  <si>
    <t>Importez des données depuis des sources externes ou exportez le registre GRC.</t>
  </si>
  <si>
    <t>Import data from external sources or export the GRC register.</t>
  </si>
  <si>
    <t>ie_section_import</t>
  </si>
  <si>
    <t>IMPORTEREN</t>
  </si>
  <si>
    <t>IMPORTATION</t>
  </si>
  <si>
    <t>IMPORT</t>
  </si>
  <si>
    <t>ie_section_export</t>
  </si>
  <si>
    <t>EXPORTEREN</t>
  </si>
  <si>
    <t>EXPORTATION</t>
  </si>
  <si>
    <t>EXPORT</t>
  </si>
  <si>
    <t>ie_section_info</t>
  </si>
  <si>
    <t>TABELSTRUCTUUR BRONBESTAND</t>
  </si>
  <si>
    <t>STRUCTURE DU FICHIER SOURCE</t>
  </si>
  <si>
    <t>SOURCE FILE TABLE STRUCTURE</t>
  </si>
  <si>
    <t>ie_import_all_btn</t>
  </si>
  <si>
    <t>Importeer Alles</t>
  </si>
  <si>
    <t>Importer tout</t>
  </si>
  <si>
    <t>Import All</t>
  </si>
  <si>
    <t>ie_import_all_desc</t>
  </si>
  <si>
    <t>Importeert informatieassets, afhankelijke assets, processen én kwetsbaarheden-matrix in één stap.</t>
  </si>
  <si>
    <t>Importe actifs informationnels, actifs dépendants, processus et matrice des vulnérabilités en une seule étape.</t>
  </si>
  <si>
    <t>Imports information assets, dependent assets, processes and vulnerability matrix in one step.</t>
  </si>
  <si>
    <t>ie_import_ia_btn</t>
  </si>
  <si>
    <t>Importeer Informatieassets</t>
  </si>
  <si>
    <t>Importer actifs informationnels</t>
  </si>
  <si>
    <t>Import Information Assets</t>
  </si>
  <si>
    <t>ie_import_ia_desc</t>
  </si>
  <si>
    <t>Leest de tabel 'T - Information Assets' uit de Access-database en vult de tab Informatieassets.</t>
  </si>
  <si>
    <t>Lit la table 'T - Information Assets' depuis la base Access et remplit l'onglet Actifs informationnels.</t>
  </si>
  <si>
    <t>Reads the 'T - Information Assets' table from the Access database and fills the Information Assets tab.</t>
  </si>
  <si>
    <t>ie_import_da_btn</t>
  </si>
  <si>
    <t>Importeer Afhankelijke Assets</t>
  </si>
  <si>
    <t>Importer actifs dépendants</t>
  </si>
  <si>
    <t>Import Dependent Assets</t>
  </si>
  <si>
    <t>ie_import_da_desc</t>
  </si>
  <si>
    <t>Leest de tabel 'T - Dependent assets' en vult de tab Afhankelijke Assets inclusief CIA-objectives.</t>
  </si>
  <si>
    <t>Lit la table 'T - Dependent assets' et remplit l'onglet Actifs dépendants avec les objectifs CIA.</t>
  </si>
  <si>
    <t>Reads the 'T - Dependent assets' table and fills the Dependent Assets tab including CIA objectives.</t>
  </si>
  <si>
    <t>ie_import_proc_btn</t>
  </si>
  <si>
    <t>Importeer Processen</t>
  </si>
  <si>
    <t>Importer processus</t>
  </si>
  <si>
    <t>Import Processes</t>
  </si>
  <si>
    <t>ie_import_proc_desc</t>
  </si>
  <si>
    <t>Leest 'T - Processes in scope' en vult de tab Processen inclusief koppelingen aan assets.</t>
  </si>
  <si>
    <t>Lit 'T - Processes in scope' et remplit l'onglet Processus avec les liens aux actifs.</t>
  </si>
  <si>
    <t>Reads 'T - Processes in scope' and fills the Processes tab including asset links.</t>
  </si>
  <si>
    <t>ie_import_kwets_btn</t>
  </si>
  <si>
    <t>Importeer Kwetsbaarheden</t>
  </si>
  <si>
    <t>Importer vulnérabilités</t>
  </si>
  <si>
    <t>Import Vulnerabilities</t>
  </si>
  <si>
    <t>ie_import_kwets_desc</t>
  </si>
  <si>
    <t>Laadt de kwetsbaarheden en hun koppeling aan CyFun-controls. Vereist dat de tab Kwetsbaarheden al aangemaakt is.</t>
  </si>
  <si>
    <t>Charge les vulnérabilités et leur lien aux contrôles CyFun. Nécessite que l'onglet Vulnérabilités soit déjà créé.</t>
  </si>
  <si>
    <t>Loads vulnerabilities and their link to CyFun controls. Requires the Vulnerabilities tab to already exist.</t>
  </si>
  <si>
    <t>ie_import_links_btn</t>
  </si>
  <si>
    <t>Importeer Links DA / Kwetsbaarheden</t>
  </si>
  <si>
    <t>Importer liens actifs dépendants / vulnérabilités</t>
  </si>
  <si>
    <t>Import DA / Vulnerability Links</t>
  </si>
  <si>
    <t>ie_import_links_desc</t>
  </si>
  <si>
    <t>Voer dit uit NA de import van kwetsbaarheden. Leest de koppelingen tussen afhankelijke assets en kwetsbaarheden uit de Access-database en vult de RARM-tab aan.</t>
  </si>
  <si>
    <t>À exécuter APRÈS l'import des vulnérabilités. Lit les liens entre actifs dépendants et vulnérabilités depuis la base Access et complète l'onglet RARM.</t>
  </si>
  <si>
    <t>Run this AFTER importing vulnerabilities. Reads links between dependent assets and vulnerabilities from the Access database and fills in the RARM tab.</t>
  </si>
  <si>
    <t>ie_export_btn</t>
  </si>
  <si>
    <t>Exporteer alle gegevens</t>
  </si>
  <si>
    <t>Exporter toutes les données</t>
  </si>
  <si>
    <t>Export all data</t>
  </si>
  <si>
    <t>ie_export_desc</t>
  </si>
  <si>
    <t>Exporteert de bladen Processen, Informatieassets en Verantwoordelijken naar een nieuw Excel-bestand.</t>
  </si>
  <si>
    <t>Exporte les feuilles Processus, Actifs et Responsables vers un nouveau fichier Excel.</t>
  </si>
  <si>
    <t>Exports the Processes, Information Assets and Responsible Persons sheets to a new Excel file.</t>
  </si>
  <si>
    <t>ie_table_proc</t>
  </si>
  <si>
    <t>T - Processes in scope</t>
  </si>
  <si>
    <t>ie_table_asset</t>
  </si>
  <si>
    <t>T - Information Assets</t>
  </si>
  <si>
    <t>ie_table_dep</t>
  </si>
  <si>
    <t>T - Dependent assets</t>
  </si>
  <si>
    <t>dep_title</t>
  </si>
  <si>
    <t>Afhankelijke Assets</t>
  </si>
  <si>
    <t>Actifs dépendants</t>
  </si>
  <si>
    <t>Dependent Assets</t>
  </si>
  <si>
    <t>dep_subtitle</t>
  </si>
  <si>
    <t>Overzicht van systemen, infrastructuur en diensten waarvan processen afhankelijk zijn</t>
  </si>
  <si>
    <t>Vue d'ensemble des systèmes, infrastructures et services dont dépendent les processus</t>
  </si>
  <si>
    <t>Overview of systems, infrastructure and services that processes depend on</t>
  </si>
  <si>
    <t>dep_col_id</t>
  </si>
  <si>
    <t>dep_col_naam</t>
  </si>
  <si>
    <t>dep_col_omschrijving</t>
  </si>
  <si>
    <t>dep_col_eigenaar</t>
  </si>
  <si>
    <t>dep_col_dienst</t>
  </si>
  <si>
    <t>dep_col_overarching</t>
  </si>
  <si>
    <t>Overarching</t>
  </si>
  <si>
    <t>Transversal</t>
  </si>
  <si>
    <t>dep_col_opmerkingen</t>
  </si>
  <si>
    <t>dep_col_processes</t>
  </si>
  <si>
    <t>Gebruikt door processen</t>
  </si>
  <si>
    <t>Utilisé par les processus</t>
  </si>
  <si>
    <t>Used by Processes</t>
  </si>
  <si>
    <t>dep_col_linked_info</t>
  </si>
  <si>
    <t>Informatieassets (via processen)</t>
  </si>
  <si>
    <t>Actifs informationnels (via processus)</t>
  </si>
  <si>
    <t>Information Assets (via processes)</t>
  </si>
  <si>
    <t>dep_sec_req_header</t>
  </si>
  <si>
    <t>Security Requirements</t>
  </si>
  <si>
    <t>Exigences de sécurité</t>
  </si>
  <si>
    <t>dep_col_conf</t>
  </si>
  <si>
    <t>dep_col_integ</t>
  </si>
  <si>
    <t>dep_col_avail</t>
  </si>
  <si>
    <t>dep_sec_obj_header</t>
  </si>
  <si>
    <t>Security Objectives</t>
  </si>
  <si>
    <t>Objectifs de sécurité</t>
  </si>
  <si>
    <t>dep_col_obj_commentaar</t>
  </si>
  <si>
    <t>Commentaar</t>
  </si>
  <si>
    <t>Commentaire</t>
  </si>
  <si>
    <t>Comment</t>
  </si>
  <si>
    <t>dep_gap_header</t>
  </si>
  <si>
    <t>Gap Analyse</t>
  </si>
  <si>
    <t>Analyse des écarts</t>
  </si>
  <si>
    <t>Gap Analysis</t>
  </si>
  <si>
    <t>dep_col_gap_conf</t>
  </si>
  <si>
    <t>Conf. niet gedekt (info assets)</t>
  </si>
  <si>
    <t>Conf. non couverte (actifs info)</t>
  </si>
  <si>
    <t>Conf. not covered (info assets)</t>
  </si>
  <si>
    <t>dep_col_gap_integ</t>
  </si>
  <si>
    <t>Int. niet gedekt (processen)</t>
  </si>
  <si>
    <t>Int. non couverte (processus)</t>
  </si>
  <si>
    <t>Int. not covered (processes)</t>
  </si>
  <si>
    <t>dep_col_gap_avail</t>
  </si>
  <si>
    <t>Beschikb. niet gedekt (processen)</t>
  </si>
  <si>
    <t>Disp. non couverte (processus)</t>
  </si>
  <si>
    <t>Avail. not covered (processes)</t>
  </si>
  <si>
    <t>proc_col_dep_assets</t>
  </si>
  <si>
    <t>Afhankelijke assets</t>
  </si>
  <si>
    <t>asset_col_processes</t>
  </si>
  <si>
    <t>Gebruikt in processen</t>
  </si>
  <si>
    <t>Utilisé dans les processus</t>
  </si>
  <si>
    <t>Used in Processes</t>
  </si>
  <si>
    <t>ui_goto_dep</t>
  </si>
  <si>
    <t>→  Dependent Assets</t>
  </si>
  <si>
    <t>→  Actifs dépendants</t>
  </si>
  <si>
    <t>ie_col_hint</t>
  </si>
  <si>
    <t>Ondersteunde kolomnamen (niet hoofdlettergevoelig):</t>
  </si>
  <si>
    <t>Noms de colonnes pris en charge (insensibles à la casse) :</t>
  </si>
  <si>
    <t>Supported column names (case-insensitive):</t>
  </si>
  <si>
    <t>ie_macro_hint</t>
  </si>
  <si>
    <t>De macro's zijn ingebouwd in dit bestand (Module: GRC_Macros). Klik op de knoppen hierboven om te starten.</t>
  </si>
  <si>
    <t>Les macros sont intégrées dans ce fichier (Module : GRC_Macros). Cliquez sur les boutons ci-dessus pour démarrer.</t>
  </si>
  <si>
    <t>The macros are built into this file (Module: GRC_Macros). Click the buttons above to start.</t>
  </si>
  <si>
    <t>CISO</t>
  </si>
  <si>
    <t>RSSI</t>
  </si>
  <si>
    <t>DPO / FG</t>
  </si>
  <si>
    <t>DPD / FG</t>
  </si>
  <si>
    <t>DPO</t>
  </si>
  <si>
    <t>Propriétaire du processus</t>
  </si>
  <si>
    <t>Informatiebeheerder</t>
  </si>
  <si>
    <t>Gestionnaire de l'information</t>
  </si>
  <si>
    <t>Information Manager</t>
  </si>
  <si>
    <t>Systeembeheerder</t>
  </si>
  <si>
    <t>Administrateur système</t>
  </si>
  <si>
    <t>System Administrator</t>
  </si>
  <si>
    <t>Intern auditor</t>
  </si>
  <si>
    <t>Auditeur interne</t>
  </si>
  <si>
    <t>Internal Auditor</t>
  </si>
  <si>
    <t>Directie / Management</t>
  </si>
  <si>
    <t>Direction / Management</t>
  </si>
  <si>
    <t>Management</t>
  </si>
  <si>
    <t>Andere</t>
  </si>
  <si>
    <t>Autre</t>
  </si>
  <si>
    <t>Other</t>
  </si>
  <si>
    <t>Applicatie</t>
  </si>
  <si>
    <t>Application</t>
  </si>
  <si>
    <t>Databank</t>
  </si>
  <si>
    <t>Base de données</t>
  </si>
  <si>
    <t>Database</t>
  </si>
  <si>
    <t>Server</t>
  </si>
  <si>
    <t>Serveur</t>
  </si>
  <si>
    <t>Hardware</t>
  </si>
  <si>
    <t>Matériel</t>
  </si>
  <si>
    <t>Netwerkapparatuur</t>
  </si>
  <si>
    <t>Équipement réseau</t>
  </si>
  <si>
    <t>Network Equipment</t>
  </si>
  <si>
    <t>Dienst</t>
  </si>
  <si>
    <t>Service</t>
  </si>
  <si>
    <t>Document</t>
  </si>
  <si>
    <t>Persoon</t>
  </si>
  <si>
    <t>Personne</t>
  </si>
  <si>
    <t>Person</t>
  </si>
  <si>
    <t>Proces</t>
  </si>
  <si>
    <t>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</si>
</sst>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1"/>
      <color theme="1"/>
      <name val="Calibri"/>
      <family val="2"/>
      <scheme val="minor"/>
    </font>
    <font>
      <b/>
      <sz val="11"/>
      <color rgb="FF0F2B46"/>
      <name val="Calibri"/>
    </font>
    <font>
      <b/>
      <sz val="20"/>
      <color rgb="FFFFFFFF"/>
      <name val="Calibri"/>
    </font>
    <font>
      <i/>
      <sz val="11"/>
      <color rgb="FFEFF6FF"/>
      <name val="Calibri"/>
    </font>
    <font>
      <b/>
      <sz val="9"/>
      <color rgb="FFDBEAFE"/>
      <name val="Calibri"/>
    </font>
    <font>
      <b/>
      <sz val="10"/>
      <color rgb="FF475569"/>
      <name val="Calibri"/>
    </font>
    <font>
      <sz val="10"/>
      <color rgb="FF0F172A"/>
      <name val="Calibri"/>
    </font>
    <font>
      <b/>
      <sz val="14"/>
      <color rgb="FF2563EB"/>
      <name val="Calibri"/>
    </font>
    <font>
      <i/>
      <sz val="9"/>
      <color rgb="FF64748B"/>
      <name val="Calibri"/>
    </font>
    <font>
      <b/>
      <sz val="9"/>
      <color rgb="FF0EA5E9"/>
      <name val="Calibri"/>
    </font>
    <font>
      <sz val="9"/>
      <color rgb="FF475569"/>
      <name val="Calibri"/>
    </font>
    <font>
      <b/>
      <sz val="9"/>
      <color rgb="FF2563EB"/>
      <name val="Calibri"/>
    </font>
    <font>
      <u/>
      <sz val="10"/>
      <color rgb="FF2563EB"/>
      <name val="Calibri"/>
    </font>
    <font>
      <sz val="10"/>
      <color rgb="FF64748B"/>
      <name val="Calibri"/>
    </font>
    <font>
      <i/>
      <sz val="10"/>
      <color rgb="FF475569"/>
      <name val="Calibri"/>
    </font>
    <font>
      <b/>
      <sz val="10"/>
      <color rgb="FFFFFFFF"/>
      <name val="Calibri"/>
    </font>
    <font>
      <b/>
      <sz val="9"/>
      <color rgb="FF64748B"/>
      <name val="Calibri"/>
    </font>
    <font>
      <b/>
      <sz val="11"/>
      <color rgb="FF64748B"/>
      <name val="Calibri"/>
    </font>
    <font>
      <i/>
      <sz val="10"/>
      <name val="Calibri"/>
    </font>
    <font>
      <sz val="11"/>
      <color rgb="FF15803D"/>
      <name val="Calibri"/>
    </font>
    <font>
      <b/>
      <i/>
      <sz val="9"/>
      <color rgb="FF64748B"/>
      <name val="Calibri"/>
    </font>
    <font>
      <b/>
      <sz val="13"/>
      <color rgb="FFFFFFFF"/>
      <name val="Calibri"/>
    </font>
    <font>
      <b/>
      <sz val="10"/>
      <color rgb="FF0F172A"/>
      <name val="Calibri"/>
    </font>
    <font>
      <b/>
      <sz val="9"/>
      <color rgb="FF854D0E"/>
      <name val="Calibri"/>
    </font>
    <font>
      <sz val="9"/>
      <color rgb="FF0F172A"/>
      <name val="Calibri"/>
    </font>
    <font>
      <b/>
      <sz val="10"/>
      <color rgb="FF15803D"/>
      <name val="Calibri"/>
    </font>
    <font>
      <b/>
      <sz val="9"/>
      <color rgb="FFB91C1C"/>
      <name val="Calibri"/>
    </font>
    <font>
      <b/>
      <sz val="9"/>
      <color rgb="FF15803D"/>
      <name val="Calibri"/>
    </font>
    <font>
      <b/>
      <sz val="11"/>
      <color rgb="FFFFFFFF"/>
      <name val="Calibri"/>
    </font>
    <font>
      <i/>
      <sz val="10"/>
      <color rgb="FF64748B"/>
      <name val="Calibri"/>
    </font>
    <font>
      <sz val="9"/>
      <color rgb="FF0F172A"/>
      <name val="Courier New"/>
    </font>
    <font>
      <i/>
      <sz val="9"/>
      <color rgb="FF475569"/>
      <name val="Calibri"/>
    </font>
    <font>
      <b/>
      <sz val="14"/>
      <color rgb="FF15803D"/>
      <name val="Calibri"/>
    </font>
    <font>
      <sz val="10"/>
      <color rgb="FF15803D"/>
      <name val="Calibri"/>
    </font>
    <font>
      <b/>
      <sz val="14"/>
      <color rgb="FF854D0E"/>
      <name val="Calibri"/>
    </font>
    <font>
      <b/>
      <sz val="10"/>
      <color rgb="FF854D0E"/>
      <name val="Calibri"/>
    </font>
    <font>
      <sz val="10"/>
      <color rgb="FF854D0E"/>
      <name val="Calibri"/>
    </font>
    <font>
      <b/>
      <sz val="14"/>
      <color rgb="FFB45309"/>
      <name val="Calibri"/>
    </font>
    <font>
      <b/>
      <sz val="10"/>
      <color rgb="FFB45309"/>
      <name val="Calibri"/>
    </font>
    <font>
      <sz val="10"/>
      <color rgb="FFB45309"/>
      <name val="Calibri"/>
    </font>
    <font>
      <b/>
      <sz val="14"/>
      <color rgb="FFB91C1C"/>
      <name val="Calibri"/>
    </font>
    <font>
      <b/>
      <sz val="10"/>
      <color rgb="FFB91C1C"/>
      <name val="Calibri"/>
    </font>
    <font>
      <sz val="10"/>
      <color rgb="FFB91C1C"/>
      <name val="Calibri"/>
    </font>
    <font>
      <b/>
      <sz val="14"/>
      <color rgb="FF6B21A8"/>
      <name val="Calibri"/>
    </font>
    <font>
      <b/>
      <sz val="10"/>
      <color rgb="FF6B21A8"/>
      <name val="Calibri"/>
    </font>
    <font>
      <sz val="10"/>
      <color rgb="FF6B21A8"/>
      <name val="Calibri"/>
    </font>
    <font>
      <b/>
      <sz val="9"/>
      <color rgb="FFB45309"/>
      <name val="Calibri"/>
    </font>
    <font>
      <sz val="9"/>
      <color rgb="FF64748B"/>
      <name val="Calibri"/>
    </font>
  </fonts>
  <fills count="19">
    <fill>
      <patternFill patternType="none"/>
    </fill>
    <fill>
      <patternFill patternType="gray125"/>
    </fill>
    <fill>
      <patternFill patternType="solid">
        <fgColor rgb="FFE2E8F0"/>
      </patternFill>
    </fill>
    <fill>
      <patternFill patternType="solid">
        <fgColor rgb="FF0F2B46"/>
      </patternFill>
    </fill>
    <fill>
      <patternFill patternType="solid">
        <fgColor rgb="FF2563EB"/>
      </patternFill>
    </fill>
    <fill>
      <patternFill patternType="solid">
        <fgColor rgb="FFF8FAFC"/>
      </patternFill>
    </fill>
    <fill>
      <patternFill patternType="solid">
        <fgColor rgb="FFFFFFFF"/>
      </patternFill>
    </fill>
    <fill>
      <patternFill patternType="solid">
        <fgColor rgb="FFE0F2FE"/>
      </patternFill>
    </fill>
    <fill>
      <patternFill patternType="solid">
        <fgColor rgb="FFEFF6FF"/>
      </patternFill>
    </fill>
    <fill>
      <patternFill patternType="solid">
        <fgColor rgb="FF6B21A8"/>
      </patternFill>
    </fill>
    <fill>
      <patternFill patternType="solid">
        <fgColor rgb="FFB91C1C"/>
      </patternFill>
    </fill>
    <fill>
      <patternFill patternType="solid">
        <fgColor rgb="FFFEF9C3"/>
      </patternFill>
    </fill>
    <fill>
      <patternFill patternType="solid">
        <fgColor rgb="FFFEE2E2"/>
      </patternFill>
    </fill>
    <fill>
      <patternFill patternType="solid">
        <fgColor rgb="FFDCFCE7"/>
      </patternFill>
    </fill>
    <fill>
      <patternFill patternType="solid">
        <fgColor rgb="FFB45309"/>
      </patternFill>
    </fill>
    <fill>
      <patternFill patternType="solid">
        <fgColor rgb="FFFEF3C7"/>
      </patternFill>
    </fill>
    <fill>
      <patternFill patternType="solid">
        <fgColor rgb="FFF3E8FF"/>
      </patternFill>
    </fill>
    <fill>
      <patternFill patternType="solid">
        <fgColor rgb="FF475569"/>
      </patternFill>
    </fill>
    <fill>
      <patternFill patternType="solid">
        <fgColor rgb="FFDBEAFE"/>
      </patternFill>
    </fill>
  </fills>
  <borders count="11">
    <border>
      <left/>
      <right/>
      <top/>
      <bottom/>
      <diagonal/>
    </border>
    <border>
      <left style="thin">
        <color rgb="FFCBD5E1"/>
      </left>
      <right style="thin">
        <color rgb="FFCBD5E1"/>
      </right>
      <top style="thin">
        <color rgb="FFCBD5E1"/>
      </top>
      <bottom style="thin">
        <color rgb="FFCBD5E1"/>
      </bottom>
      <diagonal/>
    </border>
    <border>
      <left style="thin">
        <color rgb="FF2563EB"/>
      </left>
      <right style="thin">
        <color rgb="FF2563EB"/>
      </right>
      <top style="thin">
        <color rgb="FF2563EB"/>
      </top>
      <bottom style="thin">
        <color rgb="FF2563EB"/>
      </bottom>
      <diagonal/>
    </border>
    <border>
      <left style="thin">
        <color rgb="FF0F2B46"/>
      </left>
      <right style="thin">
        <color rgb="FF0F2B46"/>
      </right>
      <top style="thin">
        <color rgb="FF0F2B46"/>
      </top>
      <bottom style="thin">
        <color rgb="FF0F2B46"/>
      </bottom>
      <diagonal/>
    </border>
    <border>
      <left style="thin">
        <color rgb="FF6B21A8"/>
      </left>
      <right style="thin">
        <color rgb="FF6B21A8"/>
      </right>
      <top style="thin">
        <color rgb="FF6B21A8"/>
      </top>
      <bottom style="thin">
        <color rgb="FF6B21A8"/>
      </bottom>
      <diagonal/>
    </border>
    <border>
      <left style="thin">
        <color rgb="FFB91C1C"/>
      </left>
      <right style="thin">
        <color rgb="FFB91C1C"/>
      </right>
      <top style="thin">
        <color rgb="FFB91C1C"/>
      </top>
      <bottom style="thin">
        <color rgb="FFB91C1C"/>
      </bottom>
      <diagonal/>
    </border>
    <border>
      <left style="medium">
        <color rgb="FF0F2B46"/>
      </left>
      <right/>
      <top/>
      <bottom/>
      <diagonal/>
    </border>
    <border>
      <left style="medium">
        <color rgb="FF0F2B46"/>
      </left>
      <right style="thin">
        <color rgb="FF0F2B46"/>
      </right>
      <top style="thin">
        <color rgb="FF0F2B46"/>
      </top>
      <bottom style="thin">
        <color rgb="FF0F2B46"/>
      </bottom>
      <diagonal/>
    </border>
    <border>
      <left style="thin">
        <color rgb="FFB45309"/>
      </left>
      <right style="thin">
        <color rgb="FFB45309"/>
      </right>
      <top style="thin">
        <color rgb="FFB45309"/>
      </top>
      <bottom style="thin">
        <color rgb="FFB45309"/>
      </bottom>
      <diagonal/>
    </border>
    <border>
      <left style="thin">
        <color rgb="FF475569"/>
      </left>
      <right style="thin">
        <color rgb="FF475569"/>
      </right>
      <top style="thin">
        <color rgb="FF475569"/>
      </top>
      <bottom style="thin">
        <color rgb="FF475569"/>
      </bottom>
      <diagonal/>
    </border>
    <border>
      <left style="medium">
        <color rgb="FF0F2B46"/>
      </left>
      <right style="thin">
        <color rgb="FFCBD5E1"/>
      </right>
      <top style="thin">
        <color rgb="FFCBD5E1"/>
      </top>
      <bottom style="thin">
        <color rgb="FFCBD5E1"/>
      </bottom>
      <diagonal/>
    </border>
  </borders>
  <cellStyleXfs count="1">
    <xf numFmtId="0" fontId="0" fillId="0" borderId="0"/>
  </cellStyleXfs>
  <cellXfs count="122">
    <xf numFmtId="0" fontId="0" fillId="0" borderId="0" xfId="0"/>
    <xf numFmtId="0" fontId="5" fillId="5" borderId="1" xfId="0" applyFont="1" applyFill="1" applyBorder="1" applyAlignment="1">
      <alignment horizontal="right" vertical="center"/>
    </xf>
    <xf numFmtId="0" fontId="6" fillId="6" borderId="2" xfId="0" applyFont="1" applyFill="1" applyBorder="1" applyAlignment="1">
      <alignment horizontal="left" vertical="center" indent="1"/>
    </xf>
    <xf numFmtId="0" fontId="7" fillId="6" borderId="2" xfId="0" applyFont="1" applyFill="1" applyBorder="1" applyAlignment="1">
      <alignment horizontal="center" vertical="center"/>
    </xf>
    <xf numFmtId="0" fontId="6" fillId="5" borderId="1" xfId="0" applyFont="1" applyFill="1" applyBorder="1" applyAlignment="1">
      <alignment horizontal="left" vertical="center" indent="1"/>
    </xf>
    <xf numFmtId="0" fontId="15" fillId="3" borderId="3" xfId="0" applyFont="1" applyFill="1" applyBorder="1" applyAlignment="1">
      <alignment horizontal="center" vertical="center" wrapText="1"/>
    </xf>
    <xf numFmtId="0" fontId="16" fillId="8" borderId="1" xfId="0" applyFont="1" applyFill="1" applyBorder="1" applyAlignment="1">
      <alignment horizontal="center" vertical="center"/>
    </xf>
    <xf numFmtId="0" fontId="6" fillId="8" borderId="1" xfId="0" applyFont="1" applyFill="1" applyBorder="1" applyAlignment="1">
      <alignment horizontal="left" vertical="center" wrapText="1"/>
    </xf>
    <xf numFmtId="0" fontId="17" fillId="8" borderId="1" xfId="0" applyFont="1" applyFill="1" applyBorder="1" applyAlignment="1">
      <alignment horizontal="center" vertical="center"/>
    </xf>
    <xf numFmtId="0" fontId="18" fillId="5" borderId="1" xfId="0" applyFont="1" applyFill="1" applyBorder="1" applyAlignment="1">
      <alignment horizontal="center" vertical="center"/>
    </xf>
    <xf numFmtId="0" fontId="16" fillId="6" borderId="1" xfId="0" applyFont="1" applyFill="1" applyBorder="1" applyAlignment="1">
      <alignment horizontal="center" vertical="center"/>
    </xf>
    <xf numFmtId="0" fontId="6" fillId="6" borderId="1" xfId="0" applyFont="1" applyFill="1" applyBorder="1" applyAlignment="1">
      <alignment horizontal="left" vertical="center" wrapText="1"/>
    </xf>
    <xf numFmtId="0" fontId="17" fillId="6" borderId="1" xfId="0" applyFont="1" applyFill="1" applyBorder="1" applyAlignment="1">
      <alignment horizontal="center" vertical="center"/>
    </xf>
    <xf numFmtId="0" fontId="8" fillId="5" borderId="1" xfId="0" applyFont="1" applyFill="1" applyBorder="1" applyAlignment="1">
      <alignment horizontal="left" vertical="top" wrapText="1"/>
    </xf>
    <xf numFmtId="0" fontId="15" fillId="10" borderId="5" xfId="0" applyFont="1" applyFill="1" applyBorder="1" applyAlignment="1">
      <alignment horizontal="center" vertical="center" wrapText="1"/>
    </xf>
    <xf numFmtId="0" fontId="6" fillId="8" borderId="1" xfId="0" applyFont="1" applyFill="1" applyBorder="1" applyAlignment="1" applyProtection="1">
      <alignment horizontal="left" vertical="center" wrapText="1"/>
      <protection locked="0"/>
    </xf>
    <xf numFmtId="0" fontId="19" fillId="8" borderId="1" xfId="0" applyFont="1" applyFill="1" applyBorder="1" applyAlignment="1" applyProtection="1">
      <alignment horizontal="center" vertical="center"/>
      <protection locked="0"/>
    </xf>
    <xf numFmtId="0" fontId="20" fillId="5" borderId="1" xfId="0" applyFont="1" applyFill="1" applyBorder="1" applyAlignment="1">
      <alignment horizontal="center" vertical="center"/>
    </xf>
    <xf numFmtId="0" fontId="17" fillId="8" borderId="1" xfId="0" applyFont="1" applyFill="1" applyBorder="1" applyAlignment="1" applyProtection="1">
      <alignment horizontal="center" vertical="center"/>
      <protection locked="0"/>
    </xf>
    <xf numFmtId="0" fontId="18" fillId="5" borderId="1" xfId="0" applyFont="1" applyFill="1" applyBorder="1" applyAlignment="1" applyProtection="1">
      <alignment horizontal="center" vertical="center"/>
      <protection locked="0"/>
    </xf>
    <xf numFmtId="0" fontId="6" fillId="8" borderId="1" xfId="0" applyFont="1" applyFill="1" applyBorder="1" applyAlignment="1" applyProtection="1">
      <alignment horizontal="left" vertical="top" wrapText="1"/>
      <protection locked="0"/>
    </xf>
    <xf numFmtId="0" fontId="6" fillId="6" borderId="1" xfId="0" applyFont="1" applyFill="1" applyBorder="1" applyAlignment="1" applyProtection="1">
      <alignment horizontal="left" vertical="center" wrapText="1"/>
      <protection locked="0"/>
    </xf>
    <xf numFmtId="0" fontId="19" fillId="6" borderId="1" xfId="0" applyFont="1" applyFill="1" applyBorder="1" applyAlignment="1" applyProtection="1">
      <alignment horizontal="center" vertical="center"/>
      <protection locked="0"/>
    </xf>
    <xf numFmtId="0" fontId="17" fillId="6" borderId="1" xfId="0" applyFont="1" applyFill="1" applyBorder="1" applyAlignment="1" applyProtection="1">
      <alignment horizontal="center" vertical="center"/>
      <protection locked="0"/>
    </xf>
    <xf numFmtId="0" fontId="6" fillId="6" borderId="1" xfId="0" applyFont="1" applyFill="1" applyBorder="1" applyAlignment="1" applyProtection="1">
      <alignment horizontal="left" vertical="top" wrapText="1"/>
      <protection locked="0"/>
    </xf>
    <xf numFmtId="0" fontId="0" fillId="0" borderId="6" xfId="0" applyBorder="1"/>
    <xf numFmtId="0" fontId="22" fillId="11" borderId="7" xfId="0" applyFont="1" applyFill="1" applyBorder="1" applyAlignment="1">
      <alignment horizontal="center" vertical="center" wrapText="1"/>
    </xf>
    <xf numFmtId="0" fontId="22" fillId="11" borderId="3" xfId="0" applyFont="1" applyFill="1" applyBorder="1" applyAlignment="1">
      <alignment horizontal="center" vertical="center" wrapText="1"/>
    </xf>
    <xf numFmtId="0" fontId="0" fillId="5" borderId="1" xfId="0" applyFill="1" applyBorder="1"/>
    <xf numFmtId="0" fontId="8" fillId="8" borderId="7" xfId="0" applyFont="1" applyFill="1" applyBorder="1" applyAlignment="1">
      <alignment horizontal="center" vertical="center" wrapText="1"/>
    </xf>
    <xf numFmtId="0" fontId="8" fillId="8" borderId="3" xfId="0" applyFont="1" applyFill="1" applyBorder="1" applyAlignment="1">
      <alignment horizontal="center" vertical="center" wrapText="1"/>
    </xf>
    <xf numFmtId="0" fontId="23" fillId="11" borderId="1" xfId="0" applyFont="1" applyFill="1" applyBorder="1" applyAlignment="1">
      <alignment horizontal="center" vertical="center"/>
    </xf>
    <xf numFmtId="0" fontId="24" fillId="5" borderId="1" xfId="0" applyFont="1" applyFill="1" applyBorder="1" applyAlignment="1">
      <alignment horizontal="left" vertical="top" wrapText="1"/>
    </xf>
    <xf numFmtId="0" fontId="25" fillId="5" borderId="1" xfId="0" applyFont="1" applyFill="1" applyBorder="1" applyAlignment="1">
      <alignment horizontal="center" vertical="center"/>
    </xf>
    <xf numFmtId="0" fontId="0" fillId="5" borderId="1" xfId="0" applyFill="1" applyBorder="1" applyAlignment="1">
      <alignment horizontal="center" vertical="center"/>
    </xf>
    <xf numFmtId="0" fontId="26" fillId="12" borderId="1" xfId="0" applyFont="1" applyFill="1" applyBorder="1" applyAlignment="1">
      <alignment horizontal="center" vertical="center"/>
    </xf>
    <xf numFmtId="0" fontId="24" fillId="6" borderId="1" xfId="0" applyFont="1" applyFill="1" applyBorder="1" applyAlignment="1">
      <alignment horizontal="left" vertical="top" wrapText="1"/>
    </xf>
    <xf numFmtId="0" fontId="25" fillId="6" borderId="1" xfId="0" applyFont="1" applyFill="1" applyBorder="1" applyAlignment="1">
      <alignment horizontal="center" vertical="center"/>
    </xf>
    <xf numFmtId="0" fontId="0" fillId="6" borderId="1" xfId="0" applyFill="1" applyBorder="1" applyAlignment="1">
      <alignment horizontal="center" vertical="center"/>
    </xf>
    <xf numFmtId="0" fontId="27" fillId="13" borderId="1" xfId="0" applyFont="1" applyFill="1" applyBorder="1" applyAlignment="1">
      <alignment horizontal="center" vertical="center"/>
    </xf>
    <xf numFmtId="0" fontId="28" fillId="4" borderId="2" xfId="0" applyFont="1" applyFill="1" applyBorder="1" applyAlignment="1">
      <alignment horizontal="center" vertical="center"/>
    </xf>
    <xf numFmtId="0" fontId="28" fillId="14" borderId="8" xfId="0" applyFont="1" applyFill="1" applyBorder="1" applyAlignment="1">
      <alignment horizontal="center" vertical="center"/>
    </xf>
    <xf numFmtId="0" fontId="15" fillId="4" borderId="3" xfId="0" applyFont="1" applyFill="1" applyBorder="1" applyAlignment="1">
      <alignment horizontal="center" vertical="center" wrapText="1"/>
    </xf>
    <xf numFmtId="0" fontId="32" fillId="13" borderId="1" xfId="0" applyFont="1" applyFill="1" applyBorder="1" applyAlignment="1">
      <alignment horizontal="center" vertical="center"/>
    </xf>
    <xf numFmtId="0" fontId="25" fillId="13" borderId="1" xfId="0" applyFont="1" applyFill="1" applyBorder="1" applyAlignment="1">
      <alignment horizontal="center" vertical="center" wrapText="1"/>
    </xf>
    <xf numFmtId="0" fontId="34" fillId="11" borderId="1" xfId="0" applyFont="1" applyFill="1" applyBorder="1" applyAlignment="1">
      <alignment horizontal="center" vertical="center"/>
    </xf>
    <xf numFmtId="0" fontId="35" fillId="11" borderId="1" xfId="0" applyFont="1" applyFill="1" applyBorder="1" applyAlignment="1">
      <alignment horizontal="center" vertical="center" wrapText="1"/>
    </xf>
    <xf numFmtId="0" fontId="37" fillId="15" borderId="1" xfId="0" applyFont="1" applyFill="1" applyBorder="1" applyAlignment="1">
      <alignment horizontal="center" vertical="center"/>
    </xf>
    <xf numFmtId="0" fontId="38" fillId="15" borderId="1" xfId="0" applyFont="1" applyFill="1" applyBorder="1" applyAlignment="1">
      <alignment horizontal="center" vertical="center" wrapText="1"/>
    </xf>
    <xf numFmtId="0" fontId="40" fillId="12" borderId="1" xfId="0" applyFont="1" applyFill="1" applyBorder="1" applyAlignment="1">
      <alignment horizontal="center" vertical="center"/>
    </xf>
    <xf numFmtId="0" fontId="41" fillId="12" borderId="1" xfId="0" applyFont="1" applyFill="1" applyBorder="1" applyAlignment="1">
      <alignment horizontal="center" vertical="center" wrapText="1"/>
    </xf>
    <xf numFmtId="0" fontId="43" fillId="16" borderId="1" xfId="0" applyFont="1" applyFill="1" applyBorder="1" applyAlignment="1">
      <alignment horizontal="center" vertical="center"/>
    </xf>
    <xf numFmtId="0" fontId="44" fillId="16" borderId="1" xfId="0" applyFont="1" applyFill="1" applyBorder="1" applyAlignment="1">
      <alignment horizontal="center" vertical="center" wrapText="1"/>
    </xf>
    <xf numFmtId="0" fontId="15" fillId="17" borderId="0" xfId="0" applyFont="1" applyFill="1" applyAlignment="1">
      <alignment horizontal="center" vertical="center"/>
    </xf>
    <xf numFmtId="0" fontId="15" fillId="17" borderId="9" xfId="0" applyFont="1" applyFill="1" applyBorder="1" applyAlignment="1">
      <alignment horizontal="center" vertical="center"/>
    </xf>
    <xf numFmtId="0" fontId="0" fillId="5" borderId="1" xfId="0" applyFill="1" applyBorder="1" applyAlignment="1">
      <alignment horizontal="left" vertical="top"/>
    </xf>
    <xf numFmtId="0" fontId="23" fillId="11" borderId="1" xfId="0" applyFont="1" applyFill="1" applyBorder="1" applyAlignment="1">
      <alignment horizontal="center" vertical="top"/>
    </xf>
    <xf numFmtId="0" fontId="27" fillId="13" borderId="1" xfId="0" applyFont="1" applyFill="1" applyBorder="1" applyAlignment="1">
      <alignment horizontal="center" vertical="top"/>
    </xf>
    <xf numFmtId="0" fontId="0" fillId="6" borderId="1" xfId="0" applyFill="1" applyBorder="1" applyAlignment="1">
      <alignment horizontal="left" vertical="top"/>
    </xf>
    <xf numFmtId="0" fontId="26" fillId="12" borderId="1" xfId="0" applyFont="1" applyFill="1" applyBorder="1" applyAlignment="1">
      <alignment horizontal="center" vertical="top"/>
    </xf>
    <xf numFmtId="0" fontId="11" fillId="8" borderId="1" xfId="0" applyFont="1" applyFill="1" applyBorder="1" applyAlignment="1">
      <alignment horizontal="center" vertical="top"/>
    </xf>
    <xf numFmtId="0" fontId="9" fillId="7" borderId="1" xfId="0" applyFont="1" applyFill="1" applyBorder="1" applyAlignment="1">
      <alignment horizontal="center" vertical="top"/>
    </xf>
    <xf numFmtId="0" fontId="46" fillId="15" borderId="1" xfId="0" applyFont="1" applyFill="1" applyBorder="1" applyAlignment="1">
      <alignment horizontal="center" vertical="top"/>
    </xf>
    <xf numFmtId="0" fontId="0" fillId="11" borderId="10" xfId="0" applyFill="1" applyBorder="1" applyAlignment="1">
      <alignment horizontal="center" vertical="center" wrapText="1"/>
    </xf>
    <xf numFmtId="0" fontId="0" fillId="11" borderId="1" xfId="0" applyFill="1" applyBorder="1" applyAlignment="1">
      <alignment horizontal="center" vertical="center" wrapText="1"/>
    </xf>
    <xf numFmtId="0" fontId="11" fillId="18" borderId="1" xfId="0" applyFont="1" applyFill="1" applyBorder="1" applyAlignment="1">
      <alignment horizontal="center" vertical="center"/>
    </xf>
    <xf numFmtId="0" fontId="24" fillId="6" borderId="1" xfId="0" applyFont="1" applyFill="1" applyBorder="1" applyAlignment="1">
      <alignment horizontal="left" vertical="center"/>
    </xf>
    <xf numFmtId="0" fontId="0" fillId="18" borderId="10" xfId="0" applyFill="1" applyBorder="1" applyAlignment="1">
      <alignment horizontal="center" vertical="center"/>
    </xf>
    <xf numFmtId="0" fontId="0" fillId="18" borderId="1" xfId="0" applyFill="1" applyBorder="1" applyAlignment="1">
      <alignment horizontal="center" vertical="center"/>
    </xf>
    <xf numFmtId="0" fontId="27" fillId="13" borderId="1" xfId="0" applyFont="1" applyFill="1" applyBorder="1" applyAlignment="1">
      <alignment horizontal="center" vertical="center"/>
    </xf>
    <xf numFmtId="0" fontId="0" fillId="13" borderId="10" xfId="0" applyFill="1" applyBorder="1" applyAlignment="1">
      <alignment horizontal="center" vertical="center"/>
    </xf>
    <xf numFmtId="0" fontId="0" fillId="13" borderId="1" xfId="0" applyFill="1" applyBorder="1" applyAlignment="1">
      <alignment horizontal="center" vertical="center"/>
    </xf>
    <xf numFmtId="0" fontId="46" fillId="15" borderId="1" xfId="0" applyFont="1" applyFill="1" applyBorder="1" applyAlignment="1">
      <alignment horizontal="center" vertical="center"/>
    </xf>
    <xf numFmtId="0" fontId="0" fillId="15" borderId="10" xfId="0" applyFill="1" applyBorder="1" applyAlignment="1">
      <alignment horizontal="center" vertical="center"/>
    </xf>
    <xf numFmtId="0" fontId="0" fillId="15" borderId="1" xfId="0" applyFill="1" applyBorder="1" applyAlignment="1">
      <alignment horizontal="center" vertical="center"/>
    </xf>
    <xf numFmtId="0" fontId="23" fillId="11" borderId="1" xfId="0" applyFont="1" applyFill="1" applyBorder="1" applyAlignment="1">
      <alignment horizontal="left" vertical="center"/>
    </xf>
    <xf numFmtId="0" fontId="0" fillId="5" borderId="10" xfId="0" applyFill="1" applyBorder="1" applyAlignment="1">
      <alignment horizontal="center" vertical="center"/>
    </xf>
    <xf numFmtId="0" fontId="0" fillId="5" borderId="1" xfId="0" applyFill="1" applyBorder="1" applyAlignment="1">
      <alignment horizontal="center" vertical="center"/>
    </xf>
    <xf numFmtId="0" fontId="26" fillId="12" borderId="1" xfId="0" applyFont="1" applyFill="1" applyBorder="1" applyAlignment="1">
      <alignment horizontal="left" vertical="center"/>
    </xf>
    <xf numFmtId="0" fontId="0" fillId="6" borderId="10" xfId="0" applyFill="1" applyBorder="1" applyAlignment="1">
      <alignment horizontal="center" vertical="center"/>
    </xf>
    <xf numFmtId="0" fontId="0" fillId="6" borderId="1" xfId="0" applyFill="1" applyBorder="1" applyAlignment="1">
      <alignment horizontal="center" vertical="center"/>
    </xf>
    <xf numFmtId="0" fontId="27" fillId="13" borderId="1" xfId="0" applyFont="1" applyFill="1" applyBorder="1" applyAlignment="1">
      <alignment horizontal="left" vertical="center"/>
    </xf>
    <xf numFmtId="0" fontId="47" fillId="0" borderId="0" xfId="0" applyFont="1" applyAlignment="1">
      <alignment horizontal="left" vertical="center"/>
    </xf>
    <xf numFmtId="0" fontId="1" fillId="2" borderId="0" xfId="0" applyFont="1" applyFill="1"/>
    <xf numFmtId="0" fontId="4" fillId="3" borderId="0" xfId="0" applyFont="1" applyFill="1" applyAlignment="1">
      <alignment horizontal="left" vertical="center" indent="1"/>
    </xf>
    <xf numFmtId="0" fontId="0" fillId="0" borderId="0" xfId="0"/>
    <xf numFmtId="0" fontId="12" fillId="8" borderId="0" xfId="0" applyFont="1" applyFill="1" applyAlignment="1">
      <alignment horizontal="left" vertical="center" indent="1"/>
    </xf>
    <xf numFmtId="0" fontId="2" fillId="3" borderId="0" xfId="0" applyFont="1" applyFill="1" applyAlignment="1">
      <alignment horizontal="center" vertical="center"/>
    </xf>
    <xf numFmtId="0" fontId="10" fillId="7" borderId="0" xfId="0" applyFont="1" applyFill="1" applyAlignment="1">
      <alignment horizontal="left" vertical="center" indent="1"/>
    </xf>
    <xf numFmtId="0" fontId="8" fillId="0" borderId="0" xfId="0" applyFont="1" applyAlignment="1">
      <alignment horizontal="left" vertical="center" indent="1"/>
    </xf>
    <xf numFmtId="0" fontId="3" fillId="4" borderId="0" xfId="0" applyFont="1" applyFill="1" applyAlignment="1">
      <alignment horizontal="center" vertical="center"/>
    </xf>
    <xf numFmtId="0" fontId="11" fillId="8" borderId="0" xfId="0" applyFont="1" applyFill="1" applyAlignment="1">
      <alignment horizontal="left" vertical="center" indent="1"/>
    </xf>
    <xf numFmtId="0" fontId="9" fillId="7" borderId="0" xfId="0" applyFont="1" applyFill="1" applyAlignment="1">
      <alignment horizontal="left" vertical="center" indent="1"/>
    </xf>
    <xf numFmtId="0" fontId="6" fillId="8" borderId="1" xfId="0" applyFont="1" applyFill="1" applyBorder="1" applyAlignment="1">
      <alignment horizontal="left" vertical="top" wrapText="1" indent="1"/>
    </xf>
    <xf numFmtId="0" fontId="13" fillId="5" borderId="1" xfId="0" applyFont="1" applyFill="1" applyBorder="1" applyAlignment="1">
      <alignment horizontal="left" vertical="center" indent="1"/>
    </xf>
    <xf numFmtId="0" fontId="6" fillId="6" borderId="1" xfId="0" applyFont="1" applyFill="1" applyBorder="1" applyAlignment="1">
      <alignment horizontal="left" vertical="top" wrapText="1" indent="1"/>
    </xf>
    <xf numFmtId="0" fontId="6" fillId="5" borderId="1" xfId="0" applyFont="1" applyFill="1" applyBorder="1" applyAlignment="1">
      <alignment horizontal="left" vertical="top" wrapText="1" indent="1"/>
    </xf>
    <xf numFmtId="0" fontId="15" fillId="3" borderId="3" xfId="0" applyFont="1" applyFill="1" applyBorder="1" applyAlignment="1">
      <alignment horizontal="center" vertical="center" wrapText="1"/>
    </xf>
    <xf numFmtId="0" fontId="14" fillId="8" borderId="0" xfId="0" applyFont="1" applyFill="1" applyAlignment="1">
      <alignment horizontal="center" vertical="center"/>
    </xf>
    <xf numFmtId="0" fontId="15" fillId="9" borderId="4" xfId="0" applyFont="1" applyFill="1" applyBorder="1" applyAlignment="1">
      <alignment horizontal="center" vertical="center" wrapText="1"/>
    </xf>
    <xf numFmtId="0" fontId="15" fillId="10" borderId="5" xfId="0" applyFont="1" applyFill="1" applyBorder="1" applyAlignment="1">
      <alignment horizontal="center" vertical="center"/>
    </xf>
    <xf numFmtId="0" fontId="15" fillId="9" borderId="4" xfId="0" applyFont="1" applyFill="1" applyBorder="1" applyAlignment="1">
      <alignment horizontal="center" vertical="center"/>
    </xf>
    <xf numFmtId="0" fontId="15" fillId="3" borderId="3" xfId="0" applyFont="1" applyFill="1" applyBorder="1" applyAlignment="1">
      <alignment horizontal="center" vertical="center"/>
    </xf>
    <xf numFmtId="0" fontId="21" fillId="3" borderId="0" xfId="0" applyFont="1" applyFill="1" applyAlignment="1">
      <alignment horizontal="left" vertical="center" indent="1"/>
    </xf>
    <xf numFmtId="0" fontId="0" fillId="0" borderId="6" xfId="0" applyBorder="1"/>
    <xf numFmtId="0" fontId="29" fillId="5" borderId="1" xfId="0" applyFont="1" applyFill="1" applyBorder="1" applyAlignment="1">
      <alignment horizontal="left" vertical="top" wrapText="1" indent="1"/>
    </xf>
    <xf numFmtId="0" fontId="31" fillId="7" borderId="0" xfId="0" applyFont="1" applyFill="1" applyAlignment="1">
      <alignment horizontal="left" vertical="center" indent="1"/>
    </xf>
    <xf numFmtId="0" fontId="30" fillId="5" borderId="1" xfId="0" applyFont="1" applyFill="1" applyBorder="1" applyAlignment="1">
      <alignment horizontal="left" vertical="top" wrapText="1" indent="1"/>
    </xf>
    <xf numFmtId="0" fontId="15" fillId="3" borderId="0" xfId="0" applyFont="1" applyFill="1" applyAlignment="1">
      <alignment horizontal="left" vertical="center" indent="1"/>
    </xf>
    <xf numFmtId="0" fontId="8" fillId="5" borderId="0" xfId="0" applyFont="1" applyFill="1" applyAlignment="1">
      <alignment horizontal="left" vertical="center" indent="1"/>
    </xf>
    <xf numFmtId="0" fontId="33" fillId="13" borderId="1" xfId="0" applyFont="1" applyFill="1" applyBorder="1" applyAlignment="1">
      <alignment horizontal="left" vertical="center" wrapText="1" indent="1"/>
    </xf>
    <xf numFmtId="0" fontId="14" fillId="8" borderId="0" xfId="0" applyFont="1" applyFill="1" applyAlignment="1">
      <alignment horizontal="center" vertical="center" wrapText="1"/>
    </xf>
    <xf numFmtId="0" fontId="39" fillId="15" borderId="1" xfId="0" applyFont="1" applyFill="1" applyBorder="1" applyAlignment="1">
      <alignment horizontal="left" vertical="center" wrapText="1" indent="1"/>
    </xf>
    <xf numFmtId="0" fontId="36" fillId="11" borderId="1" xfId="0" applyFont="1" applyFill="1" applyBorder="1" applyAlignment="1">
      <alignment horizontal="left" vertical="center" wrapText="1" indent="1"/>
    </xf>
    <xf numFmtId="0" fontId="45" fillId="16" borderId="1" xfId="0" applyFont="1" applyFill="1" applyBorder="1" applyAlignment="1">
      <alignment horizontal="left" vertical="center" wrapText="1" indent="1"/>
    </xf>
    <xf numFmtId="0" fontId="42" fillId="12" borderId="1" xfId="0" applyFont="1" applyFill="1" applyBorder="1" applyAlignment="1">
      <alignment horizontal="left" vertical="center" wrapText="1" indent="1"/>
    </xf>
    <xf numFmtId="0" fontId="29" fillId="5" borderId="0" xfId="0" applyFont="1" applyFill="1" applyAlignment="1">
      <alignment horizontal="left" vertical="center" indent="1"/>
    </xf>
    <xf numFmtId="0" fontId="15" fillId="3" borderId="0" xfId="0" applyFont="1" applyFill="1" applyAlignment="1">
      <alignment horizontal="center" vertical="center"/>
    </xf>
    <xf numFmtId="0" fontId="15" fillId="4" borderId="0" xfId="0" applyFont="1" applyFill="1" applyAlignment="1">
      <alignment horizontal="center" vertical="center"/>
    </xf>
    <xf numFmtId="0" fontId="28" fillId="14" borderId="0" xfId="0" applyFont="1" applyFill="1" applyAlignment="1">
      <alignment horizontal="left" vertical="center" indent="1"/>
    </xf>
    <xf numFmtId="0" fontId="28" fillId="3" borderId="0" xfId="0" applyFont="1" applyFill="1" applyAlignment="1">
      <alignment horizontal="left" vertical="center" indent="1"/>
    </xf>
    <xf numFmtId="0" fontId="21" fillId="14" borderId="0" xfId="0" applyFont="1" applyFill="1" applyAlignment="1">
      <alignment horizontal="left" vertical="center" indent="1"/>
    </xf>
  </cellXfs>
  <cellStyles count="1">
    <cellStyle name="Standaard" xfId="0" builtinId="0"/>
  </cellStyles>
  <dxfs count="91">
    <dxf>
      <font>
        <b/>
        <sz val="9"/>
        <color rgb="FFB91C1C"/>
        <name val="Calibri"/>
      </font>
      <fill>
        <patternFill patternType="solid">
          <fgColor rgb="FFFEE2E2"/>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B91C1C"/>
        <name val="Calibri"/>
      </font>
      <fill>
        <patternFill patternType="solid">
          <fgColor rgb="FFFEE2E2"/>
        </patternFill>
      </fill>
    </dxf>
    <dxf>
      <font>
        <b/>
        <sz val="10"/>
        <color rgb="FF854D0E"/>
        <name val="Calibri"/>
      </font>
      <fill>
        <patternFill patternType="solid">
          <fgColor rgb="FFFEF9C3"/>
        </patternFill>
      </fill>
    </dxf>
    <dxf>
      <font>
        <b/>
        <sz val="10"/>
        <color rgb="FFB45309"/>
        <name val="Calibri"/>
      </font>
      <fill>
        <patternFill patternType="solid">
          <fgColor rgb="FFFEF3C7"/>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6B21A8"/>
        <name val="Calibri"/>
      </font>
      <fill>
        <patternFill patternType="solid">
          <fgColor rgb="FFF3E8FF"/>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
      <font>
        <b/>
        <sz val="10"/>
        <color rgb="FF6B21A8"/>
        <name val="Calibri"/>
      </font>
      <fill>
        <patternFill patternType="solid">
          <fgColor rgb="FFF3E8FF"/>
        </patternFill>
      </fill>
    </dxf>
    <dxf>
      <font>
        <b/>
        <sz val="10"/>
        <color rgb="FFB91C1C"/>
        <name val="Calibri"/>
      </font>
      <fill>
        <patternFill patternType="solid">
          <fgColor rgb="FFFEE2E2"/>
        </patternFill>
      </fill>
    </dxf>
    <dxf>
      <font>
        <b/>
        <sz val="10"/>
        <color rgb="FFB45309"/>
        <name val="Calibri"/>
      </font>
      <fill>
        <patternFill patternType="solid">
          <fgColor rgb="FFFEF3C7"/>
        </patternFill>
      </fill>
    </dxf>
    <dxf>
      <font>
        <b/>
        <sz val="10"/>
        <color rgb="FF854D0E"/>
        <name val="Calibri"/>
      </font>
      <fill>
        <patternFill patternType="solid">
          <fgColor rgb="FFFEF9C3"/>
        </patternFill>
      </fill>
    </dxf>
    <dxf>
      <font>
        <b/>
        <sz val="10"/>
        <color rgb="FF15803D"/>
        <name val="Calibri"/>
      </font>
      <fill>
        <patternFill patternType="solid">
          <fgColor rgb="FFDCFCE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127000</xdr:colOff>
      <xdr:row>5</xdr:row>
      <xdr:rowOff>69850</xdr:rowOff>
    </xdr:from>
    <xdr:to>
      <xdr:col>3</xdr:col>
      <xdr:colOff>666750</xdr:colOff>
      <xdr:row>6</xdr:row>
      <xdr:rowOff>200025</xdr:rowOff>
    </xdr:to>
    <xdr:sp macro="GRC_Macros.ImportAlles" textlink="">
      <xdr:nvSpPr>
        <xdr:cNvPr id="2" name="Rechthoek 1">
          <a:extLst>
            <a:ext uri="{FF2B5EF4-FFF2-40B4-BE49-F238E27FC236}">
              <a16:creationId xmlns:a16="http://schemas.microsoft.com/office/drawing/2014/main" id="{03D736A8-5643-0A4C-32AA-1C797868C5ED}"/>
            </a:ext>
          </a:extLst>
        </xdr:cNvPr>
        <xdr:cNvSpPr/>
      </xdr:nvSpPr>
      <xdr:spPr>
        <a:xfrm>
          <a:off x="127000" y="16510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Alles</a:t>
          </a:r>
          <a:endParaRPr lang="en-BE" sz="1100" b="1">
            <a:solidFill>
              <a:srgbClr val="FFFFFF"/>
            </a:solidFill>
          </a:endParaRPr>
        </a:p>
      </xdr:txBody>
    </xdr:sp>
    <xdr:clientData/>
  </xdr:twoCellAnchor>
  <xdr:twoCellAnchor>
    <xdr:from>
      <xdr:col>0</xdr:col>
      <xdr:colOff>127000</xdr:colOff>
      <xdr:row>8</xdr:row>
      <xdr:rowOff>82550</xdr:rowOff>
    </xdr:from>
    <xdr:to>
      <xdr:col>3</xdr:col>
      <xdr:colOff>666750</xdr:colOff>
      <xdr:row>9</xdr:row>
      <xdr:rowOff>212725</xdr:rowOff>
    </xdr:to>
    <xdr:sp macro="GRC_Macros.ImportInformatieassets" textlink="">
      <xdr:nvSpPr>
        <xdr:cNvPr id="3" name="Rechthoek 2">
          <a:extLst>
            <a:ext uri="{FF2B5EF4-FFF2-40B4-BE49-F238E27FC236}">
              <a16:creationId xmlns:a16="http://schemas.microsoft.com/office/drawing/2014/main" id="{AA5F994E-DA05-30BA-BA9E-15F0D047E032}"/>
            </a:ext>
          </a:extLst>
        </xdr:cNvPr>
        <xdr:cNvSpPr/>
      </xdr:nvSpPr>
      <xdr:spPr>
        <a:xfrm>
          <a:off x="127000" y="27686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Informatieassets</a:t>
          </a:r>
          <a:endParaRPr lang="en-BE" sz="1100" b="1">
            <a:solidFill>
              <a:srgbClr val="FFFFFF"/>
            </a:solidFill>
          </a:endParaRPr>
        </a:p>
      </xdr:txBody>
    </xdr:sp>
    <xdr:clientData/>
  </xdr:twoCellAnchor>
  <xdr:twoCellAnchor>
    <xdr:from>
      <xdr:col>0</xdr:col>
      <xdr:colOff>127000</xdr:colOff>
      <xdr:row>11</xdr:row>
      <xdr:rowOff>95250</xdr:rowOff>
    </xdr:from>
    <xdr:to>
      <xdr:col>3</xdr:col>
      <xdr:colOff>666750</xdr:colOff>
      <xdr:row>12</xdr:row>
      <xdr:rowOff>225425</xdr:rowOff>
    </xdr:to>
    <xdr:sp macro="GRC_Macros.ImportAfhankelijkeAssets" textlink="">
      <xdr:nvSpPr>
        <xdr:cNvPr id="4" name="Rechthoek 3">
          <a:extLst>
            <a:ext uri="{FF2B5EF4-FFF2-40B4-BE49-F238E27FC236}">
              <a16:creationId xmlns:a16="http://schemas.microsoft.com/office/drawing/2014/main" id="{0632CD33-EFA8-14C8-FD40-57AABB7DB11A}"/>
            </a:ext>
          </a:extLst>
        </xdr:cNvPr>
        <xdr:cNvSpPr/>
      </xdr:nvSpPr>
      <xdr:spPr>
        <a:xfrm>
          <a:off x="127000" y="38862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Afhankelijke Assets</a:t>
          </a:r>
          <a:endParaRPr lang="en-BE" sz="1100" b="1">
            <a:solidFill>
              <a:srgbClr val="FFFFFF"/>
            </a:solidFill>
          </a:endParaRPr>
        </a:p>
      </xdr:txBody>
    </xdr:sp>
    <xdr:clientData/>
  </xdr:twoCellAnchor>
  <xdr:twoCellAnchor>
    <xdr:from>
      <xdr:col>0</xdr:col>
      <xdr:colOff>127000</xdr:colOff>
      <xdr:row>14</xdr:row>
      <xdr:rowOff>107950</xdr:rowOff>
    </xdr:from>
    <xdr:to>
      <xdr:col>3</xdr:col>
      <xdr:colOff>666750</xdr:colOff>
      <xdr:row>15</xdr:row>
      <xdr:rowOff>238125</xdr:rowOff>
    </xdr:to>
    <xdr:sp macro="GRC_Macros.ImportProcessen" textlink="">
      <xdr:nvSpPr>
        <xdr:cNvPr id="5" name="Rechthoek 4">
          <a:extLst>
            <a:ext uri="{FF2B5EF4-FFF2-40B4-BE49-F238E27FC236}">
              <a16:creationId xmlns:a16="http://schemas.microsoft.com/office/drawing/2014/main" id="{DD74D07D-9C74-3003-4D57-B8C84D044DFC}"/>
            </a:ext>
          </a:extLst>
        </xdr:cNvPr>
        <xdr:cNvSpPr/>
      </xdr:nvSpPr>
      <xdr:spPr>
        <a:xfrm>
          <a:off x="127000" y="50038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Processen</a:t>
          </a:r>
          <a:endParaRPr lang="en-BE" sz="1100" b="1">
            <a:solidFill>
              <a:srgbClr val="FFFFFF"/>
            </a:solidFill>
          </a:endParaRPr>
        </a:p>
      </xdr:txBody>
    </xdr:sp>
    <xdr:clientData/>
  </xdr:twoCellAnchor>
  <xdr:twoCellAnchor>
    <xdr:from>
      <xdr:col>0</xdr:col>
      <xdr:colOff>127000</xdr:colOff>
      <xdr:row>17</xdr:row>
      <xdr:rowOff>120650</xdr:rowOff>
    </xdr:from>
    <xdr:to>
      <xdr:col>3</xdr:col>
      <xdr:colOff>666750</xdr:colOff>
      <xdr:row>18</xdr:row>
      <xdr:rowOff>250825</xdr:rowOff>
    </xdr:to>
    <xdr:sp macro="GRC_Macros.ImportKwetsbaarheden" textlink="">
      <xdr:nvSpPr>
        <xdr:cNvPr id="6" name="Rechthoek 5">
          <a:extLst>
            <a:ext uri="{FF2B5EF4-FFF2-40B4-BE49-F238E27FC236}">
              <a16:creationId xmlns:a16="http://schemas.microsoft.com/office/drawing/2014/main" id="{5F08C8D4-870C-5038-C46D-8A50D84433BE}"/>
            </a:ext>
          </a:extLst>
        </xdr:cNvPr>
        <xdr:cNvSpPr/>
      </xdr:nvSpPr>
      <xdr:spPr>
        <a:xfrm>
          <a:off x="127000" y="61214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Kwetsbaarheden</a:t>
          </a:r>
          <a:endParaRPr lang="en-BE" sz="1100" b="1">
            <a:solidFill>
              <a:srgbClr val="FFFFFF"/>
            </a:solidFill>
          </a:endParaRPr>
        </a:p>
      </xdr:txBody>
    </xdr:sp>
    <xdr:clientData/>
  </xdr:twoCellAnchor>
  <xdr:twoCellAnchor>
    <xdr:from>
      <xdr:col>0</xdr:col>
      <xdr:colOff>127000</xdr:colOff>
      <xdr:row>20</xdr:row>
      <xdr:rowOff>133350</xdr:rowOff>
    </xdr:from>
    <xdr:to>
      <xdr:col>3</xdr:col>
      <xdr:colOff>666750</xdr:colOff>
      <xdr:row>21</xdr:row>
      <xdr:rowOff>263525</xdr:rowOff>
    </xdr:to>
    <xdr:sp macro="GRC_Macros.ImportLinksKwetsbaarheden" textlink="">
      <xdr:nvSpPr>
        <xdr:cNvPr id="7" name="Rechthoek 6">
          <a:extLst>
            <a:ext uri="{FF2B5EF4-FFF2-40B4-BE49-F238E27FC236}">
              <a16:creationId xmlns:a16="http://schemas.microsoft.com/office/drawing/2014/main" id="{40F777F7-DC37-6B11-AA01-371CC125CAD3}"/>
            </a:ext>
          </a:extLst>
        </xdr:cNvPr>
        <xdr:cNvSpPr/>
      </xdr:nvSpPr>
      <xdr:spPr>
        <a:xfrm>
          <a:off x="127000" y="7239000"/>
          <a:ext cx="2540000" cy="558800"/>
        </a:xfrm>
        <a:prstGeom prst="rect">
          <a:avLst/>
        </a:prstGeom>
        <a:solidFill>
          <a:srgbClr val="EB6325"/>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FFFF"/>
              </a:solidFill>
            </a:rPr>
            <a:t>▶  Importeer Links DA/Kwetsbaarheden</a:t>
          </a:r>
          <a:endParaRPr lang="en-BE" sz="1100" b="1">
            <a:solidFill>
              <a:srgbClr val="FFFFFF"/>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G29"/>
  <sheetViews>
    <sheetView showGridLines="0" tabSelected="1" workbookViewId="0">
      <selection sqref="A1:G1"/>
    </sheetView>
  </sheetViews>
  <sheetFormatPr defaultRowHeight="15" x14ac:dyDescent="0.25"/>
  <cols>
    <col min="1" max="1" width="2" customWidth="1"/>
    <col min="2" max="2" width="32" customWidth="1"/>
    <col min="3" max="3" width="3" customWidth="1"/>
    <col min="4" max="4" width="30" customWidth="1"/>
    <col min="5" max="5" width="3" customWidth="1"/>
    <col min="6" max="7" width="26" customWidth="1"/>
  </cols>
  <sheetData>
    <row r="1" spans="1:7" ht="51.95" customHeight="1" x14ac:dyDescent="0.25">
      <c r="A1" s="87" t="str">
        <f>IFERROR(INDEX(_Lang!$B$2:$D$300,MATCH("cfg_title_main",_Lang!$A$2:$A$300,0),IF(Config!$D$9="NL",1,IF(Config!$D$9="FR",2,3))),"[cfg_title_main]")</f>
        <v>GRC Tool — Informatieveiligheid voor Overheidsdiensten</v>
      </c>
      <c r="B1" s="85"/>
      <c r="C1" s="85"/>
      <c r="D1" s="85"/>
      <c r="E1" s="85"/>
      <c r="F1" s="85"/>
      <c r="G1" s="85"/>
    </row>
    <row r="2" spans="1:7" ht="21.95" customHeight="1" x14ac:dyDescent="0.25">
      <c r="A2" s="90" t="str">
        <f>IFERROR(INDEX(_Lang!$B$2:$D$300,MATCH("app_tagline",_Lang!$A$2:$A$300,0),IF(Config!$D$9="NL",1,IF(Config!$D$9="FR",2,3))),"[app_tagline]")</f>
        <v>Governance · Risico · Compliance</v>
      </c>
      <c r="B2" s="85"/>
      <c r="C2" s="85"/>
      <c r="D2" s="85"/>
      <c r="E2" s="85"/>
      <c r="F2" s="85"/>
      <c r="G2" s="85"/>
    </row>
    <row r="3" spans="1:7" ht="12" customHeight="1" x14ac:dyDescent="0.25"/>
    <row r="4" spans="1:7" ht="20.100000000000001" customHeight="1" x14ac:dyDescent="0.25">
      <c r="B4" s="84" t="str">
        <f>IFERROR(INDEX(_Lang!$B$2:$D$300,MATCH("cfg_section_general",_Lang!$A$2:$A$300,0),IF(Config!$D$9="NL",1,IF(Config!$D$9="FR",2,3))),"[cfg_section_general]")</f>
        <v>ALGEMENE INSTELLINGEN</v>
      </c>
      <c r="C4" s="85"/>
      <c r="D4" s="85"/>
      <c r="E4" s="85"/>
      <c r="F4" s="85"/>
    </row>
    <row r="5" spans="1:7" ht="26.1" customHeight="1" x14ac:dyDescent="0.25">
      <c r="B5" s="1" t="str">
        <f>IFERROR(INDEX(_Lang!$B$2:$D$300,MATCH("cfg_org_label",_Lang!$A$2:$A$300,0),IF(Config!$D$9="NL",1,IF(Config!$D$9="FR",2,3))),"[cfg_org_label]")</f>
        <v>Naam overheidsinstelling</v>
      </c>
      <c r="D5" s="2" t="s">
        <v>0</v>
      </c>
    </row>
    <row r="6" spans="1:7" ht="26.1" customHeight="1" x14ac:dyDescent="0.25">
      <c r="B6" s="1" t="str">
        <f>IFERROR(INDEX(_Lang!$B$2:$D$300,MATCH("cfg_dept_label",_Lang!$A$2:$A$300,0),IF(Config!$D$9="NL",1,IF(Config!$D$9="FR",2,3))),"[cfg_dept_label]")</f>
        <v>Dienst / Entiteit</v>
      </c>
      <c r="D6" s="2"/>
    </row>
    <row r="7" spans="1:7" ht="8.1" customHeight="1" x14ac:dyDescent="0.25"/>
    <row r="8" spans="1:7" ht="20.100000000000001" customHeight="1" x14ac:dyDescent="0.25">
      <c r="B8" s="84" t="str">
        <f>IFERROR(INDEX(_Lang!$B$2:$D$300,MATCH("cfg_section_display",_Lang!$A$2:$A$300,0),IF(Config!$D$9="NL",1,IF(Config!$D$9="FR",2,3))),"[cfg_section_display]")</f>
        <v>WEERGAVE-INSTELLINGEN</v>
      </c>
      <c r="C8" s="85"/>
      <c r="D8" s="85"/>
      <c r="E8" s="85"/>
      <c r="F8" s="85"/>
    </row>
    <row r="9" spans="1:7" ht="26.1" customHeight="1" x14ac:dyDescent="0.25">
      <c r="B9" s="1" t="str">
        <f>IFERROR(INDEX(_Lang!$B$2:$D$300,MATCH("cfg_lang_label",_Lang!$A$2:$A$300,0),IF(Config!$D$9="NL",1,IF(Config!$D$9="FR",2,3))),"[cfg_lang_label]")</f>
        <v>Taal / Langue / Language</v>
      </c>
      <c r="D9" s="3" t="s">
        <v>1</v>
      </c>
    </row>
    <row r="10" spans="1:7" ht="18" customHeight="1" x14ac:dyDescent="0.25">
      <c r="B10" s="89" t="str">
        <f>IFERROR(INDEX(_Lang!$B$2:$D$300,MATCH("cfg_lang_hint",_Lang!$A$2:$A$300,0),IF(Config!$D$9="NL",1,IF(Config!$D$9="FR",2,3))),"[cfg_lang_hint]")</f>
        <v>Kies NL, FR of EN. Dropdowns en vertalingen passen zich automatisch aan.</v>
      </c>
      <c r="C10" s="85"/>
      <c r="D10" s="85"/>
      <c r="E10" s="85"/>
      <c r="F10" s="85"/>
    </row>
    <row r="11" spans="1:7" ht="18" customHeight="1" x14ac:dyDescent="0.25">
      <c r="B11" s="89" t="str">
        <f>IFERROR(INDEX(_Lang!$B$2:$D$300,MATCH("cfg_lang_change_hint",_Lang!$A$2:$A$300,0),IF(Config!$D$9="NL",1,IF(Config!$D$9="FR",2,3))),"[cfg_lang_change_hint]")</f>
        <v>Na taalwijziging: herselect bestaande classificatiewaarden in de gegevensbladen.</v>
      </c>
      <c r="C11" s="85"/>
      <c r="D11" s="85"/>
      <c r="E11" s="85"/>
      <c r="F11" s="85"/>
    </row>
    <row r="12" spans="1:7" ht="8.1" customHeight="1" x14ac:dyDescent="0.25"/>
    <row r="13" spans="1:7" ht="20.100000000000001" customHeight="1" x14ac:dyDescent="0.25">
      <c r="B13" s="84" t="str">
        <f>IFERROR(INDEX(_Lang!$B$2:$D$300,MATCH("cfg_section_meta",_Lang!$A$2:$A$300,0),IF(Config!$D$9="NL",1,IF(Config!$D$9="FR",2,3))),"[cfg_section_meta]")</f>
        <v>OVER DIT BESTAND</v>
      </c>
      <c r="C13" s="85"/>
      <c r="D13" s="85"/>
      <c r="E13" s="85"/>
      <c r="F13" s="85"/>
    </row>
    <row r="14" spans="1:7" ht="26.1" customHeight="1" x14ac:dyDescent="0.25">
      <c r="B14" s="1" t="str">
        <f>IFERROR(INDEX(_Lang!$B$2:$D$300,MATCH("cfg_version_label",_Lang!$A$2:$A$300,0),IF(Config!$D$9="NL",1,IF(Config!$D$9="FR",2,3))),"[cfg_version_label]")</f>
        <v>Versie</v>
      </c>
      <c r="D14" s="4" t="s">
        <v>2</v>
      </c>
    </row>
    <row r="15" spans="1:7" ht="26.1" customHeight="1" x14ac:dyDescent="0.25">
      <c r="B15" s="1" t="str">
        <f>IFERROR(INDEX(_Lang!$B$2:$D$300,MATCH("cfg_updated_label",_Lang!$A$2:$A$300,0),IF(Config!$D$9="NL",1,IF(Config!$D$9="FR",2,3))),"[cfg_updated_label]")</f>
        <v>Laatste update</v>
      </c>
      <c r="D15" s="4" t="s">
        <v>3</v>
      </c>
    </row>
    <row r="16" spans="1:7" ht="26.1" customHeight="1" x14ac:dyDescent="0.25">
      <c r="B16" s="1" t="str">
        <f>IFERROR(INDEX(_Lang!$B$2:$D$300,MATCH("cfg_updated_by_label",_Lang!$A$2:$A$300,0),IF(Config!$D$9="NL",1,IF(Config!$D$9="FR",2,3))),"[cfg_updated_by_label]")</f>
        <v>Bijgewerkt door</v>
      </c>
      <c r="D16" s="2" t="s">
        <v>4</v>
      </c>
    </row>
    <row r="17" spans="2:6" ht="8.1" customHeight="1" x14ac:dyDescent="0.25"/>
    <row r="18" spans="2:6" ht="20.100000000000001" customHeight="1" x14ac:dyDescent="0.25">
      <c r="B18" s="92" t="str">
        <f>IFERROR(INDEX(_Lang!$B$2:$D$300,MATCH("ui_tips",_Lang!$A$2:$A$300,0),IF(Config!$D$9="NL",1,IF(Config!$D$9="FR",2,3))),"[ui_tips]")</f>
        <v>TIPS</v>
      </c>
      <c r="C18" s="85"/>
      <c r="D18" s="85"/>
      <c r="E18" s="85"/>
      <c r="F18" s="85"/>
    </row>
    <row r="19" spans="2:6" ht="20.100000000000001" customHeight="1" x14ac:dyDescent="0.25">
      <c r="B19" s="88" t="str">
        <f>IFERROR(INDEX(_Lang!$B$2:$D$300,MATCH("cfg_save_hint",_Lang!$A$2:$A$300,0),IF(Config!$D$9="NL",1,IF(Config!$D$9="FR",2,3))),"[cfg_save_hint]")</f>
        <v>Sla het bestand op na elke wijziging (Ctrl+S).</v>
      </c>
      <c r="C19" s="85"/>
      <c r="D19" s="85"/>
      <c r="E19" s="85"/>
      <c r="F19" s="85"/>
    </row>
    <row r="20" spans="2:6" ht="20.100000000000001" customHeight="1" x14ac:dyDescent="0.25">
      <c r="B20" s="88" t="str">
        <f>IFERROR(INDEX(_Lang!$B$2:$D$300,MATCH("cfg_lang_change_hint",_Lang!$A$2:$A$300,0),IF(Config!$D$9="NL",1,IF(Config!$D$9="FR",2,3))),"[cfg_lang_change_hint]")</f>
        <v>Na taalwijziging: herselect bestaande classificatiewaarden in de gegevensbladen.</v>
      </c>
      <c r="C20" s="85"/>
      <c r="D20" s="85"/>
      <c r="E20" s="85"/>
      <c r="F20" s="85"/>
    </row>
    <row r="21" spans="2:6" ht="9.9499999999999993" customHeight="1" x14ac:dyDescent="0.25"/>
    <row r="22" spans="2:6" ht="20.100000000000001" customHeight="1" x14ac:dyDescent="0.25">
      <c r="B22" s="91" t="str">
        <f>IFERROR(INDEX(_Lang!$B$2:$D$300,MATCH("ui_quicklinks",_Lang!$A$2:$A$300,0),IF(Config!$D$9="NL",1,IF(Config!$D$9="FR",2,3))),"[ui_quicklinks]")</f>
        <v>SNELKOPPELINGEN</v>
      </c>
      <c r="C22" s="85"/>
      <c r="D22" s="85"/>
      <c r="E22" s="85"/>
      <c r="F22" s="85"/>
    </row>
    <row r="23" spans="2:6" ht="20.100000000000001" customHeight="1" x14ac:dyDescent="0.25">
      <c r="B23" s="86" t="str">
        <f>IFERROR(INDEX(_Lang!$B$2:$D$300,MATCH("ui_goto_info",_Lang!$A$2:$A$300,0),IF(Config!$D$9="NL",1,IF(Config!$D$9="FR",2,3))),"[ui_goto_info]")</f>
        <v>→  Informatie</v>
      </c>
      <c r="C23" s="85"/>
      <c r="D23" s="85"/>
      <c r="E23" s="85"/>
      <c r="F23" s="85"/>
    </row>
    <row r="24" spans="2:6" ht="20.100000000000001" customHeight="1" x14ac:dyDescent="0.25">
      <c r="B24" s="86" t="str">
        <f>IFERROR(INDEX(_Lang!$B$2:$D$300,MATCH("ui_goto_proc",_Lang!$A$2:$A$300,0),IF(Config!$D$9="NL",1,IF(Config!$D$9="FR",2,3))),"[ui_goto_proc]")</f>
        <v>→  Processen</v>
      </c>
      <c r="C24" s="85"/>
      <c r="D24" s="85"/>
      <c r="E24" s="85"/>
      <c r="F24" s="85"/>
    </row>
    <row r="25" spans="2:6" ht="20.100000000000001" customHeight="1" x14ac:dyDescent="0.25">
      <c r="B25" s="86" t="str">
        <f>IFERROR(INDEX(_Lang!$B$2:$D$300,MATCH("ui_goto_assets",_Lang!$A$2:$A$300,0),IF(Config!$D$9="NL",1,IF(Config!$D$9="FR",2,3))),"[ui_goto_assets]")</f>
        <v>→  Informatieassets</v>
      </c>
      <c r="C25" s="85"/>
      <c r="D25" s="85"/>
      <c r="E25" s="85"/>
      <c r="F25" s="85"/>
    </row>
    <row r="26" spans="2:6" ht="20.100000000000001" customHeight="1" x14ac:dyDescent="0.25">
      <c r="B26" s="86" t="str">
        <f>IFERROR(INDEX(_Lang!$B$2:$D$300,MATCH("ui_goto_dep",_Lang!$A$2:$A$300,0),IF(Config!$D$9="NL",1,IF(Config!$D$9="FR",2,3))),"[ui_goto_dep]")</f>
        <v>→  Dependent Assets</v>
      </c>
      <c r="C26" s="85"/>
      <c r="D26" s="85"/>
      <c r="E26" s="85"/>
      <c r="F26" s="85"/>
    </row>
    <row r="27" spans="2:6" ht="20.100000000000001" customHeight="1" x14ac:dyDescent="0.25">
      <c r="B27" s="86" t="str">
        <f>IFERROR(INDEX(_Lang!$B$2:$D$300,MATCH("ui_goto_verant",_Lang!$A$2:$A$300,0),IF(Config!$D$9="NL",1,IF(Config!$D$9="FR",2,3))),"[ui_goto_verant]")</f>
        <v>→  Verantwoordelijken</v>
      </c>
      <c r="C27" s="85"/>
      <c r="D27" s="85"/>
      <c r="E27" s="85"/>
      <c r="F27" s="85"/>
    </row>
    <row r="28" spans="2:6" ht="20.100000000000001" customHeight="1" x14ac:dyDescent="0.25">
      <c r="B28" s="86" t="str">
        <f>IFERROR(INDEX(_Lang!$B$2:$D$300,MATCH("ui_goto_import",_Lang!$A$2:$A$300,0),IF(Config!$D$9="NL",1,IF(Config!$D$9="FR",2,3))),"[ui_goto_import]")</f>
        <v>→  Import &amp; Export</v>
      </c>
      <c r="C28" s="85"/>
      <c r="D28" s="85"/>
      <c r="E28" s="85"/>
      <c r="F28" s="85"/>
    </row>
    <row r="29" spans="2:6" ht="20.100000000000001" customHeight="1" x14ac:dyDescent="0.25">
      <c r="B29" s="86" t="str">
        <f>IFERROR(INDEX(_Lang!$B$2:$D$300,MATCH("ui_goto_ref",_Lang!$A$2:$A$300,0),IF(Config!$D$9="NL",1,IF(Config!$D$9="FR",2,3))),"[ui_goto_ref]")</f>
        <v>→  Referentiewaarden</v>
      </c>
      <c r="C29" s="85"/>
      <c r="D29" s="85"/>
      <c r="E29" s="85"/>
      <c r="F29" s="85"/>
    </row>
  </sheetData>
  <mergeCells count="18">
    <mergeCell ref="B18:F18"/>
    <mergeCell ref="B13:F13"/>
    <mergeCell ref="B4:F4"/>
    <mergeCell ref="B29:F29"/>
    <mergeCell ref="A1:G1"/>
    <mergeCell ref="B27:F27"/>
    <mergeCell ref="B24:F24"/>
    <mergeCell ref="B20:F20"/>
    <mergeCell ref="B10:F10"/>
    <mergeCell ref="B11:F11"/>
    <mergeCell ref="B25:F25"/>
    <mergeCell ref="B28:F28"/>
    <mergeCell ref="B19:F19"/>
    <mergeCell ref="A2:G2"/>
    <mergeCell ref="B23:F23"/>
    <mergeCell ref="B22:F22"/>
    <mergeCell ref="B8:F8"/>
    <mergeCell ref="B26:F26"/>
  </mergeCells>
  <dataValidations count="1">
    <dataValidation type="list" sqref="D9" xr:uid="{00000000-0002-0000-0000-000000000000}">
      <formula1>"NL,FR,EN"</formula1>
    </dataValidation>
  </dataValidations>
  <hyperlinks>
    <hyperlink ref="B23" location="Info!A1" display="Info!A1" xr:uid="{00000000-0004-0000-0000-000000000000}"/>
    <hyperlink ref="B24" location="Processes!A1" display="Processes!A1" xr:uid="{00000000-0004-0000-0000-000001000000}"/>
    <hyperlink ref="B25" location="Information Assets!A1" display="Information Assets!A1" xr:uid="{00000000-0004-0000-0000-000002000000}"/>
    <hyperlink ref="B26" location="Dependent Assets!A1" display="Dependent Assets!A1" xr:uid="{00000000-0004-0000-0000-000003000000}"/>
    <hyperlink ref="B27" location="Responsible Persons!A1" display="Responsible Persons!A1" xr:uid="{00000000-0004-0000-0000-000004000000}"/>
    <hyperlink ref="B28" location="Import &amp; Export!A1" display="Import &amp; Export!A1" xr:uid="{00000000-0004-0000-0000-000005000000}"/>
    <hyperlink ref="B29" location="Reference Values!A1" display="Reference Values!A1" xr:uid="{00000000-0004-0000-0000-000006000000}"/>
  </hyperlink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E34"/>
  <sheetViews>
    <sheetView showGridLines="0" workbookViewId="0"/>
  </sheetViews>
  <sheetFormatPr defaultRowHeight="15" x14ac:dyDescent="0.25"/>
  <cols>
    <col min="1" max="1" width="2" customWidth="1"/>
    <col min="2" max="2" width="22" customWidth="1"/>
    <col min="3" max="3" width="4" customWidth="1"/>
    <col min="4" max="4" width="58" customWidth="1"/>
    <col min="5" max="5" width="8" customWidth="1"/>
  </cols>
  <sheetData>
    <row r="1" spans="1:5" ht="51.95" customHeight="1" x14ac:dyDescent="0.25">
      <c r="A1" s="87" t="str">
        <f>IFERROR(INDEX(_Lang!$B$2:$D$300,MATCH("info_title",_Lang!$A$2:$A$300,0),IF(Config!$D$9="NL",1,IF(Config!$D$9="FR",2,3))),"[info_title]")</f>
        <v>Over dit instrument</v>
      </c>
      <c r="B1" s="85"/>
      <c r="C1" s="85"/>
      <c r="D1" s="85"/>
      <c r="E1" s="85"/>
    </row>
    <row r="2" spans="1:5" ht="21.95" customHeight="1" x14ac:dyDescent="0.25">
      <c r="A2" s="90" t="str">
        <f>IFERROR(INDEX(_Lang!$B$2:$D$300,MATCH("app_tagline",_Lang!$A$2:$A$300,0),IF(Config!$D$9="NL",1,IF(Config!$D$9="FR",2,3))),"[app_tagline]")</f>
        <v>Governance · Risico · Compliance</v>
      </c>
      <c r="B2" s="85"/>
      <c r="C2" s="85"/>
      <c r="D2" s="85"/>
      <c r="E2" s="85"/>
    </row>
    <row r="3" spans="1:5" ht="12" customHeight="1" x14ac:dyDescent="0.25"/>
    <row r="4" spans="1:5" ht="20.100000000000001" customHeight="1" x14ac:dyDescent="0.25">
      <c r="B4" s="84" t="str">
        <f>IFERROR(INDEX(_Lang!$B$2:$D$300,MATCH("info_section_doel",_Lang!$A$2:$A$300,0),IF(Config!$D$9="NL",1,IF(Config!$D$9="FR",2,3))),"[info_section_doel]")</f>
        <v>DOEL</v>
      </c>
      <c r="C4" s="85"/>
      <c r="D4" s="85"/>
      <c r="E4" s="85"/>
    </row>
    <row r="5" spans="1:5" ht="60" customHeight="1" x14ac:dyDescent="0.25">
      <c r="B5" s="95" t="str">
        <f>IFERROR(INDEX(_Lang!$B$2:$D$300,MATCH("info_doel_txt",_Lang!$A$2:$A$300,0),IF(Config!$D$9="NL",1,IF(Config!$D$9="FR",2,3))),"[info_doel_txt]")</f>
        <v>Deze GRC-tool ondersteunt overheidsorganisaties bij het systematisch beheren van informatieveiligheid. Processen en informatieassets worden geclassificeerd op integriteit, beschikbaarheid en confidentialiteit (5 niveaus: Laag → Kritiek).</v>
      </c>
      <c r="C5" s="85"/>
      <c r="D5" s="85"/>
    </row>
    <row r="6" spans="1:5" ht="8.1" customHeight="1" x14ac:dyDescent="0.25"/>
    <row r="7" spans="1:5" ht="20.100000000000001" customHeight="1" x14ac:dyDescent="0.25">
      <c r="B7" s="84" t="str">
        <f>IFERROR(INDEX(_Lang!$B$2:$D$300,MATCH("info_section_scope",_Lang!$A$2:$A$300,0),IF(Config!$D$9="NL",1,IF(Config!$D$9="FR",2,3))),"[info_section_scope]")</f>
        <v>TOEPASSINGSGEBIED</v>
      </c>
      <c r="C7" s="85"/>
      <c r="D7" s="85"/>
      <c r="E7" s="85"/>
    </row>
    <row r="8" spans="1:5" ht="44.1" customHeight="1" x14ac:dyDescent="0.25">
      <c r="B8" s="95" t="str">
        <f>IFERROR(INDEX(_Lang!$B$2:$D$300,MATCH("info_scope_txt",_Lang!$A$2:$A$300,0),IF(Config!$D$9="NL",1,IF(Config!$D$9="FR",2,3))),"[info_scope_txt]")</f>
        <v>Gericht op Belgische en Nederlandse overheidsdiensten (NIS2, GDPR, ISO 27001:2022, BIO).</v>
      </c>
      <c r="C8" s="85"/>
      <c r="D8" s="85"/>
    </row>
    <row r="9" spans="1:5" ht="8.1" customHeight="1" x14ac:dyDescent="0.25"/>
    <row r="10" spans="1:5" ht="20.100000000000001" customHeight="1" x14ac:dyDescent="0.25">
      <c r="B10" s="84" t="str">
        <f>IFERROR(INDEX(_Lang!$B$2:$D$300,MATCH("info_section_modules",_Lang!$A$2:$A$300,0),IF(Config!$D$9="NL",1,IF(Config!$D$9="FR",2,3))),"[info_section_modules]")</f>
        <v>MODULES IN DEZE VERSIE</v>
      </c>
      <c r="C10" s="85"/>
      <c r="D10" s="85"/>
      <c r="E10" s="85"/>
    </row>
    <row r="11" spans="1:5" ht="27.95" customHeight="1" x14ac:dyDescent="0.25">
      <c r="B11" s="93" t="str">
        <f>IFERROR(INDEX(_Lang!$B$2:$D$300,MATCH("info_mod_proc",_Lang!$A$2:$A$300,0),IF(Config!$D$9="NL",1,IF(Config!$D$9="FR",2,3))),"[info_mod_proc]")</f>
        <v>Processen — Classificeer bedrijfsprocessen op I · B · C.</v>
      </c>
      <c r="C11" s="85"/>
      <c r="D11" s="85"/>
    </row>
    <row r="12" spans="1:5" ht="27.95" customHeight="1" x14ac:dyDescent="0.25">
      <c r="B12" s="93" t="str">
        <f>IFERROR(INDEX(_Lang!$B$2:$D$300,MATCH("info_mod_assets",_Lang!$A$2:$A$300,0),IF(Config!$D$9="NL",1,IF(Config!$D$9="FR",2,3))),"[info_mod_assets]")</f>
        <v>Informatieassets — Classificeer informatieactiva op I · B · C.</v>
      </c>
      <c r="C12" s="85"/>
      <c r="D12" s="85"/>
    </row>
    <row r="13" spans="1:5" ht="27.95" customHeight="1" x14ac:dyDescent="0.25">
      <c r="B13" s="93" t="str">
        <f>IFERROR(INDEX(_Lang!$B$2:$D$300,MATCH("info_mod_verant",_Lang!$A$2:$A$300,0),IF(Config!$D$9="NL",1,IF(Config!$D$9="FR",2,3))),"[info_mod_verant]")</f>
        <v>Verantwoordelijken — Contactregister van GRC-verantwoordelijken.</v>
      </c>
      <c r="C13" s="85"/>
      <c r="D13" s="85"/>
    </row>
    <row r="14" spans="1:5" ht="27.95" customHeight="1" x14ac:dyDescent="0.25">
      <c r="B14" s="93" t="str">
        <f>IFERROR(INDEX(_Lang!$B$2:$D$300,MATCH("info_mod_import",_Lang!$A$2:$A$300,0),IF(Config!$D$9="NL",1,IF(Config!$D$9="FR",2,3))),"[info_mod_import]")</f>
        <v>Import &amp; Export — Macro's om gegevens te importeren uit externe bestanden.</v>
      </c>
      <c r="C14" s="85"/>
      <c r="D14" s="85"/>
    </row>
    <row r="15" spans="1:5" ht="8.1" customHeight="1" x14ac:dyDescent="0.25"/>
    <row r="16" spans="1:5" ht="20.100000000000001" customHeight="1" x14ac:dyDescent="0.25">
      <c r="B16" s="84" t="str">
        <f>IFERROR(INDEX(_Lang!$B$2:$D$300,MATCH("info_section_guide",_Lang!$A$2:$A$300,0),IF(Config!$D$9="NL",1,IF(Config!$D$9="FR",2,3))),"[info_section_guide]")</f>
        <v>HOE GEBRUIKEN</v>
      </c>
      <c r="C16" s="85"/>
      <c r="D16" s="85"/>
      <c r="E16" s="85"/>
    </row>
    <row r="17" spans="2:5" ht="27.95" customHeight="1" x14ac:dyDescent="0.25">
      <c r="B17" s="96" t="str">
        <f>IFERROR(INDEX(_Lang!$B$2:$D$300,MATCH("info_guide_1",_Lang!$A$2:$A$300,0),IF(Config!$D$9="NL",1,IF(Config!$D$9="FR",2,3))),"[info_guide_1]")</f>
        <v>1. Configuratie: vul de naam van de instelling in en kies de taal (NL / FR / EN).</v>
      </c>
      <c r="C17" s="85"/>
      <c r="D17" s="85"/>
    </row>
    <row r="18" spans="2:5" ht="27.95" customHeight="1" x14ac:dyDescent="0.25">
      <c r="B18" s="96" t="str">
        <f>IFERROR(INDEX(_Lang!$B$2:$D$300,MATCH("info_guide_2",_Lang!$A$2:$A$300,0),IF(Config!$D$9="NL",1,IF(Config!$D$9="FR",2,3))),"[info_guide_2]")</f>
        <v>2. Referentiewaarden: raadpleeg de definitie van elk classificatieniveau (1–5).</v>
      </c>
      <c r="C18" s="85"/>
      <c r="D18" s="85"/>
    </row>
    <row r="19" spans="2:5" ht="27.95" customHeight="1" x14ac:dyDescent="0.25">
      <c r="B19" s="96" t="str">
        <f>IFERROR(INDEX(_Lang!$B$2:$D$300,MATCH("info_guide_3",_Lang!$A$2:$A$300,0),IF(Config!$D$9="NL",1,IF(Config!$D$9="FR",2,3))),"[info_guide_3]")</f>
        <v>3. Processen &amp; Informatieassets: vul de gegevens in. Kies niveau 1–5 per dimensie.</v>
      </c>
      <c r="C19" s="85"/>
      <c r="D19" s="85"/>
    </row>
    <row r="20" spans="2:5" ht="27.95" customHeight="1" x14ac:dyDescent="0.25">
      <c r="B20" s="96" t="str">
        <f>IFERROR(INDEX(_Lang!$B$2:$D$300,MATCH("info_guide_4",_Lang!$A$2:$A$300,0),IF(Config!$D$9="NL",1,IF(Config!$D$9="FR",2,3))),"[info_guide_4]")</f>
        <v>4. Import &amp; Export: gebruik de macro's om gegevens in bulk te importeren.</v>
      </c>
      <c r="C20" s="85"/>
      <c r="D20" s="85"/>
    </row>
    <row r="21" spans="2:5" ht="8.1" customHeight="1" x14ac:dyDescent="0.25"/>
    <row r="22" spans="2:5" ht="20.100000000000001" customHeight="1" x14ac:dyDescent="0.25">
      <c r="B22" s="84" t="str">
        <f>IFERROR(INDEX(_Lang!$B$2:$D$300,MATCH("info_section_version",_Lang!$A$2:$A$300,0),IF(Config!$D$9="NL",1,IF(Config!$D$9="FR",2,3))),"[info_section_version]")</f>
        <v>VERSIE-INFORMATIE</v>
      </c>
      <c r="C22" s="85"/>
      <c r="D22" s="85"/>
      <c r="E22" s="85"/>
    </row>
    <row r="23" spans="2:5" ht="21.95" customHeight="1" x14ac:dyDescent="0.25">
      <c r="B23" s="94" t="str">
        <f>IFERROR(INDEX(_Lang!$B$2:$D$300,MATCH("info_v_tool",_Lang!$A$2:$A$300,0),IF(Config!$D$9="NL",1,IF(Config!$D$9="FR",2,3))),"[info_v_tool]")</f>
        <v>GRC Tool v0.3</v>
      </c>
      <c r="C23" s="85"/>
      <c r="D23" s="85"/>
    </row>
    <row r="24" spans="2:5" ht="21.95" customHeight="1" x14ac:dyDescent="0.25">
      <c r="B24" s="94" t="str">
        <f>IFERROR(INDEX(_Lang!$B$2:$D$300,MATCH("info_v_status",_Lang!$A$2:$A$300,0),IF(Config!$D$9="NL",1,IF(Config!$D$9="FR",2,3))),"[info_v_status]")</f>
        <v>Status: Prototype / Fase 3</v>
      </c>
      <c r="C24" s="85"/>
      <c r="D24" s="85"/>
    </row>
    <row r="25" spans="2:5" ht="21.95" customHeight="1" x14ac:dyDescent="0.25">
      <c r="B25" s="94" t="str">
        <f>IFERROR(INDEX(_Lang!$B$2:$D$300,MATCH("info_v_frameworks",_Lang!$A$2:$A$300,0),IF(Config!$D$9="NL",1,IF(Config!$D$9="FR",2,3))),"[info_v_frameworks]")</f>
        <v>Kaders: ISO 27001:2022 · NIS2 · GDPR · BIO</v>
      </c>
      <c r="C25" s="85"/>
      <c r="D25" s="85"/>
    </row>
    <row r="26" spans="2:5" ht="9.9499999999999993" customHeight="1" x14ac:dyDescent="0.25"/>
    <row r="27" spans="2:5" ht="20.100000000000001" customHeight="1" x14ac:dyDescent="0.25">
      <c r="B27" s="91" t="str">
        <f>IFERROR(INDEX(_Lang!$B$2:$D$300,MATCH("ui_quicklinks",_Lang!$A$2:$A$300,0),IF(Config!$D$9="NL",1,IF(Config!$D$9="FR",2,3))),"[ui_quicklinks]")</f>
        <v>SNELKOPPELINGEN</v>
      </c>
      <c r="C27" s="85"/>
      <c r="D27" s="85"/>
      <c r="E27" s="85"/>
    </row>
    <row r="28" spans="2:5" ht="20.100000000000001" customHeight="1" x14ac:dyDescent="0.25">
      <c r="B28" s="86" t="str">
        <f>IFERROR(INDEX(_Lang!$B$2:$D$300,MATCH("ui_goto_config",_Lang!$A$2:$A$300,0),IF(Config!$D$9="NL",1,IF(Config!$D$9="FR",2,3))),"[ui_goto_config]")</f>
        <v>→  Configuratie</v>
      </c>
      <c r="C28" s="85"/>
      <c r="D28" s="85"/>
      <c r="E28" s="85"/>
    </row>
    <row r="29" spans="2:5" ht="20.100000000000001" customHeight="1" x14ac:dyDescent="0.25">
      <c r="B29" s="86" t="str">
        <f>IFERROR(INDEX(_Lang!$B$2:$D$300,MATCH("ui_goto_proc",_Lang!$A$2:$A$300,0),IF(Config!$D$9="NL",1,IF(Config!$D$9="FR",2,3))),"[ui_goto_proc]")</f>
        <v>→  Processen</v>
      </c>
      <c r="C29" s="85"/>
      <c r="D29" s="85"/>
      <c r="E29" s="85"/>
    </row>
    <row r="30" spans="2:5" ht="20.100000000000001" customHeight="1" x14ac:dyDescent="0.25">
      <c r="B30" s="86" t="str">
        <f>IFERROR(INDEX(_Lang!$B$2:$D$300,MATCH("ui_goto_assets",_Lang!$A$2:$A$300,0),IF(Config!$D$9="NL",1,IF(Config!$D$9="FR",2,3))),"[ui_goto_assets]")</f>
        <v>→  Informatieassets</v>
      </c>
      <c r="C30" s="85"/>
      <c r="D30" s="85"/>
      <c r="E30" s="85"/>
    </row>
    <row r="31" spans="2:5" ht="20.100000000000001" customHeight="1" x14ac:dyDescent="0.25">
      <c r="B31" s="86" t="str">
        <f>IFERROR(INDEX(_Lang!$B$2:$D$300,MATCH("ui_goto_dep",_Lang!$A$2:$A$300,0),IF(Config!$D$9="NL",1,IF(Config!$D$9="FR",2,3))),"[ui_goto_dep]")</f>
        <v>→  Dependent Assets</v>
      </c>
      <c r="C31" s="85"/>
      <c r="D31" s="85"/>
      <c r="E31" s="85"/>
    </row>
    <row r="32" spans="2:5" ht="20.100000000000001" customHeight="1" x14ac:dyDescent="0.25">
      <c r="B32" s="86" t="str">
        <f>IFERROR(INDEX(_Lang!$B$2:$D$300,MATCH("ui_goto_verant",_Lang!$A$2:$A$300,0),IF(Config!$D$9="NL",1,IF(Config!$D$9="FR",2,3))),"[ui_goto_verant]")</f>
        <v>→  Verantwoordelijken</v>
      </c>
      <c r="C32" s="85"/>
      <c r="D32" s="85"/>
      <c r="E32" s="85"/>
    </row>
    <row r="33" spans="2:5" ht="20.100000000000001" customHeight="1" x14ac:dyDescent="0.25">
      <c r="B33" s="86" t="str">
        <f>IFERROR(INDEX(_Lang!$B$2:$D$300,MATCH("ui_goto_import",_Lang!$A$2:$A$300,0),IF(Config!$D$9="NL",1,IF(Config!$D$9="FR",2,3))),"[ui_goto_import]")</f>
        <v>→  Import &amp; Export</v>
      </c>
      <c r="C33" s="85"/>
      <c r="D33" s="85"/>
      <c r="E33" s="85"/>
    </row>
    <row r="34" spans="2:5" ht="20.100000000000001" customHeight="1" x14ac:dyDescent="0.25">
      <c r="B34" s="86" t="str">
        <f>IFERROR(INDEX(_Lang!$B$2:$D$300,MATCH("ui_goto_ref",_Lang!$A$2:$A$300,0),IF(Config!$D$9="NL",1,IF(Config!$D$9="FR",2,3))),"[ui_goto_ref]")</f>
        <v>→  Referentiewaarden</v>
      </c>
      <c r="C34" s="85"/>
      <c r="D34" s="85"/>
      <c r="E34" s="85"/>
    </row>
  </sheetData>
  <mergeCells count="28">
    <mergeCell ref="B34:E34"/>
    <mergeCell ref="B12:D12"/>
    <mergeCell ref="B10:E10"/>
    <mergeCell ref="B28:E28"/>
    <mergeCell ref="A1:E1"/>
    <mergeCell ref="B33:E33"/>
    <mergeCell ref="B32:E32"/>
    <mergeCell ref="B19:D19"/>
    <mergeCell ref="B4:E4"/>
    <mergeCell ref="B16:E16"/>
    <mergeCell ref="B7:E7"/>
    <mergeCell ref="B24:D24"/>
    <mergeCell ref="B22:E22"/>
    <mergeCell ref="B20:D20"/>
    <mergeCell ref="B31:E31"/>
    <mergeCell ref="B27:E27"/>
    <mergeCell ref="B5:D5"/>
    <mergeCell ref="A2:E2"/>
    <mergeCell ref="B25:D25"/>
    <mergeCell ref="B18:D18"/>
    <mergeCell ref="B11:D11"/>
    <mergeCell ref="B14:D14"/>
    <mergeCell ref="B23:D23"/>
    <mergeCell ref="B8:D8"/>
    <mergeCell ref="B30:E30"/>
    <mergeCell ref="B17:D17"/>
    <mergeCell ref="B13:D13"/>
    <mergeCell ref="B29:E29"/>
  </mergeCells>
  <hyperlinks>
    <hyperlink ref="B28" location="Config!A1" display="Config!A1" xr:uid="{00000000-0004-0000-0100-000000000000}"/>
    <hyperlink ref="B29" location="Processes!A1" display="Processes!A1" xr:uid="{00000000-0004-0000-0100-000001000000}"/>
    <hyperlink ref="B30" location="Information Assets!A1" display="Information Assets!A1" xr:uid="{00000000-0004-0000-0100-000002000000}"/>
    <hyperlink ref="B31" location="Dependent Assets!A1" display="Dependent Assets!A1" xr:uid="{00000000-0004-0000-0100-000003000000}"/>
    <hyperlink ref="B32" location="Responsible Persons!A1" display="Responsible Persons!A1" xr:uid="{00000000-0004-0000-0100-000004000000}"/>
    <hyperlink ref="B33" location="Import &amp; Export!A1" display="Import &amp; Export!A1" xr:uid="{00000000-0004-0000-0100-000005000000}"/>
    <hyperlink ref="B34" location="Reference Values!A1" display="Reference Values!A1" xr:uid="{00000000-0004-0000-0100-000006000000}"/>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L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6" customWidth="1"/>
    <col min="4" max="4" width="18" customWidth="1"/>
    <col min="5" max="5" width="16" customWidth="1"/>
    <col min="6" max="6" width="4" customWidth="1"/>
    <col min="7" max="7" width="15" customWidth="1"/>
    <col min="8" max="8" width="4" customWidth="1"/>
    <col min="9" max="9" width="15" customWidth="1"/>
    <col min="10" max="10" width="26" customWidth="1"/>
    <col min="11" max="12" width="35" customWidth="1"/>
  </cols>
  <sheetData>
    <row r="1" spans="1:12" ht="51.95" customHeight="1" x14ac:dyDescent="0.25">
      <c r="A1" s="87" t="str">
        <f>IFERROR(INDEX(_Lang!$B$2:$D$300,MATCH("proc_title",_Lang!$A$2:$A$300,0),IF(Config!$D$9="NL",1,IF(Config!$D$9="FR",2,3))),"[proc_title]")</f>
        <v>Processen</v>
      </c>
      <c r="B1" s="85"/>
      <c r="C1" s="85"/>
      <c r="D1" s="85"/>
      <c r="E1" s="85"/>
      <c r="F1" s="85"/>
      <c r="G1" s="85"/>
      <c r="H1" s="85"/>
      <c r="I1" s="85"/>
      <c r="J1" s="85"/>
      <c r="K1" s="85"/>
      <c r="L1" s="85"/>
    </row>
    <row r="2" spans="1:12" ht="21.95" customHeight="1" x14ac:dyDescent="0.25">
      <c r="A2" s="90" t="str">
        <f>IFERROR(INDEX(_Lang!$B$2:$D$300,MATCH("app_tagline",_Lang!$A$2:$A$300,0),IF(Config!$D$9="NL",1,IF(Config!$D$9="FR",2,3))),"[app_tagline]")</f>
        <v>Governance · Risico · Compliance</v>
      </c>
      <c r="B2" s="85"/>
      <c r="C2" s="85"/>
      <c r="D2" s="85"/>
      <c r="E2" s="85"/>
      <c r="F2" s="85"/>
      <c r="G2" s="85"/>
      <c r="H2" s="85"/>
      <c r="I2" s="85"/>
      <c r="J2" s="85"/>
      <c r="K2" s="85"/>
      <c r="L2" s="85"/>
    </row>
    <row r="3" spans="1:12" ht="21.95" customHeight="1" x14ac:dyDescent="0.25">
      <c r="A3" s="98" t="str">
        <f>IFERROR(INDEX(_Lang!$B$2:$D$300,MATCH("proc_subtitle",_Lang!$A$2:$A$300,0),IF(Config!$D$9="NL",1,IF(Config!$D$9="FR",2,3))),"[proc_subtitle]")</f>
        <v>Voer de bedrijfsprocessen in en ken de veiligheidclassificatie toe (1 = Laag … 5 = Kritiek).</v>
      </c>
      <c r="B3" s="85"/>
      <c r="C3" s="85"/>
      <c r="D3" s="85"/>
      <c r="E3" s="85"/>
      <c r="F3" s="85"/>
      <c r="G3" s="85"/>
      <c r="H3" s="85"/>
      <c r="I3" s="85"/>
      <c r="J3" s="85"/>
      <c r="K3" s="85"/>
      <c r="L3" s="85"/>
    </row>
    <row r="4" spans="1:12" ht="8.1" customHeight="1" x14ac:dyDescent="0.25"/>
    <row r="5" spans="1:12" ht="44.1" customHeight="1" x14ac:dyDescent="0.25">
      <c r="A5" s="5" t="str">
        <f>IFERROR(INDEX(_Lang!$B$2:$D$300,MATCH("proc_col_id",_Lang!$A$2:$A$300,0),IF(Config!$D$9="NL",1,IF(Config!$D$9="FR",2,3))),"[proc_col_id]")</f>
        <v>ID</v>
      </c>
      <c r="B5" s="5" t="str">
        <f>IFERROR(INDEX(_Lang!$B$2:$D$300,MATCH("proc_col_naam",_Lang!$A$2:$A$300,0),IF(Config!$D$9="NL",1,IF(Config!$D$9="FR",2,3))),"[proc_col_naam]")</f>
        <v>Naam</v>
      </c>
      <c r="C5" s="5" t="str">
        <f>IFERROR(INDEX(_Lang!$B$2:$D$300,MATCH("proc_col_omschrijving",_Lang!$A$2:$A$300,0),IF(Config!$D$9="NL",1,IF(Config!$D$9="FR",2,3))),"[proc_col_omschrijving]")</f>
        <v>Omschrijving</v>
      </c>
      <c r="D5" s="5" t="str">
        <f>IFERROR(INDEX(_Lang!$B$2:$D$300,MATCH("proc_col_eigenaar",_Lang!$A$2:$A$300,0),IF(Config!$D$9="NL",1,IF(Config!$D$9="FR",2,3))),"[proc_col_eigenaar]")</f>
        <v>Proceseigenaar</v>
      </c>
      <c r="E5" s="5" t="str">
        <f>IFERROR(INDEX(_Lang!$B$2:$D$300,MATCH("proc_col_dienst",_Lang!$A$2:$A$300,0),IF(Config!$D$9="NL",1,IF(Config!$D$9="FR",2,3))),"[proc_col_dienst]")</f>
        <v>Dienst / Entiteit</v>
      </c>
      <c r="F5" s="97" t="str">
        <f>IFERROR(INDEX(_Lang!$B$2:$D$300,MATCH("proc_col_integriteit",_Lang!$A$2:$A$300,0),IF(Config!$D$9="NL",1,IF(Config!$D$9="FR",2,3))),"[proc_col_integriteit]")</f>
        <v>Integriteit</v>
      </c>
      <c r="G5" s="85"/>
      <c r="H5" s="97" t="str">
        <f>IFERROR(INDEX(_Lang!$B$2:$D$300,MATCH("proc_col_beschikbaar",_Lang!$A$2:$A$300,0),IF(Config!$D$9="NL",1,IF(Config!$D$9="FR",2,3))),"[proc_col_beschikbaar]")</f>
        <v>Beschikbaarheid</v>
      </c>
      <c r="I5" s="85"/>
      <c r="J5" s="5" t="str">
        <f>IFERROR(INDEX(_Lang!$B$2:$D$300,MATCH("proc_col_opmerkingen",_Lang!$A$2:$A$300,0),IF(Config!$D$9="NL",1,IF(Config!$D$9="FR",2,3))),"[proc_col_opmerkingen]")</f>
        <v>Opmerkingen</v>
      </c>
      <c r="K5" s="5" t="str">
        <f>IFERROR(INDEX(_Lang!$B$2:$D$300,MATCH("proc_col_assets",_Lang!$A$2:$A$300,0),IF(Config!$D$9="NL",1,IF(Config!$D$9="FR",2,3))),"[proc_col_assets]")</f>
        <v>Informatieassets</v>
      </c>
      <c r="L5" s="5" t="str">
        <f>IFERROR(INDEX(_Lang!$B$2:$D$300,MATCH("proc_col_dep_assets",_Lang!$A$2:$A$300,0),IF(Config!$D$9="NL",1,IF(Config!$D$9="FR",2,3))),"[proc_col_dep_assets]")</f>
        <v>Afhankelijke assets</v>
      </c>
    </row>
    <row r="6" spans="1:12" ht="24" customHeight="1" x14ac:dyDescent="0.25">
      <c r="A6" s="6" t="str">
        <f>IF(B6="","",TEXT(1,"P000"))</f>
        <v/>
      </c>
      <c r="B6" s="7"/>
      <c r="C6" s="7"/>
      <c r="D6" s="7"/>
      <c r="E6" s="7"/>
      <c r="F6" s="8"/>
      <c r="G6" s="9" t="str">
        <f>IF(F6="","",IFERROR(INDEX('Reference Values'!$B$8:$B$12,F6),"?"))</f>
        <v/>
      </c>
      <c r="H6" s="8"/>
      <c r="I6" s="9" t="str">
        <f>IF(H6="","",IFERROR(INDEX('Reference Values'!$B$8:$B$12,H6),"?"))</f>
        <v/>
      </c>
      <c r="J6" s="7"/>
      <c r="K6" s="7"/>
      <c r="L6" s="7"/>
    </row>
    <row r="7" spans="1:12" ht="24" customHeight="1" x14ac:dyDescent="0.25">
      <c r="A7" s="10" t="str">
        <f>IF(B7="","",TEXT(2,"P000"))</f>
        <v/>
      </c>
      <c r="B7" s="11"/>
      <c r="C7" s="11"/>
      <c r="D7" s="11"/>
      <c r="E7" s="11"/>
      <c r="F7" s="12"/>
      <c r="G7" s="9" t="str">
        <f>IF(F7="","",IFERROR(INDEX('Reference Values'!$B$8:$B$12,F7),"?"))</f>
        <v/>
      </c>
      <c r="H7" s="12"/>
      <c r="I7" s="9" t="str">
        <f>IF(H7="","",IFERROR(INDEX('Reference Values'!$B$8:$B$12,H7),"?"))</f>
        <v/>
      </c>
      <c r="J7" s="11"/>
      <c r="K7" s="11"/>
      <c r="L7" s="11"/>
    </row>
    <row r="8" spans="1:12" ht="24" customHeight="1" x14ac:dyDescent="0.25">
      <c r="A8" s="6" t="str">
        <f>IF(B8="","",TEXT(3,"P000"))</f>
        <v/>
      </c>
      <c r="B8" s="7"/>
      <c r="C8" s="7"/>
      <c r="D8" s="7"/>
      <c r="E8" s="7"/>
      <c r="F8" s="8"/>
      <c r="G8" s="9" t="str">
        <f>IF(F8="","",IFERROR(INDEX('Reference Values'!$B$8:$B$12,F8),"?"))</f>
        <v/>
      </c>
      <c r="H8" s="8"/>
      <c r="I8" s="9" t="str">
        <f>IF(H8="","",IFERROR(INDEX('Reference Values'!$B$8:$B$12,H8),"?"))</f>
        <v/>
      </c>
      <c r="J8" s="7"/>
      <c r="K8" s="7"/>
      <c r="L8" s="7"/>
    </row>
    <row r="9" spans="1:12" ht="24" customHeight="1" x14ac:dyDescent="0.25">
      <c r="A9" s="10" t="str">
        <f>IF(B9="","",TEXT(4,"P000"))</f>
        <v/>
      </c>
      <c r="B9" s="11"/>
      <c r="C9" s="11"/>
      <c r="D9" s="11"/>
      <c r="E9" s="11"/>
      <c r="F9" s="12"/>
      <c r="G9" s="9" t="str">
        <f>IF(F9="","",IFERROR(INDEX('Reference Values'!$B$8:$B$12,F9),"?"))</f>
        <v/>
      </c>
      <c r="H9" s="12"/>
      <c r="I9" s="9" t="str">
        <f>IF(H9="","",IFERROR(INDEX('Reference Values'!$B$8:$B$12,H9),"?"))</f>
        <v/>
      </c>
      <c r="J9" s="11"/>
      <c r="K9" s="11"/>
      <c r="L9" s="11"/>
    </row>
    <row r="10" spans="1:12" ht="24" customHeight="1" x14ac:dyDescent="0.25">
      <c r="A10" s="6" t="str">
        <f>IF(B10="","",TEXT(5,"P000"))</f>
        <v/>
      </c>
      <c r="B10" s="7"/>
      <c r="C10" s="7"/>
      <c r="D10" s="7"/>
      <c r="E10" s="7"/>
      <c r="F10" s="8"/>
      <c r="G10" s="9" t="str">
        <f>IF(F10="","",IFERROR(INDEX('Reference Values'!$B$8:$B$12,F10),"?"))</f>
        <v/>
      </c>
      <c r="H10" s="8"/>
      <c r="I10" s="9" t="str">
        <f>IF(H10="","",IFERROR(INDEX('Reference Values'!$B$8:$B$12,H10),"?"))</f>
        <v/>
      </c>
      <c r="J10" s="7"/>
      <c r="K10" s="7"/>
      <c r="L10" s="7"/>
    </row>
    <row r="11" spans="1:12" ht="24" customHeight="1" x14ac:dyDescent="0.25">
      <c r="A11" s="10" t="str">
        <f>IF(B11="","",TEXT(6,"P000"))</f>
        <v/>
      </c>
      <c r="B11" s="11"/>
      <c r="C11" s="11"/>
      <c r="D11" s="11"/>
      <c r="E11" s="11"/>
      <c r="F11" s="12"/>
      <c r="G11" s="9" t="str">
        <f>IF(F11="","",IFERROR(INDEX('Reference Values'!$B$8:$B$12,F11),"?"))</f>
        <v/>
      </c>
      <c r="H11" s="12"/>
      <c r="I11" s="9" t="str">
        <f>IF(H11="","",IFERROR(INDEX('Reference Values'!$B$8:$B$12,H11),"?"))</f>
        <v/>
      </c>
      <c r="J11" s="11"/>
      <c r="K11" s="11"/>
      <c r="L11" s="11"/>
    </row>
    <row r="12" spans="1:12" ht="24" customHeight="1" x14ac:dyDescent="0.25">
      <c r="A12" s="6" t="str">
        <f>IF(B12="","",TEXT(7,"P000"))</f>
        <v/>
      </c>
      <c r="B12" s="7"/>
      <c r="C12" s="7"/>
      <c r="D12" s="7"/>
      <c r="E12" s="7"/>
      <c r="F12" s="8"/>
      <c r="G12" s="9" t="str">
        <f>IF(F12="","",IFERROR(INDEX('Reference Values'!$B$8:$B$12,F12),"?"))</f>
        <v/>
      </c>
      <c r="H12" s="8"/>
      <c r="I12" s="9" t="str">
        <f>IF(H12="","",IFERROR(INDEX('Reference Values'!$B$8:$B$12,H12),"?"))</f>
        <v/>
      </c>
      <c r="J12" s="7"/>
      <c r="K12" s="7"/>
      <c r="L12" s="7"/>
    </row>
    <row r="13" spans="1:12" ht="24" customHeight="1" x14ac:dyDescent="0.25">
      <c r="A13" s="10" t="str">
        <f>IF(B13="","",TEXT(8,"P000"))</f>
        <v/>
      </c>
      <c r="B13" s="11"/>
      <c r="C13" s="11"/>
      <c r="D13" s="11"/>
      <c r="E13" s="11"/>
      <c r="F13" s="12"/>
      <c r="G13" s="9" t="str">
        <f>IF(F13="","",IFERROR(INDEX('Reference Values'!$B$8:$B$12,F13),"?"))</f>
        <v/>
      </c>
      <c r="H13" s="12"/>
      <c r="I13" s="9" t="str">
        <f>IF(H13="","",IFERROR(INDEX('Reference Values'!$B$8:$B$12,H13),"?"))</f>
        <v/>
      </c>
      <c r="J13" s="11"/>
      <c r="K13" s="11"/>
      <c r="L13" s="11"/>
    </row>
    <row r="14" spans="1:12" ht="24" customHeight="1" x14ac:dyDescent="0.25">
      <c r="A14" s="6" t="str">
        <f>IF(B14="","",TEXT(9,"P000"))</f>
        <v/>
      </c>
      <c r="B14" s="7"/>
      <c r="C14" s="7"/>
      <c r="D14" s="7"/>
      <c r="E14" s="7"/>
      <c r="F14" s="8"/>
      <c r="G14" s="9" t="str">
        <f>IF(F14="","",IFERROR(INDEX('Reference Values'!$B$8:$B$12,F14),"?"))</f>
        <v/>
      </c>
      <c r="H14" s="8"/>
      <c r="I14" s="9" t="str">
        <f>IF(H14="","",IFERROR(INDEX('Reference Values'!$B$8:$B$12,H14),"?"))</f>
        <v/>
      </c>
      <c r="J14" s="7"/>
      <c r="K14" s="7"/>
      <c r="L14" s="7"/>
    </row>
    <row r="15" spans="1:12" ht="24" customHeight="1" x14ac:dyDescent="0.25">
      <c r="A15" s="10" t="str">
        <f>IF(B15="","",TEXT(10,"P000"))</f>
        <v/>
      </c>
      <c r="B15" s="11"/>
      <c r="C15" s="11"/>
      <c r="D15" s="11"/>
      <c r="E15" s="11"/>
      <c r="F15" s="12"/>
      <c r="G15" s="9" t="str">
        <f>IF(F15="","",IFERROR(INDEX('Reference Values'!$B$8:$B$12,F15),"?"))</f>
        <v/>
      </c>
      <c r="H15" s="12"/>
      <c r="I15" s="9" t="str">
        <f>IF(H15="","",IFERROR(INDEX('Reference Values'!$B$8:$B$12,H15),"?"))</f>
        <v/>
      </c>
      <c r="J15" s="11"/>
      <c r="K15" s="11"/>
      <c r="L15" s="11"/>
    </row>
    <row r="16" spans="1:12" ht="24" customHeight="1" x14ac:dyDescent="0.25">
      <c r="A16" s="6" t="str">
        <f>IF(B16="","",TEXT(11,"P000"))</f>
        <v/>
      </c>
      <c r="B16" s="7"/>
      <c r="C16" s="7"/>
      <c r="D16" s="7"/>
      <c r="E16" s="7"/>
      <c r="F16" s="8"/>
      <c r="G16" s="9" t="str">
        <f>IF(F16="","",IFERROR(INDEX('Reference Values'!$B$8:$B$12,F16),"?"))</f>
        <v/>
      </c>
      <c r="H16" s="8"/>
      <c r="I16" s="9" t="str">
        <f>IF(H16="","",IFERROR(INDEX('Reference Values'!$B$8:$B$12,H16),"?"))</f>
        <v/>
      </c>
      <c r="J16" s="7"/>
      <c r="K16" s="7"/>
      <c r="L16" s="7"/>
    </row>
    <row r="17" spans="1:12" ht="24" customHeight="1" x14ac:dyDescent="0.25">
      <c r="A17" s="10" t="str">
        <f>IF(B17="","",TEXT(12,"P000"))</f>
        <v/>
      </c>
      <c r="B17" s="11"/>
      <c r="C17" s="11"/>
      <c r="D17" s="11"/>
      <c r="E17" s="11"/>
      <c r="F17" s="12"/>
      <c r="G17" s="9" t="str">
        <f>IF(F17="","",IFERROR(INDEX('Reference Values'!$B$8:$B$12,F17),"?"))</f>
        <v/>
      </c>
      <c r="H17" s="12"/>
      <c r="I17" s="9" t="str">
        <f>IF(H17="","",IFERROR(INDEX('Reference Values'!$B$8:$B$12,H17),"?"))</f>
        <v/>
      </c>
      <c r="J17" s="11"/>
      <c r="K17" s="11"/>
      <c r="L17" s="11"/>
    </row>
    <row r="18" spans="1:12" ht="24" customHeight="1" x14ac:dyDescent="0.25">
      <c r="A18" s="6" t="str">
        <f>IF(B18="","",TEXT(13,"P000"))</f>
        <v/>
      </c>
      <c r="B18" s="7"/>
      <c r="C18" s="7"/>
      <c r="D18" s="7"/>
      <c r="E18" s="7"/>
      <c r="F18" s="8"/>
      <c r="G18" s="9" t="str">
        <f>IF(F18="","",IFERROR(INDEX('Reference Values'!$B$8:$B$12,F18),"?"))</f>
        <v/>
      </c>
      <c r="H18" s="8"/>
      <c r="I18" s="9" t="str">
        <f>IF(H18="","",IFERROR(INDEX('Reference Values'!$B$8:$B$12,H18),"?"))</f>
        <v/>
      </c>
      <c r="J18" s="7"/>
      <c r="K18" s="7"/>
      <c r="L18" s="7"/>
    </row>
    <row r="19" spans="1:12" ht="24" customHeight="1" x14ac:dyDescent="0.25">
      <c r="A19" s="10" t="str">
        <f>IF(B19="","",TEXT(14,"P000"))</f>
        <v/>
      </c>
      <c r="B19" s="11"/>
      <c r="C19" s="11"/>
      <c r="D19" s="11"/>
      <c r="E19" s="11"/>
      <c r="F19" s="12"/>
      <c r="G19" s="9" t="str">
        <f>IF(F19="","",IFERROR(INDEX('Reference Values'!$B$8:$B$12,F19),"?"))</f>
        <v/>
      </c>
      <c r="H19" s="12"/>
      <c r="I19" s="9" t="str">
        <f>IF(H19="","",IFERROR(INDEX('Reference Values'!$B$8:$B$12,H19),"?"))</f>
        <v/>
      </c>
      <c r="J19" s="11"/>
      <c r="K19" s="11"/>
      <c r="L19" s="11"/>
    </row>
    <row r="20" spans="1:12" ht="24" customHeight="1" x14ac:dyDescent="0.25">
      <c r="A20" s="6" t="str">
        <f>IF(B20="","",TEXT(15,"P000"))</f>
        <v/>
      </c>
      <c r="B20" s="7"/>
      <c r="C20" s="7"/>
      <c r="D20" s="7"/>
      <c r="E20" s="7"/>
      <c r="F20" s="8"/>
      <c r="G20" s="9" t="str">
        <f>IF(F20="","",IFERROR(INDEX('Reference Values'!$B$8:$B$12,F20),"?"))</f>
        <v/>
      </c>
      <c r="H20" s="8"/>
      <c r="I20" s="9" t="str">
        <f>IF(H20="","",IFERROR(INDEX('Reference Values'!$B$8:$B$12,H20),"?"))</f>
        <v/>
      </c>
      <c r="J20" s="7"/>
      <c r="K20" s="7"/>
      <c r="L20" s="7"/>
    </row>
    <row r="21" spans="1:12" ht="24" customHeight="1" x14ac:dyDescent="0.25">
      <c r="A21" s="10" t="str">
        <f>IF(B21="","",TEXT(16,"P000"))</f>
        <v/>
      </c>
      <c r="B21" s="11"/>
      <c r="C21" s="11"/>
      <c r="D21" s="11"/>
      <c r="E21" s="11"/>
      <c r="F21" s="12"/>
      <c r="G21" s="9" t="str">
        <f>IF(F21="","",IFERROR(INDEX('Reference Values'!$B$8:$B$12,F21),"?"))</f>
        <v/>
      </c>
      <c r="H21" s="12"/>
      <c r="I21" s="9" t="str">
        <f>IF(H21="","",IFERROR(INDEX('Reference Values'!$B$8:$B$12,H21),"?"))</f>
        <v/>
      </c>
      <c r="J21" s="11"/>
      <c r="K21" s="11"/>
      <c r="L21" s="11"/>
    </row>
    <row r="22" spans="1:12" ht="24" customHeight="1" x14ac:dyDescent="0.25">
      <c r="A22" s="6" t="str">
        <f>IF(B22="","",TEXT(17,"P000"))</f>
        <v/>
      </c>
      <c r="B22" s="7"/>
      <c r="C22" s="7"/>
      <c r="D22" s="7"/>
      <c r="E22" s="7"/>
      <c r="F22" s="8"/>
      <c r="G22" s="9" t="str">
        <f>IF(F22="","",IFERROR(INDEX('Reference Values'!$B$8:$B$12,F22),"?"))</f>
        <v/>
      </c>
      <c r="H22" s="8"/>
      <c r="I22" s="9" t="str">
        <f>IF(H22="","",IFERROR(INDEX('Reference Values'!$B$8:$B$12,H22),"?"))</f>
        <v/>
      </c>
      <c r="J22" s="7"/>
      <c r="K22" s="7"/>
      <c r="L22" s="7"/>
    </row>
    <row r="23" spans="1:12" ht="24" customHeight="1" x14ac:dyDescent="0.25">
      <c r="A23" s="10" t="str">
        <f>IF(B23="","",TEXT(18,"P000"))</f>
        <v/>
      </c>
      <c r="B23" s="11"/>
      <c r="C23" s="11"/>
      <c r="D23" s="11"/>
      <c r="E23" s="11"/>
      <c r="F23" s="12"/>
      <c r="G23" s="9" t="str">
        <f>IF(F23="","",IFERROR(INDEX('Reference Values'!$B$8:$B$12,F23),"?"))</f>
        <v/>
      </c>
      <c r="H23" s="12"/>
      <c r="I23" s="9" t="str">
        <f>IF(H23="","",IFERROR(INDEX('Reference Values'!$B$8:$B$12,H23),"?"))</f>
        <v/>
      </c>
      <c r="J23" s="11"/>
      <c r="K23" s="11"/>
      <c r="L23" s="11"/>
    </row>
    <row r="24" spans="1:12" ht="24" customHeight="1" x14ac:dyDescent="0.25">
      <c r="A24" s="6" t="str">
        <f>IF(B24="","",TEXT(19,"P000"))</f>
        <v/>
      </c>
      <c r="B24" s="7"/>
      <c r="C24" s="7"/>
      <c r="D24" s="7"/>
      <c r="E24" s="7"/>
      <c r="F24" s="8"/>
      <c r="G24" s="9" t="str">
        <f>IF(F24="","",IFERROR(INDEX('Reference Values'!$B$8:$B$12,F24),"?"))</f>
        <v/>
      </c>
      <c r="H24" s="8"/>
      <c r="I24" s="9" t="str">
        <f>IF(H24="","",IFERROR(INDEX('Reference Values'!$B$8:$B$12,H24),"?"))</f>
        <v/>
      </c>
      <c r="J24" s="7"/>
      <c r="K24" s="7"/>
      <c r="L24" s="7"/>
    </row>
    <row r="25" spans="1:12" ht="24" customHeight="1" x14ac:dyDescent="0.25">
      <c r="A25" s="10" t="str">
        <f>IF(B25="","",TEXT(20,"P000"))</f>
        <v/>
      </c>
      <c r="B25" s="11"/>
      <c r="C25" s="11"/>
      <c r="D25" s="11"/>
      <c r="E25" s="11"/>
      <c r="F25" s="12"/>
      <c r="G25" s="9" t="str">
        <f>IF(F25="","",IFERROR(INDEX('Reference Values'!$B$8:$B$12,F25),"?"))</f>
        <v/>
      </c>
      <c r="H25" s="12"/>
      <c r="I25" s="9" t="str">
        <f>IF(H25="","",IFERROR(INDEX('Reference Values'!$B$8:$B$12,H25),"?"))</f>
        <v/>
      </c>
      <c r="J25" s="11"/>
      <c r="K25" s="11"/>
      <c r="L25" s="11"/>
    </row>
    <row r="26" spans="1:12" ht="24" customHeight="1" x14ac:dyDescent="0.25">
      <c r="A26" s="6" t="str">
        <f>IF(B26="","",TEXT(21,"P000"))</f>
        <v/>
      </c>
      <c r="B26" s="7"/>
      <c r="C26" s="7"/>
      <c r="D26" s="7"/>
      <c r="E26" s="7"/>
      <c r="F26" s="8"/>
      <c r="G26" s="9" t="str">
        <f>IF(F26="","",IFERROR(INDEX('Reference Values'!$B$8:$B$12,F26),"?"))</f>
        <v/>
      </c>
      <c r="H26" s="8"/>
      <c r="I26" s="9" t="str">
        <f>IF(H26="","",IFERROR(INDEX('Reference Values'!$B$8:$B$12,H26),"?"))</f>
        <v/>
      </c>
      <c r="J26" s="7"/>
      <c r="K26" s="7"/>
      <c r="L26" s="7"/>
    </row>
    <row r="27" spans="1:12" ht="24" customHeight="1" x14ac:dyDescent="0.25">
      <c r="A27" s="10" t="str">
        <f>IF(B27="","",TEXT(22,"P000"))</f>
        <v/>
      </c>
      <c r="B27" s="11"/>
      <c r="C27" s="11"/>
      <c r="D27" s="11"/>
      <c r="E27" s="11"/>
      <c r="F27" s="12"/>
      <c r="G27" s="9" t="str">
        <f>IF(F27="","",IFERROR(INDEX('Reference Values'!$B$8:$B$12,F27),"?"))</f>
        <v/>
      </c>
      <c r="H27" s="12"/>
      <c r="I27" s="9" t="str">
        <f>IF(H27="","",IFERROR(INDEX('Reference Values'!$B$8:$B$12,H27),"?"))</f>
        <v/>
      </c>
      <c r="J27" s="11"/>
      <c r="K27" s="11"/>
      <c r="L27" s="11"/>
    </row>
    <row r="28" spans="1:12" ht="24" customHeight="1" x14ac:dyDescent="0.25">
      <c r="A28" s="6" t="str">
        <f>IF(B28="","",TEXT(23,"P000"))</f>
        <v/>
      </c>
      <c r="B28" s="7"/>
      <c r="C28" s="7"/>
      <c r="D28" s="7"/>
      <c r="E28" s="7"/>
      <c r="F28" s="8"/>
      <c r="G28" s="9" t="str">
        <f>IF(F28="","",IFERROR(INDEX('Reference Values'!$B$8:$B$12,F28),"?"))</f>
        <v/>
      </c>
      <c r="H28" s="8"/>
      <c r="I28" s="9" t="str">
        <f>IF(H28="","",IFERROR(INDEX('Reference Values'!$B$8:$B$12,H28),"?"))</f>
        <v/>
      </c>
      <c r="J28" s="7"/>
      <c r="K28" s="7"/>
      <c r="L28" s="7"/>
    </row>
    <row r="29" spans="1:12" ht="24" customHeight="1" x14ac:dyDescent="0.25">
      <c r="A29" s="10" t="str">
        <f>IF(B29="","",TEXT(24,"P000"))</f>
        <v/>
      </c>
      <c r="B29" s="11"/>
      <c r="C29" s="11"/>
      <c r="D29" s="11"/>
      <c r="E29" s="11"/>
      <c r="F29" s="12"/>
      <c r="G29" s="9" t="str">
        <f>IF(F29="","",IFERROR(INDEX('Reference Values'!$B$8:$B$12,F29),"?"))</f>
        <v/>
      </c>
      <c r="H29" s="12"/>
      <c r="I29" s="9" t="str">
        <f>IF(H29="","",IFERROR(INDEX('Reference Values'!$B$8:$B$12,H29),"?"))</f>
        <v/>
      </c>
      <c r="J29" s="11"/>
      <c r="K29" s="11"/>
      <c r="L29" s="11"/>
    </row>
    <row r="30" spans="1:12" ht="24" customHeight="1" x14ac:dyDescent="0.25">
      <c r="A30" s="6" t="str">
        <f>IF(B30="","",TEXT(25,"P000"))</f>
        <v/>
      </c>
      <c r="B30" s="7"/>
      <c r="C30" s="7"/>
      <c r="D30" s="7"/>
      <c r="E30" s="7"/>
      <c r="F30" s="8"/>
      <c r="G30" s="9" t="str">
        <f>IF(F30="","",IFERROR(INDEX('Reference Values'!$B$8:$B$12,F30),"?"))</f>
        <v/>
      </c>
      <c r="H30" s="8"/>
      <c r="I30" s="9" t="str">
        <f>IF(H30="","",IFERROR(INDEX('Reference Values'!$B$8:$B$12,H30),"?"))</f>
        <v/>
      </c>
      <c r="J30" s="7"/>
      <c r="K30" s="7"/>
      <c r="L30" s="7"/>
    </row>
    <row r="31" spans="1:12" ht="24" customHeight="1" x14ac:dyDescent="0.25">
      <c r="A31" s="10" t="str">
        <f>IF(B31="","",TEXT(26,"P000"))</f>
        <v/>
      </c>
      <c r="B31" s="11"/>
      <c r="C31" s="11"/>
      <c r="D31" s="11"/>
      <c r="E31" s="11"/>
      <c r="F31" s="12"/>
      <c r="G31" s="9" t="str">
        <f>IF(F31="","",IFERROR(INDEX('Reference Values'!$B$8:$B$12,F31),"?"))</f>
        <v/>
      </c>
      <c r="H31" s="12"/>
      <c r="I31" s="9" t="str">
        <f>IF(H31="","",IFERROR(INDEX('Reference Values'!$B$8:$B$12,H31),"?"))</f>
        <v/>
      </c>
      <c r="J31" s="11"/>
      <c r="K31" s="11"/>
      <c r="L31" s="11"/>
    </row>
    <row r="32" spans="1:12" ht="24" customHeight="1" x14ac:dyDescent="0.25">
      <c r="A32" s="6" t="str">
        <f>IF(B32="","",TEXT(27,"P000"))</f>
        <v/>
      </c>
      <c r="B32" s="7"/>
      <c r="C32" s="7"/>
      <c r="D32" s="7"/>
      <c r="E32" s="7"/>
      <c r="F32" s="8"/>
      <c r="G32" s="9" t="str">
        <f>IF(F32="","",IFERROR(INDEX('Reference Values'!$B$8:$B$12,F32),"?"))</f>
        <v/>
      </c>
      <c r="H32" s="8"/>
      <c r="I32" s="9" t="str">
        <f>IF(H32="","",IFERROR(INDEX('Reference Values'!$B$8:$B$12,H32),"?"))</f>
        <v/>
      </c>
      <c r="J32" s="7"/>
      <c r="K32" s="7"/>
      <c r="L32" s="7"/>
    </row>
    <row r="33" spans="1:12" ht="24" customHeight="1" x14ac:dyDescent="0.25">
      <c r="A33" s="10" t="str">
        <f>IF(B33="","",TEXT(28,"P000"))</f>
        <v/>
      </c>
      <c r="B33" s="11"/>
      <c r="C33" s="11"/>
      <c r="D33" s="11"/>
      <c r="E33" s="11"/>
      <c r="F33" s="12"/>
      <c r="G33" s="9" t="str">
        <f>IF(F33="","",IFERROR(INDEX('Reference Values'!$B$8:$B$12,F33),"?"))</f>
        <v/>
      </c>
      <c r="H33" s="12"/>
      <c r="I33" s="9" t="str">
        <f>IF(H33="","",IFERROR(INDEX('Reference Values'!$B$8:$B$12,H33),"?"))</f>
        <v/>
      </c>
      <c r="J33" s="11"/>
      <c r="K33" s="11"/>
      <c r="L33" s="11"/>
    </row>
    <row r="34" spans="1:12" ht="24" customHeight="1" x14ac:dyDescent="0.25">
      <c r="A34" s="6" t="str">
        <f>IF(B34="","",TEXT(29,"P000"))</f>
        <v/>
      </c>
      <c r="B34" s="7"/>
      <c r="C34" s="7"/>
      <c r="D34" s="7"/>
      <c r="E34" s="7"/>
      <c r="F34" s="8"/>
      <c r="G34" s="9" t="str">
        <f>IF(F34="","",IFERROR(INDEX('Reference Values'!$B$8:$B$12,F34),"?"))</f>
        <v/>
      </c>
      <c r="H34" s="8"/>
      <c r="I34" s="9" t="str">
        <f>IF(H34="","",IFERROR(INDEX('Reference Values'!$B$8:$B$12,H34),"?"))</f>
        <v/>
      </c>
      <c r="J34" s="7"/>
      <c r="K34" s="7"/>
      <c r="L34" s="7"/>
    </row>
    <row r="35" spans="1:12" ht="24" customHeight="1" x14ac:dyDescent="0.25">
      <c r="A35" s="10" t="str">
        <f>IF(B35="","",TEXT(30,"P000"))</f>
        <v/>
      </c>
      <c r="B35" s="11"/>
      <c r="C35" s="11"/>
      <c r="D35" s="11"/>
      <c r="E35" s="11"/>
      <c r="F35" s="12"/>
      <c r="G35" s="9" t="str">
        <f>IF(F35="","",IFERROR(INDEX('Reference Values'!$B$8:$B$12,F35),"?"))</f>
        <v/>
      </c>
      <c r="H35" s="12"/>
      <c r="I35" s="9" t="str">
        <f>IF(H35="","",IFERROR(INDEX('Reference Values'!$B$8:$B$12,H35),"?"))</f>
        <v/>
      </c>
      <c r="J35" s="11"/>
      <c r="K35" s="11"/>
      <c r="L35" s="11"/>
    </row>
    <row r="36" spans="1:12" ht="24" customHeight="1" x14ac:dyDescent="0.25">
      <c r="A36" s="6" t="str">
        <f>IF(B36="","",TEXT(31,"P000"))</f>
        <v/>
      </c>
      <c r="B36" s="7"/>
      <c r="C36" s="7"/>
      <c r="D36" s="7"/>
      <c r="E36" s="7"/>
      <c r="F36" s="8"/>
      <c r="G36" s="9" t="str">
        <f>IF(F36="","",IFERROR(INDEX('Reference Values'!$B$8:$B$12,F36),"?"))</f>
        <v/>
      </c>
      <c r="H36" s="8"/>
      <c r="I36" s="9" t="str">
        <f>IF(H36="","",IFERROR(INDEX('Reference Values'!$B$8:$B$12,H36),"?"))</f>
        <v/>
      </c>
      <c r="J36" s="7"/>
      <c r="K36" s="7"/>
      <c r="L36" s="7"/>
    </row>
    <row r="37" spans="1:12" ht="24" customHeight="1" x14ac:dyDescent="0.25">
      <c r="A37" s="10" t="str">
        <f>IF(B37="","",TEXT(32,"P000"))</f>
        <v/>
      </c>
      <c r="B37" s="11"/>
      <c r="C37" s="11"/>
      <c r="D37" s="11"/>
      <c r="E37" s="11"/>
      <c r="F37" s="12"/>
      <c r="G37" s="9" t="str">
        <f>IF(F37="","",IFERROR(INDEX('Reference Values'!$B$8:$B$12,F37),"?"))</f>
        <v/>
      </c>
      <c r="H37" s="12"/>
      <c r="I37" s="9" t="str">
        <f>IF(H37="","",IFERROR(INDEX('Reference Values'!$B$8:$B$12,H37),"?"))</f>
        <v/>
      </c>
      <c r="J37" s="11"/>
      <c r="K37" s="11"/>
      <c r="L37" s="11"/>
    </row>
    <row r="38" spans="1:12" ht="24" customHeight="1" x14ac:dyDescent="0.25">
      <c r="A38" s="6" t="str">
        <f>IF(B38="","",TEXT(33,"P000"))</f>
        <v/>
      </c>
      <c r="B38" s="7"/>
      <c r="C38" s="7"/>
      <c r="D38" s="7"/>
      <c r="E38" s="7"/>
      <c r="F38" s="8"/>
      <c r="G38" s="9" t="str">
        <f>IF(F38="","",IFERROR(INDEX('Reference Values'!$B$8:$B$12,F38),"?"))</f>
        <v/>
      </c>
      <c r="H38" s="8"/>
      <c r="I38" s="9" t="str">
        <f>IF(H38="","",IFERROR(INDEX('Reference Values'!$B$8:$B$12,H38),"?"))</f>
        <v/>
      </c>
      <c r="J38" s="7"/>
      <c r="K38" s="7"/>
      <c r="L38" s="7"/>
    </row>
    <row r="39" spans="1:12" ht="24" customHeight="1" x14ac:dyDescent="0.25">
      <c r="A39" s="10" t="str">
        <f>IF(B39="","",TEXT(34,"P000"))</f>
        <v/>
      </c>
      <c r="B39" s="11"/>
      <c r="C39" s="11"/>
      <c r="D39" s="11"/>
      <c r="E39" s="11"/>
      <c r="F39" s="12"/>
      <c r="G39" s="9" t="str">
        <f>IF(F39="","",IFERROR(INDEX('Reference Values'!$B$8:$B$12,F39),"?"))</f>
        <v/>
      </c>
      <c r="H39" s="12"/>
      <c r="I39" s="9" t="str">
        <f>IF(H39="","",IFERROR(INDEX('Reference Values'!$B$8:$B$12,H39),"?"))</f>
        <v/>
      </c>
      <c r="J39" s="11"/>
      <c r="K39" s="11"/>
      <c r="L39" s="11"/>
    </row>
    <row r="40" spans="1:12" ht="24" customHeight="1" x14ac:dyDescent="0.25">
      <c r="A40" s="6" t="str">
        <f>IF(B40="","",TEXT(35,"P000"))</f>
        <v/>
      </c>
      <c r="B40" s="7"/>
      <c r="C40" s="7"/>
      <c r="D40" s="7"/>
      <c r="E40" s="7"/>
      <c r="F40" s="8"/>
      <c r="G40" s="9" t="str">
        <f>IF(F40="","",IFERROR(INDEX('Reference Values'!$B$8:$B$12,F40),"?"))</f>
        <v/>
      </c>
      <c r="H40" s="8"/>
      <c r="I40" s="9" t="str">
        <f>IF(H40="","",IFERROR(INDEX('Reference Values'!$B$8:$B$12,H40),"?"))</f>
        <v/>
      </c>
      <c r="J40" s="7"/>
      <c r="K40" s="7"/>
      <c r="L40" s="7"/>
    </row>
    <row r="41" spans="1:12" ht="24" customHeight="1" x14ac:dyDescent="0.25">
      <c r="A41" s="10" t="str">
        <f>IF(B41="","",TEXT(36,"P000"))</f>
        <v/>
      </c>
      <c r="B41" s="11"/>
      <c r="C41" s="11"/>
      <c r="D41" s="11"/>
      <c r="E41" s="11"/>
      <c r="F41" s="12"/>
      <c r="G41" s="9" t="str">
        <f>IF(F41="","",IFERROR(INDEX('Reference Values'!$B$8:$B$12,F41),"?"))</f>
        <v/>
      </c>
      <c r="H41" s="12"/>
      <c r="I41" s="9" t="str">
        <f>IF(H41="","",IFERROR(INDEX('Reference Values'!$B$8:$B$12,H41),"?"))</f>
        <v/>
      </c>
      <c r="J41" s="11"/>
      <c r="K41" s="11"/>
      <c r="L41" s="11"/>
    </row>
    <row r="42" spans="1:12" ht="24" customHeight="1" x14ac:dyDescent="0.25">
      <c r="A42" s="6" t="str">
        <f>IF(B42="","",TEXT(37,"P000"))</f>
        <v/>
      </c>
      <c r="B42" s="7"/>
      <c r="C42" s="7"/>
      <c r="D42" s="7"/>
      <c r="E42" s="7"/>
      <c r="F42" s="8"/>
      <c r="G42" s="9" t="str">
        <f>IF(F42="","",IFERROR(INDEX('Reference Values'!$B$8:$B$12,F42),"?"))</f>
        <v/>
      </c>
      <c r="H42" s="8"/>
      <c r="I42" s="9" t="str">
        <f>IF(H42="","",IFERROR(INDEX('Reference Values'!$B$8:$B$12,H42),"?"))</f>
        <v/>
      </c>
      <c r="J42" s="7"/>
      <c r="K42" s="7"/>
      <c r="L42" s="7"/>
    </row>
    <row r="43" spans="1:12" ht="24" customHeight="1" x14ac:dyDescent="0.25">
      <c r="A43" s="10" t="str">
        <f>IF(B43="","",TEXT(38,"P000"))</f>
        <v/>
      </c>
      <c r="B43" s="11"/>
      <c r="C43" s="11"/>
      <c r="D43" s="11"/>
      <c r="E43" s="11"/>
      <c r="F43" s="12"/>
      <c r="G43" s="9" t="str">
        <f>IF(F43="","",IFERROR(INDEX('Reference Values'!$B$8:$B$12,F43),"?"))</f>
        <v/>
      </c>
      <c r="H43" s="12"/>
      <c r="I43" s="9" t="str">
        <f>IF(H43="","",IFERROR(INDEX('Reference Values'!$B$8:$B$12,H43),"?"))</f>
        <v/>
      </c>
      <c r="J43" s="11"/>
      <c r="K43" s="11"/>
      <c r="L43" s="11"/>
    </row>
    <row r="44" spans="1:12" ht="24" customHeight="1" x14ac:dyDescent="0.25">
      <c r="A44" s="6" t="str">
        <f>IF(B44="","",TEXT(39,"P000"))</f>
        <v/>
      </c>
      <c r="B44" s="7"/>
      <c r="C44" s="7"/>
      <c r="D44" s="7"/>
      <c r="E44" s="7"/>
      <c r="F44" s="8"/>
      <c r="G44" s="9" t="str">
        <f>IF(F44="","",IFERROR(INDEX('Reference Values'!$B$8:$B$12,F44),"?"))</f>
        <v/>
      </c>
      <c r="H44" s="8"/>
      <c r="I44" s="9" t="str">
        <f>IF(H44="","",IFERROR(INDEX('Reference Values'!$B$8:$B$12,H44),"?"))</f>
        <v/>
      </c>
      <c r="J44" s="7"/>
      <c r="K44" s="7"/>
      <c r="L44" s="7"/>
    </row>
    <row r="45" spans="1:12" ht="24" customHeight="1" x14ac:dyDescent="0.25">
      <c r="A45" s="10" t="str">
        <f>IF(B45="","",TEXT(40,"P000"))</f>
        <v/>
      </c>
      <c r="B45" s="11"/>
      <c r="C45" s="11"/>
      <c r="D45" s="11"/>
      <c r="E45" s="11"/>
      <c r="F45" s="12"/>
      <c r="G45" s="9" t="str">
        <f>IF(F45="","",IFERROR(INDEX('Reference Values'!$B$8:$B$12,F45),"?"))</f>
        <v/>
      </c>
      <c r="H45" s="12"/>
      <c r="I45" s="9" t="str">
        <f>IF(H45="","",IFERROR(INDEX('Reference Values'!$B$8:$B$12,H45),"?"))</f>
        <v/>
      </c>
      <c r="J45" s="11"/>
      <c r="K45" s="11"/>
      <c r="L45" s="11"/>
    </row>
    <row r="46" spans="1:12" ht="24" customHeight="1" x14ac:dyDescent="0.25">
      <c r="A46" s="6" t="str">
        <f>IF(B46="","",TEXT(41,"P000"))</f>
        <v/>
      </c>
      <c r="B46" s="7"/>
      <c r="C46" s="7"/>
      <c r="D46" s="7"/>
      <c r="E46" s="7"/>
      <c r="F46" s="8"/>
      <c r="G46" s="9" t="str">
        <f>IF(F46="","",IFERROR(INDEX('Reference Values'!$B$8:$B$12,F46),"?"))</f>
        <v/>
      </c>
      <c r="H46" s="8"/>
      <c r="I46" s="9" t="str">
        <f>IF(H46="","",IFERROR(INDEX('Reference Values'!$B$8:$B$12,H46),"?"))</f>
        <v/>
      </c>
      <c r="J46" s="7"/>
      <c r="K46" s="7"/>
      <c r="L46" s="7"/>
    </row>
    <row r="47" spans="1:12" ht="24" customHeight="1" x14ac:dyDescent="0.25">
      <c r="A47" s="10" t="str">
        <f>IF(B47="","",TEXT(42,"P000"))</f>
        <v/>
      </c>
      <c r="B47" s="11"/>
      <c r="C47" s="11"/>
      <c r="D47" s="11"/>
      <c r="E47" s="11"/>
      <c r="F47" s="12"/>
      <c r="G47" s="9" t="str">
        <f>IF(F47="","",IFERROR(INDEX('Reference Values'!$B$8:$B$12,F47),"?"))</f>
        <v/>
      </c>
      <c r="H47" s="12"/>
      <c r="I47" s="9" t="str">
        <f>IF(H47="","",IFERROR(INDEX('Reference Values'!$B$8:$B$12,H47),"?"))</f>
        <v/>
      </c>
      <c r="J47" s="11"/>
      <c r="K47" s="11"/>
      <c r="L47" s="11"/>
    </row>
    <row r="48" spans="1:12" ht="24" customHeight="1" x14ac:dyDescent="0.25">
      <c r="A48" s="6" t="str">
        <f>IF(B48="","",TEXT(43,"P000"))</f>
        <v/>
      </c>
      <c r="B48" s="7"/>
      <c r="C48" s="7"/>
      <c r="D48" s="7"/>
      <c r="E48" s="7"/>
      <c r="F48" s="8"/>
      <c r="G48" s="9" t="str">
        <f>IF(F48="","",IFERROR(INDEX('Reference Values'!$B$8:$B$12,F48),"?"))</f>
        <v/>
      </c>
      <c r="H48" s="8"/>
      <c r="I48" s="9" t="str">
        <f>IF(H48="","",IFERROR(INDEX('Reference Values'!$B$8:$B$12,H48),"?"))</f>
        <v/>
      </c>
      <c r="J48" s="7"/>
      <c r="K48" s="7"/>
      <c r="L48" s="7"/>
    </row>
    <row r="49" spans="1:12" ht="24" customHeight="1" x14ac:dyDescent="0.25">
      <c r="A49" s="10" t="str">
        <f>IF(B49="","",TEXT(44,"P000"))</f>
        <v/>
      </c>
      <c r="B49" s="11"/>
      <c r="C49" s="11"/>
      <c r="D49" s="11"/>
      <c r="E49" s="11"/>
      <c r="F49" s="12"/>
      <c r="G49" s="9" t="str">
        <f>IF(F49="","",IFERROR(INDEX('Reference Values'!$B$8:$B$12,F49),"?"))</f>
        <v/>
      </c>
      <c r="H49" s="12"/>
      <c r="I49" s="9" t="str">
        <f>IF(H49="","",IFERROR(INDEX('Reference Values'!$B$8:$B$12,H49),"?"))</f>
        <v/>
      </c>
      <c r="J49" s="11"/>
      <c r="K49" s="11"/>
      <c r="L49" s="11"/>
    </row>
    <row r="50" spans="1:12" ht="24" customHeight="1" x14ac:dyDescent="0.25">
      <c r="A50" s="6" t="str">
        <f>IF(B50="","",TEXT(45,"P000"))</f>
        <v/>
      </c>
      <c r="B50" s="7"/>
      <c r="C50" s="7"/>
      <c r="D50" s="7"/>
      <c r="E50" s="7"/>
      <c r="F50" s="8"/>
      <c r="G50" s="9" t="str">
        <f>IF(F50="","",IFERROR(INDEX('Reference Values'!$B$8:$B$12,F50),"?"))</f>
        <v/>
      </c>
      <c r="H50" s="8"/>
      <c r="I50" s="9" t="str">
        <f>IF(H50="","",IFERROR(INDEX('Reference Values'!$B$8:$B$12,H50),"?"))</f>
        <v/>
      </c>
      <c r="J50" s="7"/>
      <c r="K50" s="7"/>
      <c r="L50" s="7"/>
    </row>
    <row r="51" spans="1:12" ht="24" customHeight="1" x14ac:dyDescent="0.25">
      <c r="A51" s="10" t="str">
        <f>IF(B51="","",TEXT(46,"P000"))</f>
        <v/>
      </c>
      <c r="B51" s="11"/>
      <c r="C51" s="11"/>
      <c r="D51" s="11"/>
      <c r="E51" s="11"/>
      <c r="F51" s="12"/>
      <c r="G51" s="9" t="str">
        <f>IF(F51="","",IFERROR(INDEX('Reference Values'!$B$8:$B$12,F51),"?"))</f>
        <v/>
      </c>
      <c r="H51" s="12"/>
      <c r="I51" s="9" t="str">
        <f>IF(H51="","",IFERROR(INDEX('Reference Values'!$B$8:$B$12,H51),"?"))</f>
        <v/>
      </c>
      <c r="J51" s="11"/>
      <c r="K51" s="11"/>
      <c r="L51" s="11"/>
    </row>
    <row r="52" spans="1:12" ht="24" customHeight="1" x14ac:dyDescent="0.25">
      <c r="A52" s="6" t="str">
        <f>IF(B52="","",TEXT(47,"P000"))</f>
        <v/>
      </c>
      <c r="B52" s="7"/>
      <c r="C52" s="7"/>
      <c r="D52" s="7"/>
      <c r="E52" s="7"/>
      <c r="F52" s="8"/>
      <c r="G52" s="9" t="str">
        <f>IF(F52="","",IFERROR(INDEX('Reference Values'!$B$8:$B$12,F52),"?"))</f>
        <v/>
      </c>
      <c r="H52" s="8"/>
      <c r="I52" s="9" t="str">
        <f>IF(H52="","",IFERROR(INDEX('Reference Values'!$B$8:$B$12,H52),"?"))</f>
        <v/>
      </c>
      <c r="J52" s="7"/>
      <c r="K52" s="7"/>
      <c r="L52" s="7"/>
    </row>
    <row r="53" spans="1:12" ht="24" customHeight="1" x14ac:dyDescent="0.25">
      <c r="A53" s="10" t="str">
        <f>IF(B53="","",TEXT(48,"P000"))</f>
        <v/>
      </c>
      <c r="B53" s="11"/>
      <c r="C53" s="11"/>
      <c r="D53" s="11"/>
      <c r="E53" s="11"/>
      <c r="F53" s="12"/>
      <c r="G53" s="9" t="str">
        <f>IF(F53="","",IFERROR(INDEX('Reference Values'!$B$8:$B$12,F53),"?"))</f>
        <v/>
      </c>
      <c r="H53" s="12"/>
      <c r="I53" s="9" t="str">
        <f>IF(H53="","",IFERROR(INDEX('Reference Values'!$B$8:$B$12,H53),"?"))</f>
        <v/>
      </c>
      <c r="J53" s="11"/>
      <c r="K53" s="11"/>
      <c r="L53" s="11"/>
    </row>
    <row r="54" spans="1:12" ht="24" customHeight="1" x14ac:dyDescent="0.25">
      <c r="A54" s="6" t="str">
        <f>IF(B54="","",TEXT(49,"P000"))</f>
        <v/>
      </c>
      <c r="B54" s="7"/>
      <c r="C54" s="7"/>
      <c r="D54" s="7"/>
      <c r="E54" s="7"/>
      <c r="F54" s="8"/>
      <c r="G54" s="9" t="str">
        <f>IF(F54="","",IFERROR(INDEX('Reference Values'!$B$8:$B$12,F54),"?"))</f>
        <v/>
      </c>
      <c r="H54" s="8"/>
      <c r="I54" s="9" t="str">
        <f>IF(H54="","",IFERROR(INDEX('Reference Values'!$B$8:$B$12,H54),"?"))</f>
        <v/>
      </c>
      <c r="J54" s="7"/>
      <c r="K54" s="7"/>
      <c r="L54" s="7"/>
    </row>
    <row r="55" spans="1:12" ht="24" customHeight="1" x14ac:dyDescent="0.25">
      <c r="A55" s="10" t="str">
        <f>IF(B55="","",TEXT(50,"P000"))</f>
        <v/>
      </c>
      <c r="B55" s="11"/>
      <c r="C55" s="11"/>
      <c r="D55" s="11"/>
      <c r="E55" s="11"/>
      <c r="F55" s="12"/>
      <c r="G55" s="9" t="str">
        <f>IF(F55="","",IFERROR(INDEX('Reference Values'!$B$8:$B$12,F55),"?"))</f>
        <v/>
      </c>
      <c r="H55" s="12"/>
      <c r="I55" s="9" t="str">
        <f>IF(H55="","",IFERROR(INDEX('Reference Values'!$B$8:$B$12,H55),"?"))</f>
        <v/>
      </c>
      <c r="J55" s="11"/>
      <c r="K55" s="11"/>
      <c r="L55" s="11"/>
    </row>
    <row r="56" spans="1:12" ht="24" customHeight="1" x14ac:dyDescent="0.25">
      <c r="A56" s="6" t="str">
        <f>IF(B56="","",TEXT(51,"P000"))</f>
        <v/>
      </c>
      <c r="B56" s="7"/>
      <c r="C56" s="7"/>
      <c r="D56" s="7"/>
      <c r="E56" s="7"/>
      <c r="F56" s="8"/>
      <c r="G56" s="9" t="str">
        <f>IF(F56="","",IFERROR(INDEX('Reference Values'!$B$8:$B$12,F56),"?"))</f>
        <v/>
      </c>
      <c r="H56" s="8"/>
      <c r="I56" s="9" t="str">
        <f>IF(H56="","",IFERROR(INDEX('Reference Values'!$B$8:$B$12,H56),"?"))</f>
        <v/>
      </c>
      <c r="J56" s="7"/>
      <c r="K56" s="7"/>
      <c r="L56" s="7"/>
    </row>
    <row r="57" spans="1:12" ht="24" customHeight="1" x14ac:dyDescent="0.25">
      <c r="A57" s="10" t="str">
        <f>IF(B57="","",TEXT(52,"P000"))</f>
        <v/>
      </c>
      <c r="B57" s="11"/>
      <c r="C57" s="11"/>
      <c r="D57" s="11"/>
      <c r="E57" s="11"/>
      <c r="F57" s="12"/>
      <c r="G57" s="9" t="str">
        <f>IF(F57="","",IFERROR(INDEX('Reference Values'!$B$8:$B$12,F57),"?"))</f>
        <v/>
      </c>
      <c r="H57" s="12"/>
      <c r="I57" s="9" t="str">
        <f>IF(H57="","",IFERROR(INDEX('Reference Values'!$B$8:$B$12,H57),"?"))</f>
        <v/>
      </c>
      <c r="J57" s="11"/>
      <c r="K57" s="11"/>
      <c r="L57" s="11"/>
    </row>
    <row r="58" spans="1:12" ht="24" customHeight="1" x14ac:dyDescent="0.25">
      <c r="A58" s="6" t="str">
        <f>IF(B58="","",TEXT(53,"P000"))</f>
        <v/>
      </c>
      <c r="B58" s="7"/>
      <c r="C58" s="7"/>
      <c r="D58" s="7"/>
      <c r="E58" s="7"/>
      <c r="F58" s="8"/>
      <c r="G58" s="9" t="str">
        <f>IF(F58="","",IFERROR(INDEX('Reference Values'!$B$8:$B$12,F58),"?"))</f>
        <v/>
      </c>
      <c r="H58" s="8"/>
      <c r="I58" s="9" t="str">
        <f>IF(H58="","",IFERROR(INDEX('Reference Values'!$B$8:$B$12,H58),"?"))</f>
        <v/>
      </c>
      <c r="J58" s="7"/>
      <c r="K58" s="7"/>
      <c r="L58" s="7"/>
    </row>
    <row r="59" spans="1:12" ht="24" customHeight="1" x14ac:dyDescent="0.25">
      <c r="A59" s="10" t="str">
        <f>IF(B59="","",TEXT(54,"P000"))</f>
        <v/>
      </c>
      <c r="B59" s="11"/>
      <c r="C59" s="11"/>
      <c r="D59" s="11"/>
      <c r="E59" s="11"/>
      <c r="F59" s="12"/>
      <c r="G59" s="9" t="str">
        <f>IF(F59="","",IFERROR(INDEX('Reference Values'!$B$8:$B$12,F59),"?"))</f>
        <v/>
      </c>
      <c r="H59" s="12"/>
      <c r="I59" s="9" t="str">
        <f>IF(H59="","",IFERROR(INDEX('Reference Values'!$B$8:$B$12,H59),"?"))</f>
        <v/>
      </c>
      <c r="J59" s="11"/>
      <c r="K59" s="11"/>
      <c r="L59" s="11"/>
    </row>
    <row r="60" spans="1:12" ht="24" customHeight="1" x14ac:dyDescent="0.25">
      <c r="A60" s="6" t="str">
        <f>IF(B60="","",TEXT(55,"P000"))</f>
        <v/>
      </c>
      <c r="B60" s="7"/>
      <c r="C60" s="7"/>
      <c r="D60" s="7"/>
      <c r="E60" s="7"/>
      <c r="F60" s="8"/>
      <c r="G60" s="9" t="str">
        <f>IF(F60="","",IFERROR(INDEX('Reference Values'!$B$8:$B$12,F60),"?"))</f>
        <v/>
      </c>
      <c r="H60" s="8"/>
      <c r="I60" s="9" t="str">
        <f>IF(H60="","",IFERROR(INDEX('Reference Values'!$B$8:$B$12,H60),"?"))</f>
        <v/>
      </c>
      <c r="J60" s="7"/>
      <c r="K60" s="7"/>
      <c r="L60" s="7"/>
    </row>
    <row r="61" spans="1:12" ht="24" customHeight="1" x14ac:dyDescent="0.25">
      <c r="A61" s="10" t="str">
        <f>IF(B61="","",TEXT(56,"P000"))</f>
        <v/>
      </c>
      <c r="B61" s="11"/>
      <c r="C61" s="11"/>
      <c r="D61" s="11"/>
      <c r="E61" s="11"/>
      <c r="F61" s="12"/>
      <c r="G61" s="9" t="str">
        <f>IF(F61="","",IFERROR(INDEX('Reference Values'!$B$8:$B$12,F61),"?"))</f>
        <v/>
      </c>
      <c r="H61" s="12"/>
      <c r="I61" s="9" t="str">
        <f>IF(H61="","",IFERROR(INDEX('Reference Values'!$B$8:$B$12,H61),"?"))</f>
        <v/>
      </c>
      <c r="J61" s="11"/>
      <c r="K61" s="11"/>
      <c r="L61" s="11"/>
    </row>
    <row r="62" spans="1:12" ht="24" customHeight="1" x14ac:dyDescent="0.25">
      <c r="A62" s="6" t="str">
        <f>IF(B62="","",TEXT(57,"P000"))</f>
        <v/>
      </c>
      <c r="B62" s="7"/>
      <c r="C62" s="7"/>
      <c r="D62" s="7"/>
      <c r="E62" s="7"/>
      <c r="F62" s="8"/>
      <c r="G62" s="9" t="str">
        <f>IF(F62="","",IFERROR(INDEX('Reference Values'!$B$8:$B$12,F62),"?"))</f>
        <v/>
      </c>
      <c r="H62" s="8"/>
      <c r="I62" s="9" t="str">
        <f>IF(H62="","",IFERROR(INDEX('Reference Values'!$B$8:$B$12,H62),"?"))</f>
        <v/>
      </c>
      <c r="J62" s="7"/>
      <c r="K62" s="7"/>
      <c r="L62" s="7"/>
    </row>
    <row r="63" spans="1:12" ht="24" customHeight="1" x14ac:dyDescent="0.25">
      <c r="A63" s="10" t="str">
        <f>IF(B63="","",TEXT(58,"P000"))</f>
        <v/>
      </c>
      <c r="B63" s="11"/>
      <c r="C63" s="11"/>
      <c r="D63" s="11"/>
      <c r="E63" s="11"/>
      <c r="F63" s="12"/>
      <c r="G63" s="9" t="str">
        <f>IF(F63="","",IFERROR(INDEX('Reference Values'!$B$8:$B$12,F63),"?"))</f>
        <v/>
      </c>
      <c r="H63" s="12"/>
      <c r="I63" s="9" t="str">
        <f>IF(H63="","",IFERROR(INDEX('Reference Values'!$B$8:$B$12,H63),"?"))</f>
        <v/>
      </c>
      <c r="J63" s="11"/>
      <c r="K63" s="11"/>
      <c r="L63" s="11"/>
    </row>
    <row r="64" spans="1:12" ht="24" customHeight="1" x14ac:dyDescent="0.25">
      <c r="A64" s="6" t="str">
        <f>IF(B64="","",TEXT(59,"P000"))</f>
        <v/>
      </c>
      <c r="B64" s="7"/>
      <c r="C64" s="7"/>
      <c r="D64" s="7"/>
      <c r="E64" s="7"/>
      <c r="F64" s="8"/>
      <c r="G64" s="9" t="str">
        <f>IF(F64="","",IFERROR(INDEX('Reference Values'!$B$8:$B$12,F64),"?"))</f>
        <v/>
      </c>
      <c r="H64" s="8"/>
      <c r="I64" s="9" t="str">
        <f>IF(H64="","",IFERROR(INDEX('Reference Values'!$B$8:$B$12,H64),"?"))</f>
        <v/>
      </c>
      <c r="J64" s="7"/>
      <c r="K64" s="7"/>
      <c r="L64" s="7"/>
    </row>
    <row r="65" spans="1:12" ht="24" customHeight="1" x14ac:dyDescent="0.25">
      <c r="A65" s="10" t="str">
        <f>IF(B65="","",TEXT(60,"P000"))</f>
        <v/>
      </c>
      <c r="B65" s="11"/>
      <c r="C65" s="11"/>
      <c r="D65" s="11"/>
      <c r="E65" s="11"/>
      <c r="F65" s="12"/>
      <c r="G65" s="9" t="str">
        <f>IF(F65="","",IFERROR(INDEX('Reference Values'!$B$8:$B$12,F65),"?"))</f>
        <v/>
      </c>
      <c r="H65" s="12"/>
      <c r="I65" s="9" t="str">
        <f>IF(H65="","",IFERROR(INDEX('Reference Values'!$B$8:$B$12,H65),"?"))</f>
        <v/>
      </c>
      <c r="J65" s="11"/>
      <c r="K65" s="11"/>
      <c r="L65" s="11"/>
    </row>
    <row r="66" spans="1:12" ht="24" customHeight="1" x14ac:dyDescent="0.25">
      <c r="A66" s="6" t="str">
        <f>IF(B66="","",TEXT(61,"P000"))</f>
        <v/>
      </c>
      <c r="B66" s="7"/>
      <c r="C66" s="7"/>
      <c r="D66" s="7"/>
      <c r="E66" s="7"/>
      <c r="F66" s="8"/>
      <c r="G66" s="9" t="str">
        <f>IF(F66="","",IFERROR(INDEX('Reference Values'!$B$8:$B$12,F66),"?"))</f>
        <v/>
      </c>
      <c r="H66" s="8"/>
      <c r="I66" s="9" t="str">
        <f>IF(H66="","",IFERROR(INDEX('Reference Values'!$B$8:$B$12,H66),"?"))</f>
        <v/>
      </c>
      <c r="J66" s="7"/>
      <c r="K66" s="7"/>
      <c r="L66" s="7"/>
    </row>
    <row r="67" spans="1:12" ht="24" customHeight="1" x14ac:dyDescent="0.25">
      <c r="A67" s="10" t="str">
        <f>IF(B67="","",TEXT(62,"P000"))</f>
        <v/>
      </c>
      <c r="B67" s="11"/>
      <c r="C67" s="11"/>
      <c r="D67" s="11"/>
      <c r="E67" s="11"/>
      <c r="F67" s="12"/>
      <c r="G67" s="9" t="str">
        <f>IF(F67="","",IFERROR(INDEX('Reference Values'!$B$8:$B$12,F67),"?"))</f>
        <v/>
      </c>
      <c r="H67" s="12"/>
      <c r="I67" s="9" t="str">
        <f>IF(H67="","",IFERROR(INDEX('Reference Values'!$B$8:$B$12,H67),"?"))</f>
        <v/>
      </c>
      <c r="J67" s="11"/>
      <c r="K67" s="11"/>
      <c r="L67" s="11"/>
    </row>
    <row r="68" spans="1:12" ht="24" customHeight="1" x14ac:dyDescent="0.25">
      <c r="A68" s="6" t="str">
        <f>IF(B68="","",TEXT(63,"P000"))</f>
        <v/>
      </c>
      <c r="B68" s="7"/>
      <c r="C68" s="7"/>
      <c r="D68" s="7"/>
      <c r="E68" s="7"/>
      <c r="F68" s="8"/>
      <c r="G68" s="9" t="str">
        <f>IF(F68="","",IFERROR(INDEX('Reference Values'!$B$8:$B$12,F68),"?"))</f>
        <v/>
      </c>
      <c r="H68" s="8"/>
      <c r="I68" s="9" t="str">
        <f>IF(H68="","",IFERROR(INDEX('Reference Values'!$B$8:$B$12,H68),"?"))</f>
        <v/>
      </c>
      <c r="J68" s="7"/>
      <c r="K68" s="7"/>
      <c r="L68" s="7"/>
    </row>
    <row r="69" spans="1:12" ht="24" customHeight="1" x14ac:dyDescent="0.25">
      <c r="A69" s="10" t="str">
        <f>IF(B69="","",TEXT(64,"P000"))</f>
        <v/>
      </c>
      <c r="B69" s="11"/>
      <c r="C69" s="11"/>
      <c r="D69" s="11"/>
      <c r="E69" s="11"/>
      <c r="F69" s="12"/>
      <c r="G69" s="9" t="str">
        <f>IF(F69="","",IFERROR(INDEX('Reference Values'!$B$8:$B$12,F69),"?"))</f>
        <v/>
      </c>
      <c r="H69" s="12"/>
      <c r="I69" s="9" t="str">
        <f>IF(H69="","",IFERROR(INDEX('Reference Values'!$B$8:$B$12,H69),"?"))</f>
        <v/>
      </c>
      <c r="J69" s="11"/>
      <c r="K69" s="11"/>
      <c r="L69" s="11"/>
    </row>
    <row r="70" spans="1:12" ht="24" customHeight="1" x14ac:dyDescent="0.25">
      <c r="A70" s="6" t="str">
        <f>IF(B70="","",TEXT(65,"P000"))</f>
        <v/>
      </c>
      <c r="B70" s="7"/>
      <c r="C70" s="7"/>
      <c r="D70" s="7"/>
      <c r="E70" s="7"/>
      <c r="F70" s="8"/>
      <c r="G70" s="9" t="str">
        <f>IF(F70="","",IFERROR(INDEX('Reference Values'!$B$8:$B$12,F70),"?"))</f>
        <v/>
      </c>
      <c r="H70" s="8"/>
      <c r="I70" s="9" t="str">
        <f>IF(H70="","",IFERROR(INDEX('Reference Values'!$B$8:$B$12,H70),"?"))</f>
        <v/>
      </c>
      <c r="J70" s="7"/>
      <c r="K70" s="7"/>
      <c r="L70" s="7"/>
    </row>
    <row r="71" spans="1:12" ht="24" customHeight="1" x14ac:dyDescent="0.25">
      <c r="A71" s="10" t="str">
        <f>IF(B71="","",TEXT(66,"P000"))</f>
        <v/>
      </c>
      <c r="B71" s="11"/>
      <c r="C71" s="11"/>
      <c r="D71" s="11"/>
      <c r="E71" s="11"/>
      <c r="F71" s="12"/>
      <c r="G71" s="9" t="str">
        <f>IF(F71="","",IFERROR(INDEX('Reference Values'!$B$8:$B$12,F71),"?"))</f>
        <v/>
      </c>
      <c r="H71" s="12"/>
      <c r="I71" s="9" t="str">
        <f>IF(H71="","",IFERROR(INDEX('Reference Values'!$B$8:$B$12,H71),"?"))</f>
        <v/>
      </c>
      <c r="J71" s="11"/>
      <c r="K71" s="11"/>
      <c r="L71" s="11"/>
    </row>
    <row r="72" spans="1:12" ht="24" customHeight="1" x14ac:dyDescent="0.25">
      <c r="A72" s="6" t="str">
        <f>IF(B72="","",TEXT(67,"P000"))</f>
        <v/>
      </c>
      <c r="B72" s="7"/>
      <c r="C72" s="7"/>
      <c r="D72" s="7"/>
      <c r="E72" s="7"/>
      <c r="F72" s="8"/>
      <c r="G72" s="9" t="str">
        <f>IF(F72="","",IFERROR(INDEX('Reference Values'!$B$8:$B$12,F72),"?"))</f>
        <v/>
      </c>
      <c r="H72" s="8"/>
      <c r="I72" s="9" t="str">
        <f>IF(H72="","",IFERROR(INDEX('Reference Values'!$B$8:$B$12,H72),"?"))</f>
        <v/>
      </c>
      <c r="J72" s="7"/>
      <c r="K72" s="7"/>
      <c r="L72" s="7"/>
    </row>
    <row r="73" spans="1:12" ht="24" customHeight="1" x14ac:dyDescent="0.25">
      <c r="A73" s="10" t="str">
        <f>IF(B73="","",TEXT(68,"P000"))</f>
        <v/>
      </c>
      <c r="B73" s="11"/>
      <c r="C73" s="11"/>
      <c r="D73" s="11"/>
      <c r="E73" s="11"/>
      <c r="F73" s="12"/>
      <c r="G73" s="9" t="str">
        <f>IF(F73="","",IFERROR(INDEX('Reference Values'!$B$8:$B$12,F73),"?"))</f>
        <v/>
      </c>
      <c r="H73" s="12"/>
      <c r="I73" s="9" t="str">
        <f>IF(H73="","",IFERROR(INDEX('Reference Values'!$B$8:$B$12,H73),"?"))</f>
        <v/>
      </c>
      <c r="J73" s="11"/>
      <c r="K73" s="11"/>
      <c r="L73" s="11"/>
    </row>
    <row r="74" spans="1:12" ht="24" customHeight="1" x14ac:dyDescent="0.25">
      <c r="A74" s="6" t="str">
        <f>IF(B74="","",TEXT(69,"P000"))</f>
        <v/>
      </c>
      <c r="B74" s="7"/>
      <c r="C74" s="7"/>
      <c r="D74" s="7"/>
      <c r="E74" s="7"/>
      <c r="F74" s="8"/>
      <c r="G74" s="9" t="str">
        <f>IF(F74="","",IFERROR(INDEX('Reference Values'!$B$8:$B$12,F74),"?"))</f>
        <v/>
      </c>
      <c r="H74" s="8"/>
      <c r="I74" s="9" t="str">
        <f>IF(H74="","",IFERROR(INDEX('Reference Values'!$B$8:$B$12,H74),"?"))</f>
        <v/>
      </c>
      <c r="J74" s="7"/>
      <c r="K74" s="7"/>
      <c r="L74" s="7"/>
    </row>
    <row r="75" spans="1:12" ht="24" customHeight="1" x14ac:dyDescent="0.25">
      <c r="A75" s="10" t="str">
        <f>IF(B75="","",TEXT(70,"P000"))</f>
        <v/>
      </c>
      <c r="B75" s="11"/>
      <c r="C75" s="11"/>
      <c r="D75" s="11"/>
      <c r="E75" s="11"/>
      <c r="F75" s="12"/>
      <c r="G75" s="9" t="str">
        <f>IF(F75="","",IFERROR(INDEX('Reference Values'!$B$8:$B$12,F75),"?"))</f>
        <v/>
      </c>
      <c r="H75" s="12"/>
      <c r="I75" s="9" t="str">
        <f>IF(H75="","",IFERROR(INDEX('Reference Values'!$B$8:$B$12,H75),"?"))</f>
        <v/>
      </c>
      <c r="J75" s="11"/>
      <c r="K75" s="11"/>
      <c r="L75" s="11"/>
    </row>
    <row r="76" spans="1:12" ht="24" customHeight="1" x14ac:dyDescent="0.25">
      <c r="A76" s="6" t="str">
        <f>IF(B76="","",TEXT(71,"P000"))</f>
        <v/>
      </c>
      <c r="B76" s="7"/>
      <c r="C76" s="7"/>
      <c r="D76" s="7"/>
      <c r="E76" s="7"/>
      <c r="F76" s="8"/>
      <c r="G76" s="9" t="str">
        <f>IF(F76="","",IFERROR(INDEX('Reference Values'!$B$8:$B$12,F76),"?"))</f>
        <v/>
      </c>
      <c r="H76" s="8"/>
      <c r="I76" s="9" t="str">
        <f>IF(H76="","",IFERROR(INDEX('Reference Values'!$B$8:$B$12,H76),"?"))</f>
        <v/>
      </c>
      <c r="J76" s="7"/>
      <c r="K76" s="7"/>
      <c r="L76" s="7"/>
    </row>
    <row r="77" spans="1:12" ht="24" customHeight="1" x14ac:dyDescent="0.25">
      <c r="A77" s="10" t="str">
        <f>IF(B77="","",TEXT(72,"P000"))</f>
        <v/>
      </c>
      <c r="B77" s="11"/>
      <c r="C77" s="11"/>
      <c r="D77" s="11"/>
      <c r="E77" s="11"/>
      <c r="F77" s="12"/>
      <c r="G77" s="9" t="str">
        <f>IF(F77="","",IFERROR(INDEX('Reference Values'!$B$8:$B$12,F77),"?"))</f>
        <v/>
      </c>
      <c r="H77" s="12"/>
      <c r="I77" s="9" t="str">
        <f>IF(H77="","",IFERROR(INDEX('Reference Values'!$B$8:$B$12,H77),"?"))</f>
        <v/>
      </c>
      <c r="J77" s="11"/>
      <c r="K77" s="11"/>
      <c r="L77" s="11"/>
    </row>
    <row r="78" spans="1:12" ht="24" customHeight="1" x14ac:dyDescent="0.25">
      <c r="A78" s="6" t="str">
        <f>IF(B78="","",TEXT(73,"P000"))</f>
        <v/>
      </c>
      <c r="B78" s="7"/>
      <c r="C78" s="7"/>
      <c r="D78" s="7"/>
      <c r="E78" s="7"/>
      <c r="F78" s="8"/>
      <c r="G78" s="9" t="str">
        <f>IF(F78="","",IFERROR(INDEX('Reference Values'!$B$8:$B$12,F78),"?"))</f>
        <v/>
      </c>
      <c r="H78" s="8"/>
      <c r="I78" s="9" t="str">
        <f>IF(H78="","",IFERROR(INDEX('Reference Values'!$B$8:$B$12,H78),"?"))</f>
        <v/>
      </c>
      <c r="J78" s="7"/>
      <c r="K78" s="7"/>
      <c r="L78" s="7"/>
    </row>
    <row r="79" spans="1:12" ht="24" customHeight="1" x14ac:dyDescent="0.25">
      <c r="A79" s="10" t="str">
        <f>IF(B79="","",TEXT(74,"P000"))</f>
        <v/>
      </c>
      <c r="B79" s="11"/>
      <c r="C79" s="11"/>
      <c r="D79" s="11"/>
      <c r="E79" s="11"/>
      <c r="F79" s="12"/>
      <c r="G79" s="9" t="str">
        <f>IF(F79="","",IFERROR(INDEX('Reference Values'!$B$8:$B$12,F79),"?"))</f>
        <v/>
      </c>
      <c r="H79" s="12"/>
      <c r="I79" s="9" t="str">
        <f>IF(H79="","",IFERROR(INDEX('Reference Values'!$B$8:$B$12,H79),"?"))</f>
        <v/>
      </c>
      <c r="J79" s="11"/>
      <c r="K79" s="11"/>
      <c r="L79" s="11"/>
    </row>
    <row r="80" spans="1:12" ht="24" customHeight="1" x14ac:dyDescent="0.25">
      <c r="A80" s="6" t="str">
        <f>IF(B80="","",TEXT(75,"P000"))</f>
        <v/>
      </c>
      <c r="B80" s="7"/>
      <c r="C80" s="7"/>
      <c r="D80" s="7"/>
      <c r="E80" s="7"/>
      <c r="F80" s="8"/>
      <c r="G80" s="9" t="str">
        <f>IF(F80="","",IFERROR(INDEX('Reference Values'!$B$8:$B$12,F80),"?"))</f>
        <v/>
      </c>
      <c r="H80" s="8"/>
      <c r="I80" s="9" t="str">
        <f>IF(H80="","",IFERROR(INDEX('Reference Values'!$B$8:$B$12,H80),"?"))</f>
        <v/>
      </c>
      <c r="J80" s="7"/>
      <c r="K80" s="7"/>
      <c r="L80" s="7"/>
    </row>
    <row r="81" spans="1:12" ht="24" customHeight="1" x14ac:dyDescent="0.25">
      <c r="A81" s="10" t="str">
        <f>IF(B81="","",TEXT(76,"P000"))</f>
        <v/>
      </c>
      <c r="B81" s="11"/>
      <c r="C81" s="11"/>
      <c r="D81" s="11"/>
      <c r="E81" s="11"/>
      <c r="F81" s="12"/>
      <c r="G81" s="9" t="str">
        <f>IF(F81="","",IFERROR(INDEX('Reference Values'!$B$8:$B$12,F81),"?"))</f>
        <v/>
      </c>
      <c r="H81" s="12"/>
      <c r="I81" s="9" t="str">
        <f>IF(H81="","",IFERROR(INDEX('Reference Values'!$B$8:$B$12,H81),"?"))</f>
        <v/>
      </c>
      <c r="J81" s="11"/>
      <c r="K81" s="11"/>
      <c r="L81" s="11"/>
    </row>
    <row r="82" spans="1:12" ht="24" customHeight="1" x14ac:dyDescent="0.25">
      <c r="A82" s="6" t="str">
        <f>IF(B82="","",TEXT(77,"P000"))</f>
        <v/>
      </c>
      <c r="B82" s="7"/>
      <c r="C82" s="7"/>
      <c r="D82" s="7"/>
      <c r="E82" s="7"/>
      <c r="F82" s="8"/>
      <c r="G82" s="9" t="str">
        <f>IF(F82="","",IFERROR(INDEX('Reference Values'!$B$8:$B$12,F82),"?"))</f>
        <v/>
      </c>
      <c r="H82" s="8"/>
      <c r="I82" s="9" t="str">
        <f>IF(H82="","",IFERROR(INDEX('Reference Values'!$B$8:$B$12,H82),"?"))</f>
        <v/>
      </c>
      <c r="J82" s="7"/>
      <c r="K82" s="7"/>
      <c r="L82" s="7"/>
    </row>
    <row r="83" spans="1:12" ht="24" customHeight="1" x14ac:dyDescent="0.25">
      <c r="A83" s="10" t="str">
        <f>IF(B83="","",TEXT(78,"P000"))</f>
        <v/>
      </c>
      <c r="B83" s="11"/>
      <c r="C83" s="11"/>
      <c r="D83" s="11"/>
      <c r="E83" s="11"/>
      <c r="F83" s="12"/>
      <c r="G83" s="9" t="str">
        <f>IF(F83="","",IFERROR(INDEX('Reference Values'!$B$8:$B$12,F83),"?"))</f>
        <v/>
      </c>
      <c r="H83" s="12"/>
      <c r="I83" s="9" t="str">
        <f>IF(H83="","",IFERROR(INDEX('Reference Values'!$B$8:$B$12,H83),"?"))</f>
        <v/>
      </c>
      <c r="J83" s="11"/>
      <c r="K83" s="11"/>
      <c r="L83" s="11"/>
    </row>
    <row r="84" spans="1:12" ht="24" customHeight="1" x14ac:dyDescent="0.25">
      <c r="A84" s="6" t="str">
        <f>IF(B84="","",TEXT(79,"P000"))</f>
        <v/>
      </c>
      <c r="B84" s="7"/>
      <c r="C84" s="7"/>
      <c r="D84" s="7"/>
      <c r="E84" s="7"/>
      <c r="F84" s="8"/>
      <c r="G84" s="9" t="str">
        <f>IF(F84="","",IFERROR(INDEX('Reference Values'!$B$8:$B$12,F84),"?"))</f>
        <v/>
      </c>
      <c r="H84" s="8"/>
      <c r="I84" s="9" t="str">
        <f>IF(H84="","",IFERROR(INDEX('Reference Values'!$B$8:$B$12,H84),"?"))</f>
        <v/>
      </c>
      <c r="J84" s="7"/>
      <c r="K84" s="7"/>
      <c r="L84" s="7"/>
    </row>
    <row r="85" spans="1:12" ht="24" customHeight="1" x14ac:dyDescent="0.25">
      <c r="A85" s="10" t="str">
        <f>IF(B85="","",TEXT(80,"P000"))</f>
        <v/>
      </c>
      <c r="B85" s="11"/>
      <c r="C85" s="11"/>
      <c r="D85" s="11"/>
      <c r="E85" s="11"/>
      <c r="F85" s="12"/>
      <c r="G85" s="9" t="str">
        <f>IF(F85="","",IFERROR(INDEX('Reference Values'!$B$8:$B$12,F85),"?"))</f>
        <v/>
      </c>
      <c r="H85" s="12"/>
      <c r="I85" s="9" t="str">
        <f>IF(H85="","",IFERROR(INDEX('Reference Values'!$B$8:$B$12,H85),"?"))</f>
        <v/>
      </c>
      <c r="J85" s="11"/>
      <c r="K85" s="11"/>
      <c r="L85" s="11"/>
    </row>
    <row r="86" spans="1:12" ht="24" customHeight="1" x14ac:dyDescent="0.25">
      <c r="A86" s="6" t="str">
        <f>IF(B86="","",TEXT(81,"P000"))</f>
        <v/>
      </c>
      <c r="B86" s="7"/>
      <c r="C86" s="7"/>
      <c r="D86" s="7"/>
      <c r="E86" s="7"/>
      <c r="F86" s="8"/>
      <c r="G86" s="9" t="str">
        <f>IF(F86="","",IFERROR(INDEX('Reference Values'!$B$8:$B$12,F86),"?"))</f>
        <v/>
      </c>
      <c r="H86" s="8"/>
      <c r="I86" s="9" t="str">
        <f>IF(H86="","",IFERROR(INDEX('Reference Values'!$B$8:$B$12,H86),"?"))</f>
        <v/>
      </c>
      <c r="J86" s="7"/>
      <c r="K86" s="7"/>
      <c r="L86" s="7"/>
    </row>
    <row r="87" spans="1:12" ht="24" customHeight="1" x14ac:dyDescent="0.25">
      <c r="A87" s="10" t="str">
        <f>IF(B87="","",TEXT(82,"P000"))</f>
        <v/>
      </c>
      <c r="B87" s="11"/>
      <c r="C87" s="11"/>
      <c r="D87" s="11"/>
      <c r="E87" s="11"/>
      <c r="F87" s="12"/>
      <c r="G87" s="9" t="str">
        <f>IF(F87="","",IFERROR(INDEX('Reference Values'!$B$8:$B$12,F87),"?"))</f>
        <v/>
      </c>
      <c r="H87" s="12"/>
      <c r="I87" s="9" t="str">
        <f>IF(H87="","",IFERROR(INDEX('Reference Values'!$B$8:$B$12,H87),"?"))</f>
        <v/>
      </c>
      <c r="J87" s="11"/>
      <c r="K87" s="11"/>
      <c r="L87" s="11"/>
    </row>
    <row r="88" spans="1:12" ht="24" customHeight="1" x14ac:dyDescent="0.25">
      <c r="A88" s="6" t="str">
        <f>IF(B88="","",TEXT(83,"P000"))</f>
        <v/>
      </c>
      <c r="B88" s="7"/>
      <c r="C88" s="7"/>
      <c r="D88" s="7"/>
      <c r="E88" s="7"/>
      <c r="F88" s="8"/>
      <c r="G88" s="9" t="str">
        <f>IF(F88="","",IFERROR(INDEX('Reference Values'!$B$8:$B$12,F88),"?"))</f>
        <v/>
      </c>
      <c r="H88" s="8"/>
      <c r="I88" s="9" t="str">
        <f>IF(H88="","",IFERROR(INDEX('Reference Values'!$B$8:$B$12,H88),"?"))</f>
        <v/>
      </c>
      <c r="J88" s="7"/>
      <c r="K88" s="7"/>
      <c r="L88" s="7"/>
    </row>
    <row r="89" spans="1:12" ht="24" customHeight="1" x14ac:dyDescent="0.25">
      <c r="A89" s="10" t="str">
        <f>IF(B89="","",TEXT(84,"P000"))</f>
        <v/>
      </c>
      <c r="B89" s="11"/>
      <c r="C89" s="11"/>
      <c r="D89" s="11"/>
      <c r="E89" s="11"/>
      <c r="F89" s="12"/>
      <c r="G89" s="9" t="str">
        <f>IF(F89="","",IFERROR(INDEX('Reference Values'!$B$8:$B$12,F89),"?"))</f>
        <v/>
      </c>
      <c r="H89" s="12"/>
      <c r="I89" s="9" t="str">
        <f>IF(H89="","",IFERROR(INDEX('Reference Values'!$B$8:$B$12,H89),"?"))</f>
        <v/>
      </c>
      <c r="J89" s="11"/>
      <c r="K89" s="11"/>
      <c r="L89" s="11"/>
    </row>
    <row r="90" spans="1:12" ht="24" customHeight="1" x14ac:dyDescent="0.25">
      <c r="A90" s="6" t="str">
        <f>IF(B90="","",TEXT(85,"P000"))</f>
        <v/>
      </c>
      <c r="B90" s="7"/>
      <c r="C90" s="7"/>
      <c r="D90" s="7"/>
      <c r="E90" s="7"/>
      <c r="F90" s="8"/>
      <c r="G90" s="9" t="str">
        <f>IF(F90="","",IFERROR(INDEX('Reference Values'!$B$8:$B$12,F90),"?"))</f>
        <v/>
      </c>
      <c r="H90" s="8"/>
      <c r="I90" s="9" t="str">
        <f>IF(H90="","",IFERROR(INDEX('Reference Values'!$B$8:$B$12,H90),"?"))</f>
        <v/>
      </c>
      <c r="J90" s="7"/>
      <c r="K90" s="7"/>
      <c r="L90" s="7"/>
    </row>
    <row r="91" spans="1:12" ht="24" customHeight="1" x14ac:dyDescent="0.25">
      <c r="A91" s="10" t="str">
        <f>IF(B91="","",TEXT(86,"P000"))</f>
        <v/>
      </c>
      <c r="B91" s="11"/>
      <c r="C91" s="11"/>
      <c r="D91" s="11"/>
      <c r="E91" s="11"/>
      <c r="F91" s="12"/>
      <c r="G91" s="9" t="str">
        <f>IF(F91="","",IFERROR(INDEX('Reference Values'!$B$8:$B$12,F91),"?"))</f>
        <v/>
      </c>
      <c r="H91" s="12"/>
      <c r="I91" s="9" t="str">
        <f>IF(H91="","",IFERROR(INDEX('Reference Values'!$B$8:$B$12,H91),"?"))</f>
        <v/>
      </c>
      <c r="J91" s="11"/>
      <c r="K91" s="11"/>
      <c r="L91" s="11"/>
    </row>
    <row r="92" spans="1:12" ht="24" customHeight="1" x14ac:dyDescent="0.25">
      <c r="A92" s="6" t="str">
        <f>IF(B92="","",TEXT(87,"P000"))</f>
        <v/>
      </c>
      <c r="B92" s="7"/>
      <c r="C92" s="7"/>
      <c r="D92" s="7"/>
      <c r="E92" s="7"/>
      <c r="F92" s="8"/>
      <c r="G92" s="9" t="str">
        <f>IF(F92="","",IFERROR(INDEX('Reference Values'!$B$8:$B$12,F92),"?"))</f>
        <v/>
      </c>
      <c r="H92" s="8"/>
      <c r="I92" s="9" t="str">
        <f>IF(H92="","",IFERROR(INDEX('Reference Values'!$B$8:$B$12,H92),"?"))</f>
        <v/>
      </c>
      <c r="J92" s="7"/>
      <c r="K92" s="7"/>
      <c r="L92" s="7"/>
    </row>
    <row r="93" spans="1:12" ht="24" customHeight="1" x14ac:dyDescent="0.25">
      <c r="A93" s="10" t="str">
        <f>IF(B93="","",TEXT(88,"P000"))</f>
        <v/>
      </c>
      <c r="B93" s="11"/>
      <c r="C93" s="11"/>
      <c r="D93" s="11"/>
      <c r="E93" s="11"/>
      <c r="F93" s="12"/>
      <c r="G93" s="9" t="str">
        <f>IF(F93="","",IFERROR(INDEX('Reference Values'!$B$8:$B$12,F93),"?"))</f>
        <v/>
      </c>
      <c r="H93" s="12"/>
      <c r="I93" s="9" t="str">
        <f>IF(H93="","",IFERROR(INDEX('Reference Values'!$B$8:$B$12,H93),"?"))</f>
        <v/>
      </c>
      <c r="J93" s="11"/>
      <c r="K93" s="11"/>
      <c r="L93" s="11"/>
    </row>
    <row r="94" spans="1:12" ht="24" customHeight="1" x14ac:dyDescent="0.25">
      <c r="A94" s="6" t="str">
        <f>IF(B94="","",TEXT(89,"P000"))</f>
        <v/>
      </c>
      <c r="B94" s="7"/>
      <c r="C94" s="7"/>
      <c r="D94" s="7"/>
      <c r="E94" s="7"/>
      <c r="F94" s="8"/>
      <c r="G94" s="9" t="str">
        <f>IF(F94="","",IFERROR(INDEX('Reference Values'!$B$8:$B$12,F94),"?"))</f>
        <v/>
      </c>
      <c r="H94" s="8"/>
      <c r="I94" s="9" t="str">
        <f>IF(H94="","",IFERROR(INDEX('Reference Values'!$B$8:$B$12,H94),"?"))</f>
        <v/>
      </c>
      <c r="J94" s="7"/>
      <c r="K94" s="7"/>
      <c r="L94" s="7"/>
    </row>
    <row r="95" spans="1:12" ht="24" customHeight="1" x14ac:dyDescent="0.25">
      <c r="A95" s="10" t="str">
        <f>IF(B95="","",TEXT(90,"P000"))</f>
        <v/>
      </c>
      <c r="B95" s="11"/>
      <c r="C95" s="11"/>
      <c r="D95" s="11"/>
      <c r="E95" s="11"/>
      <c r="F95" s="12"/>
      <c r="G95" s="9" t="str">
        <f>IF(F95="","",IFERROR(INDEX('Reference Values'!$B$8:$B$12,F95),"?"))</f>
        <v/>
      </c>
      <c r="H95" s="12"/>
      <c r="I95" s="9" t="str">
        <f>IF(H95="","",IFERROR(INDEX('Reference Values'!$B$8:$B$12,H95),"?"))</f>
        <v/>
      </c>
      <c r="J95" s="11"/>
      <c r="K95" s="11"/>
      <c r="L95" s="11"/>
    </row>
    <row r="96" spans="1:12" ht="24" customHeight="1" x14ac:dyDescent="0.25">
      <c r="A96" s="6" t="str">
        <f>IF(B96="","",TEXT(91,"P000"))</f>
        <v/>
      </c>
      <c r="B96" s="7"/>
      <c r="C96" s="7"/>
      <c r="D96" s="7"/>
      <c r="E96" s="7"/>
      <c r="F96" s="8"/>
      <c r="G96" s="9" t="str">
        <f>IF(F96="","",IFERROR(INDEX('Reference Values'!$B$8:$B$12,F96),"?"))</f>
        <v/>
      </c>
      <c r="H96" s="8"/>
      <c r="I96" s="9" t="str">
        <f>IF(H96="","",IFERROR(INDEX('Reference Values'!$B$8:$B$12,H96),"?"))</f>
        <v/>
      </c>
      <c r="J96" s="7"/>
      <c r="K96" s="7"/>
      <c r="L96" s="7"/>
    </row>
    <row r="97" spans="1:12" ht="24" customHeight="1" x14ac:dyDescent="0.25">
      <c r="A97" s="10" t="str">
        <f>IF(B97="","",TEXT(92,"P000"))</f>
        <v/>
      </c>
      <c r="B97" s="11"/>
      <c r="C97" s="11"/>
      <c r="D97" s="11"/>
      <c r="E97" s="11"/>
      <c r="F97" s="12"/>
      <c r="G97" s="9" t="str">
        <f>IF(F97="","",IFERROR(INDEX('Reference Values'!$B$8:$B$12,F97),"?"))</f>
        <v/>
      </c>
      <c r="H97" s="12"/>
      <c r="I97" s="9" t="str">
        <f>IF(H97="","",IFERROR(INDEX('Reference Values'!$B$8:$B$12,H97),"?"))</f>
        <v/>
      </c>
      <c r="J97" s="11"/>
      <c r="K97" s="11"/>
      <c r="L97" s="11"/>
    </row>
    <row r="98" spans="1:12" ht="24" customHeight="1" x14ac:dyDescent="0.25">
      <c r="A98" s="6" t="str">
        <f>IF(B98="","",TEXT(93,"P000"))</f>
        <v/>
      </c>
      <c r="B98" s="7"/>
      <c r="C98" s="7"/>
      <c r="D98" s="7"/>
      <c r="E98" s="7"/>
      <c r="F98" s="8"/>
      <c r="G98" s="9" t="str">
        <f>IF(F98="","",IFERROR(INDEX('Reference Values'!$B$8:$B$12,F98),"?"))</f>
        <v/>
      </c>
      <c r="H98" s="8"/>
      <c r="I98" s="9" t="str">
        <f>IF(H98="","",IFERROR(INDEX('Reference Values'!$B$8:$B$12,H98),"?"))</f>
        <v/>
      </c>
      <c r="J98" s="7"/>
      <c r="K98" s="7"/>
      <c r="L98" s="7"/>
    </row>
    <row r="99" spans="1:12" ht="24" customHeight="1" x14ac:dyDescent="0.25">
      <c r="A99" s="10" t="str">
        <f>IF(B99="","",TEXT(94,"P000"))</f>
        <v/>
      </c>
      <c r="B99" s="11"/>
      <c r="C99" s="11"/>
      <c r="D99" s="11"/>
      <c r="E99" s="11"/>
      <c r="F99" s="12"/>
      <c r="G99" s="9" t="str">
        <f>IF(F99="","",IFERROR(INDEX('Reference Values'!$B$8:$B$12,F99),"?"))</f>
        <v/>
      </c>
      <c r="H99" s="12"/>
      <c r="I99" s="9" t="str">
        <f>IF(H99="","",IFERROR(INDEX('Reference Values'!$B$8:$B$12,H99),"?"))</f>
        <v/>
      </c>
      <c r="J99" s="11"/>
      <c r="K99" s="11"/>
      <c r="L99" s="11"/>
    </row>
    <row r="100" spans="1:12" ht="24" customHeight="1" x14ac:dyDescent="0.25">
      <c r="A100" s="6" t="str">
        <f>IF(B100="","",TEXT(95,"P000"))</f>
        <v/>
      </c>
      <c r="B100" s="7"/>
      <c r="C100" s="7"/>
      <c r="D100" s="7"/>
      <c r="E100" s="7"/>
      <c r="F100" s="8"/>
      <c r="G100" s="9" t="str">
        <f>IF(F100="","",IFERROR(INDEX('Reference Values'!$B$8:$B$12,F100),"?"))</f>
        <v/>
      </c>
      <c r="H100" s="8"/>
      <c r="I100" s="9" t="str">
        <f>IF(H100="","",IFERROR(INDEX('Reference Values'!$B$8:$B$12,H100),"?"))</f>
        <v/>
      </c>
      <c r="J100" s="7"/>
      <c r="K100" s="7"/>
      <c r="L100" s="7"/>
    </row>
    <row r="101" spans="1:12" ht="24" customHeight="1" x14ac:dyDescent="0.25">
      <c r="A101" s="10" t="str">
        <f>IF(B101="","",TEXT(96,"P000"))</f>
        <v/>
      </c>
      <c r="B101" s="11"/>
      <c r="C101" s="11"/>
      <c r="D101" s="11"/>
      <c r="E101" s="11"/>
      <c r="F101" s="12"/>
      <c r="G101" s="9" t="str">
        <f>IF(F101="","",IFERROR(INDEX('Reference Values'!$B$8:$B$12,F101),"?"))</f>
        <v/>
      </c>
      <c r="H101" s="12"/>
      <c r="I101" s="9" t="str">
        <f>IF(H101="","",IFERROR(INDEX('Reference Values'!$B$8:$B$12,H101),"?"))</f>
        <v/>
      </c>
      <c r="J101" s="11"/>
      <c r="K101" s="11"/>
      <c r="L101" s="11"/>
    </row>
    <row r="102" spans="1:12" ht="24" customHeight="1" x14ac:dyDescent="0.25">
      <c r="A102" s="6" t="str">
        <f>IF(B102="","",TEXT(97,"P000"))</f>
        <v/>
      </c>
      <c r="B102" s="7"/>
      <c r="C102" s="7"/>
      <c r="D102" s="7"/>
      <c r="E102" s="7"/>
      <c r="F102" s="8"/>
      <c r="G102" s="9" t="str">
        <f>IF(F102="","",IFERROR(INDEX('Reference Values'!$B$8:$B$12,F102),"?"))</f>
        <v/>
      </c>
      <c r="H102" s="8"/>
      <c r="I102" s="9" t="str">
        <f>IF(H102="","",IFERROR(INDEX('Reference Values'!$B$8:$B$12,H102),"?"))</f>
        <v/>
      </c>
      <c r="J102" s="7"/>
      <c r="K102" s="7"/>
      <c r="L102" s="7"/>
    </row>
    <row r="103" spans="1:12" ht="24" customHeight="1" x14ac:dyDescent="0.25">
      <c r="A103" s="10" t="str">
        <f>IF(B103="","",TEXT(98,"P000"))</f>
        <v/>
      </c>
      <c r="B103" s="11"/>
      <c r="C103" s="11"/>
      <c r="D103" s="11"/>
      <c r="E103" s="11"/>
      <c r="F103" s="12"/>
      <c r="G103" s="9" t="str">
        <f>IF(F103="","",IFERROR(INDEX('Reference Values'!$B$8:$B$12,F103),"?"))</f>
        <v/>
      </c>
      <c r="H103" s="12"/>
      <c r="I103" s="9" t="str">
        <f>IF(H103="","",IFERROR(INDEX('Reference Values'!$B$8:$B$12,H103),"?"))</f>
        <v/>
      </c>
      <c r="J103" s="11"/>
      <c r="K103" s="11"/>
      <c r="L103" s="11"/>
    </row>
    <row r="104" spans="1:12" ht="24" customHeight="1" x14ac:dyDescent="0.25">
      <c r="A104" s="6" t="str">
        <f>IF(B104="","",TEXT(99,"P000"))</f>
        <v/>
      </c>
      <c r="B104" s="7"/>
      <c r="C104" s="7"/>
      <c r="D104" s="7"/>
      <c r="E104" s="7"/>
      <c r="F104" s="8"/>
      <c r="G104" s="9" t="str">
        <f>IF(F104="","",IFERROR(INDEX('Reference Values'!$B$8:$B$12,F104),"?"))</f>
        <v/>
      </c>
      <c r="H104" s="8"/>
      <c r="I104" s="9" t="str">
        <f>IF(H104="","",IFERROR(INDEX('Reference Values'!$B$8:$B$12,H104),"?"))</f>
        <v/>
      </c>
      <c r="J104" s="7"/>
      <c r="K104" s="7"/>
      <c r="L104" s="7"/>
    </row>
    <row r="105" spans="1:12" ht="24" customHeight="1" x14ac:dyDescent="0.25">
      <c r="A105" s="10" t="str">
        <f>IF(B105="","",TEXT(100,"P000"))</f>
        <v/>
      </c>
      <c r="B105" s="11"/>
      <c r="C105" s="11"/>
      <c r="D105" s="11"/>
      <c r="E105" s="11"/>
      <c r="F105" s="12"/>
      <c r="G105" s="9" t="str">
        <f>IF(F105="","",IFERROR(INDEX('Reference Values'!$B$8:$B$12,F105),"?"))</f>
        <v/>
      </c>
      <c r="H105" s="12"/>
      <c r="I105" s="9" t="str">
        <f>IF(H105="","",IFERROR(INDEX('Reference Values'!$B$8:$B$12,H105),"?"))</f>
        <v/>
      </c>
      <c r="J105" s="11"/>
      <c r="K105" s="11"/>
      <c r="L105" s="11"/>
    </row>
  </sheetData>
  <autoFilter ref="A5:L5" xr:uid="{00000000-0009-0000-0000-000002000000}"/>
  <mergeCells count="5">
    <mergeCell ref="A2:L2"/>
    <mergeCell ref="A1:L1"/>
    <mergeCell ref="F5:G5"/>
    <mergeCell ref="H5:I5"/>
    <mergeCell ref="A3:L3"/>
  </mergeCells>
  <conditionalFormatting sqref="F6:F105">
    <cfRule type="expression" dxfId="90" priority="1">
      <formula>F6=1</formula>
    </cfRule>
    <cfRule type="expression" dxfId="89" priority="3">
      <formula>F6=2</formula>
    </cfRule>
    <cfRule type="expression" dxfId="88" priority="5">
      <formula>F6=3</formula>
    </cfRule>
    <cfRule type="expression" dxfId="87" priority="7">
      <formula>F6=4</formula>
    </cfRule>
    <cfRule type="expression" dxfId="86" priority="9">
      <formula>F6=5</formula>
    </cfRule>
  </conditionalFormatting>
  <conditionalFormatting sqref="G6:G105">
    <cfRule type="expression" dxfId="85" priority="2">
      <formula>F6=1</formula>
    </cfRule>
    <cfRule type="expression" dxfId="84" priority="4">
      <formula>F6=2</formula>
    </cfRule>
    <cfRule type="expression" dxfId="83" priority="6">
      <formula>F6=3</formula>
    </cfRule>
    <cfRule type="expression" dxfId="82" priority="8">
      <formula>F6=4</formula>
    </cfRule>
    <cfRule type="expression" dxfId="81" priority="10">
      <formula>F6=5</formula>
    </cfRule>
  </conditionalFormatting>
  <conditionalFormatting sqref="H6:H105">
    <cfRule type="expression" dxfId="80" priority="11">
      <formula>H6=1</formula>
    </cfRule>
    <cfRule type="expression" dxfId="79" priority="13">
      <formula>H6=2</formula>
    </cfRule>
    <cfRule type="expression" dxfId="78" priority="15">
      <formula>H6=3</formula>
    </cfRule>
    <cfRule type="expression" dxfId="77" priority="17">
      <formula>H6=4</formula>
    </cfRule>
    <cfRule type="expression" dxfId="76" priority="19">
      <formula>H6=5</formula>
    </cfRule>
  </conditionalFormatting>
  <conditionalFormatting sqref="I6:I105">
    <cfRule type="expression" dxfId="75" priority="12">
      <formula>H6=1</formula>
    </cfRule>
    <cfRule type="expression" dxfId="74" priority="14">
      <formula>H6=2</formula>
    </cfRule>
    <cfRule type="expression" dxfId="73" priority="16">
      <formula>H6=3</formula>
    </cfRule>
    <cfRule type="expression" dxfId="72" priority="18">
      <formula>H6=4</formula>
    </cfRule>
    <cfRule type="expression" dxfId="71" priority="20">
      <formula>H6=5</formula>
    </cfRule>
  </conditionalFormatting>
  <dataValidations count="1">
    <dataValidation type="list" allowBlank="1" sqref="F6:F105 H6:H105" xr:uid="{00000000-0002-0000-0200-000000000000}">
      <formula1>"1,2,3,4,5"</formula1>
    </dataValidation>
  </dataValidation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dimension ref="A1:I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4" customWidth="1"/>
    <col min="7" max="7" width="15" customWidth="1"/>
    <col min="8" max="8" width="24" customWidth="1"/>
    <col min="9" max="9" width="35" customWidth="1"/>
  </cols>
  <sheetData>
    <row r="1" spans="1:9" ht="51.95" customHeight="1" x14ac:dyDescent="0.25">
      <c r="A1" s="87" t="str">
        <f>IFERROR(INDEX(_Lang!$B$2:$D$300,MATCH("asset_title",_Lang!$A$2:$A$300,0),IF(Config!$D$9="NL",1,IF(Config!$D$9="FR",2,3))),"[asset_title]")</f>
        <v>Informatieassets</v>
      </c>
      <c r="B1" s="85"/>
      <c r="C1" s="85"/>
      <c r="D1" s="85"/>
      <c r="E1" s="85"/>
      <c r="F1" s="85"/>
      <c r="G1" s="85"/>
      <c r="H1" s="85"/>
      <c r="I1" s="85"/>
    </row>
    <row r="2" spans="1:9" ht="21.95" customHeight="1" x14ac:dyDescent="0.25">
      <c r="A2" s="90" t="str">
        <f>IFERROR(INDEX(_Lang!$B$2:$D$300,MATCH("app_tagline",_Lang!$A$2:$A$300,0),IF(Config!$D$9="NL",1,IF(Config!$D$9="FR",2,3))),"[app_tagline]")</f>
        <v>Governance · Risico · Compliance</v>
      </c>
      <c r="B2" s="85"/>
      <c r="C2" s="85"/>
      <c r="D2" s="85"/>
      <c r="E2" s="85"/>
      <c r="F2" s="85"/>
      <c r="G2" s="85"/>
      <c r="H2" s="85"/>
      <c r="I2" s="85"/>
    </row>
    <row r="3" spans="1:9" ht="21.95" customHeight="1" x14ac:dyDescent="0.25">
      <c r="A3" s="98" t="str">
        <f>IFERROR(INDEX(_Lang!$B$2:$D$300,MATCH("asset_subtitle",_Lang!$A$2:$A$300,0),IF(Config!$D$9="NL",1,IF(Config!$D$9="FR",2,3))),"[asset_subtitle]")</f>
        <v>Voer de informatieactiva in en ken de veiligheidclassificatie toe (1 = Laag … 5 = Kritiek).</v>
      </c>
      <c r="B3" s="85"/>
      <c r="C3" s="85"/>
      <c r="D3" s="85"/>
      <c r="E3" s="85"/>
      <c r="F3" s="85"/>
      <c r="G3" s="85"/>
      <c r="H3" s="85"/>
      <c r="I3" s="85"/>
    </row>
    <row r="4" spans="1:9" ht="8.1" customHeight="1" x14ac:dyDescent="0.25"/>
    <row r="5" spans="1:9" ht="44.1" customHeight="1" x14ac:dyDescent="0.25">
      <c r="A5" s="5" t="str">
        <f>IFERROR(INDEX(_Lang!$B$2:$D$300,MATCH("asset_col_id",_Lang!$A$2:$A$300,0),IF(Config!$D$9="NL",1,IF(Config!$D$9="FR",2,3))),"[asset_col_id]")</f>
        <v>ID</v>
      </c>
      <c r="B5" s="5" t="str">
        <f>IFERROR(INDEX(_Lang!$B$2:$D$300,MATCH("asset_col_naam",_Lang!$A$2:$A$300,0),IF(Config!$D$9="NL",1,IF(Config!$D$9="FR",2,3))),"[asset_col_naam]")</f>
        <v>Naam</v>
      </c>
      <c r="C5" s="5" t="str">
        <f>IFERROR(INDEX(_Lang!$B$2:$D$300,MATCH("asset_col_omschrijving",_Lang!$A$2:$A$300,0),IF(Config!$D$9="NL",1,IF(Config!$D$9="FR",2,3))),"[asset_col_omschrijving]")</f>
        <v>Omschrijving</v>
      </c>
      <c r="D5" s="5" t="str">
        <f>IFERROR(INDEX(_Lang!$B$2:$D$300,MATCH("asset_col_eigenaar",_Lang!$A$2:$A$300,0),IF(Config!$D$9="NL",1,IF(Config!$D$9="FR",2,3))),"[asset_col_eigenaar]")</f>
        <v>Eigenaar</v>
      </c>
      <c r="E5" s="5" t="str">
        <f>IFERROR(INDEX(_Lang!$B$2:$D$300,MATCH("asset_col_dienst",_Lang!$A$2:$A$300,0),IF(Config!$D$9="NL",1,IF(Config!$D$9="FR",2,3))),"[asset_col_dienst]")</f>
        <v>Dienst / Entiteit</v>
      </c>
      <c r="F5" s="97" t="str">
        <f>IFERROR(INDEX(_Lang!$B$2:$D$300,MATCH("asset_col_conf",_Lang!$A$2:$A$300,0),IF(Config!$D$9="NL",1,IF(Config!$D$9="FR",2,3))),"[asset_col_conf]")</f>
        <v>Confidentialiteit</v>
      </c>
      <c r="G5" s="85"/>
      <c r="H5" s="5" t="str">
        <f>IFERROR(INDEX(_Lang!$B$2:$D$300,MATCH("asset_col_opmerkingen",_Lang!$A$2:$A$300,0),IF(Config!$D$9="NL",1,IF(Config!$D$9="FR",2,3))),"[asset_col_opmerkingen]")</f>
        <v>Opmerkingen</v>
      </c>
      <c r="I5" s="5" t="str">
        <f>IFERROR(INDEX(_Lang!$B$2:$D$300,MATCH("asset_col_processes",_Lang!$A$2:$A$300,0),IF(Config!$D$9="NL",1,IF(Config!$D$9="FR",2,3))),"[asset_col_processes]")</f>
        <v>Gebruikt in processen</v>
      </c>
    </row>
    <row r="6" spans="1:9" ht="24" customHeight="1" x14ac:dyDescent="0.25">
      <c r="A6" s="6" t="str">
        <f>IF(B6="","",TEXT(1,"A000"))</f>
        <v/>
      </c>
      <c r="B6" s="7"/>
      <c r="C6" s="7"/>
      <c r="D6" s="7"/>
      <c r="E6" s="7"/>
      <c r="F6" s="8"/>
      <c r="G6" s="9" t="str">
        <f>IF(F6="","",IFERROR(INDEX('Reference Values'!$B$8:$B$12,F6),"?"))</f>
        <v/>
      </c>
      <c r="H6" s="7"/>
      <c r="I6" s="13"/>
    </row>
    <row r="7" spans="1:9" ht="24" customHeight="1" x14ac:dyDescent="0.25">
      <c r="A7" s="10" t="str">
        <f>IF(B7="","",TEXT(2,"A000"))</f>
        <v/>
      </c>
      <c r="B7" s="11"/>
      <c r="C7" s="11"/>
      <c r="D7" s="11"/>
      <c r="E7" s="11"/>
      <c r="F7" s="12"/>
      <c r="G7" s="9" t="str">
        <f>IF(F7="","",IFERROR(INDEX('Reference Values'!$B$8:$B$12,F7),"?"))</f>
        <v/>
      </c>
      <c r="H7" s="11"/>
      <c r="I7" s="13"/>
    </row>
    <row r="8" spans="1:9" ht="24" customHeight="1" x14ac:dyDescent="0.25">
      <c r="A8" s="6" t="str">
        <f>IF(B8="","",TEXT(3,"A000"))</f>
        <v/>
      </c>
      <c r="B8" s="7"/>
      <c r="C8" s="7"/>
      <c r="D8" s="7"/>
      <c r="E8" s="7"/>
      <c r="F8" s="8"/>
      <c r="G8" s="9" t="str">
        <f>IF(F8="","",IFERROR(INDEX('Reference Values'!$B$8:$B$12,F8),"?"))</f>
        <v/>
      </c>
      <c r="H8" s="7"/>
      <c r="I8" s="13"/>
    </row>
    <row r="9" spans="1:9" ht="24" customHeight="1" x14ac:dyDescent="0.25">
      <c r="A9" s="10" t="str">
        <f>IF(B9="","",TEXT(4,"A000"))</f>
        <v/>
      </c>
      <c r="B9" s="11"/>
      <c r="C9" s="11"/>
      <c r="D9" s="11"/>
      <c r="E9" s="11"/>
      <c r="F9" s="12"/>
      <c r="G9" s="9" t="str">
        <f>IF(F9="","",IFERROR(INDEX('Reference Values'!$B$8:$B$12,F9),"?"))</f>
        <v/>
      </c>
      <c r="H9" s="11"/>
      <c r="I9" s="13"/>
    </row>
    <row r="10" spans="1:9" ht="24" customHeight="1" x14ac:dyDescent="0.25">
      <c r="A10" s="6" t="str">
        <f>IF(B10="","",TEXT(5,"A000"))</f>
        <v/>
      </c>
      <c r="B10" s="7"/>
      <c r="C10" s="7"/>
      <c r="D10" s="7"/>
      <c r="E10" s="7"/>
      <c r="F10" s="8"/>
      <c r="G10" s="9" t="str">
        <f>IF(F10="","",IFERROR(INDEX('Reference Values'!$B$8:$B$12,F10),"?"))</f>
        <v/>
      </c>
      <c r="H10" s="7"/>
      <c r="I10" s="13"/>
    </row>
    <row r="11" spans="1:9" ht="24" customHeight="1" x14ac:dyDescent="0.25">
      <c r="A11" s="10" t="str">
        <f>IF(B11="","",TEXT(6,"A000"))</f>
        <v/>
      </c>
      <c r="B11" s="11"/>
      <c r="C11" s="11"/>
      <c r="D11" s="11"/>
      <c r="E11" s="11"/>
      <c r="F11" s="12"/>
      <c r="G11" s="9" t="str">
        <f>IF(F11="","",IFERROR(INDEX('Reference Values'!$B$8:$B$12,F11),"?"))</f>
        <v/>
      </c>
      <c r="H11" s="11"/>
      <c r="I11" s="13"/>
    </row>
    <row r="12" spans="1:9" ht="24" customHeight="1" x14ac:dyDescent="0.25">
      <c r="A12" s="6" t="str">
        <f>IF(B12="","",TEXT(7,"A000"))</f>
        <v/>
      </c>
      <c r="B12" s="7"/>
      <c r="C12" s="7"/>
      <c r="D12" s="7"/>
      <c r="E12" s="7"/>
      <c r="F12" s="8"/>
      <c r="G12" s="9" t="str">
        <f>IF(F12="","",IFERROR(INDEX('Reference Values'!$B$8:$B$12,F12),"?"))</f>
        <v/>
      </c>
      <c r="H12" s="7"/>
      <c r="I12" s="13"/>
    </row>
    <row r="13" spans="1:9" ht="24" customHeight="1" x14ac:dyDescent="0.25">
      <c r="A13" s="10" t="str">
        <f>IF(B13="","",TEXT(8,"A000"))</f>
        <v/>
      </c>
      <c r="B13" s="11"/>
      <c r="C13" s="11"/>
      <c r="D13" s="11"/>
      <c r="E13" s="11"/>
      <c r="F13" s="12"/>
      <c r="G13" s="9" t="str">
        <f>IF(F13="","",IFERROR(INDEX('Reference Values'!$B$8:$B$12,F13),"?"))</f>
        <v/>
      </c>
      <c r="H13" s="11"/>
      <c r="I13" s="13"/>
    </row>
    <row r="14" spans="1:9" ht="24" customHeight="1" x14ac:dyDescent="0.25">
      <c r="A14" s="6" t="str">
        <f>IF(B14="","",TEXT(9,"A000"))</f>
        <v/>
      </c>
      <c r="B14" s="7"/>
      <c r="C14" s="7"/>
      <c r="D14" s="7"/>
      <c r="E14" s="7"/>
      <c r="F14" s="8"/>
      <c r="G14" s="9" t="str">
        <f>IF(F14="","",IFERROR(INDEX('Reference Values'!$B$8:$B$12,F14),"?"))</f>
        <v/>
      </c>
      <c r="H14" s="7"/>
      <c r="I14" s="13"/>
    </row>
    <row r="15" spans="1:9" ht="24" customHeight="1" x14ac:dyDescent="0.25">
      <c r="A15" s="10" t="str">
        <f>IF(B15="","",TEXT(10,"A000"))</f>
        <v/>
      </c>
      <c r="B15" s="11"/>
      <c r="C15" s="11"/>
      <c r="D15" s="11"/>
      <c r="E15" s="11"/>
      <c r="F15" s="12"/>
      <c r="G15" s="9" t="str">
        <f>IF(F15="","",IFERROR(INDEX('Reference Values'!$B$8:$B$12,F15),"?"))</f>
        <v/>
      </c>
      <c r="H15" s="11"/>
      <c r="I15" s="13"/>
    </row>
    <row r="16" spans="1:9" ht="24" customHeight="1" x14ac:dyDescent="0.25">
      <c r="A16" s="6" t="str">
        <f>IF(B16="","",TEXT(11,"A000"))</f>
        <v/>
      </c>
      <c r="B16" s="7"/>
      <c r="C16" s="7"/>
      <c r="D16" s="7"/>
      <c r="E16" s="7"/>
      <c r="F16" s="8"/>
      <c r="G16" s="9" t="str">
        <f>IF(F16="","",IFERROR(INDEX('Reference Values'!$B$8:$B$12,F16),"?"))</f>
        <v/>
      </c>
      <c r="H16" s="7"/>
      <c r="I16" s="13"/>
    </row>
    <row r="17" spans="1:9" ht="24" customHeight="1" x14ac:dyDescent="0.25">
      <c r="A17" s="10" t="str">
        <f>IF(B17="","",TEXT(12,"A000"))</f>
        <v/>
      </c>
      <c r="B17" s="11"/>
      <c r="C17" s="11"/>
      <c r="D17" s="11"/>
      <c r="E17" s="11"/>
      <c r="F17" s="12"/>
      <c r="G17" s="9" t="str">
        <f>IF(F17="","",IFERROR(INDEX('Reference Values'!$B$8:$B$12,F17),"?"))</f>
        <v/>
      </c>
      <c r="H17" s="11"/>
      <c r="I17" s="13"/>
    </row>
    <row r="18" spans="1:9" ht="24" customHeight="1" x14ac:dyDescent="0.25">
      <c r="A18" s="6" t="str">
        <f>IF(B18="","",TEXT(13,"A000"))</f>
        <v/>
      </c>
      <c r="B18" s="7"/>
      <c r="C18" s="7"/>
      <c r="D18" s="7"/>
      <c r="E18" s="7"/>
      <c r="F18" s="8"/>
      <c r="G18" s="9" t="str">
        <f>IF(F18="","",IFERROR(INDEX('Reference Values'!$B$8:$B$12,F18),"?"))</f>
        <v/>
      </c>
      <c r="H18" s="7"/>
      <c r="I18" s="13"/>
    </row>
    <row r="19" spans="1:9" ht="24" customHeight="1" x14ac:dyDescent="0.25">
      <c r="A19" s="10" t="str">
        <f>IF(B19="","",TEXT(14,"A000"))</f>
        <v/>
      </c>
      <c r="B19" s="11"/>
      <c r="C19" s="11"/>
      <c r="D19" s="11"/>
      <c r="E19" s="11"/>
      <c r="F19" s="12"/>
      <c r="G19" s="9" t="str">
        <f>IF(F19="","",IFERROR(INDEX('Reference Values'!$B$8:$B$12,F19),"?"))</f>
        <v/>
      </c>
      <c r="H19" s="11"/>
      <c r="I19" s="13"/>
    </row>
    <row r="20" spans="1:9" ht="24" customHeight="1" x14ac:dyDescent="0.25">
      <c r="A20" s="6" t="str">
        <f>IF(B20="","",TEXT(15,"A000"))</f>
        <v/>
      </c>
      <c r="B20" s="7"/>
      <c r="C20" s="7"/>
      <c r="D20" s="7"/>
      <c r="E20" s="7"/>
      <c r="F20" s="8"/>
      <c r="G20" s="9" t="str">
        <f>IF(F20="","",IFERROR(INDEX('Reference Values'!$B$8:$B$12,F20),"?"))</f>
        <v/>
      </c>
      <c r="H20" s="7"/>
      <c r="I20" s="13"/>
    </row>
    <row r="21" spans="1:9" ht="24" customHeight="1" x14ac:dyDescent="0.25">
      <c r="A21" s="10" t="str">
        <f>IF(B21="","",TEXT(16,"A000"))</f>
        <v/>
      </c>
      <c r="B21" s="11"/>
      <c r="C21" s="11"/>
      <c r="D21" s="11"/>
      <c r="E21" s="11"/>
      <c r="F21" s="12"/>
      <c r="G21" s="9" t="str">
        <f>IF(F21="","",IFERROR(INDEX('Reference Values'!$B$8:$B$12,F21),"?"))</f>
        <v/>
      </c>
      <c r="H21" s="11"/>
      <c r="I21" s="13"/>
    </row>
    <row r="22" spans="1:9" ht="24" customHeight="1" x14ac:dyDescent="0.25">
      <c r="A22" s="6" t="str">
        <f>IF(B22="","",TEXT(17,"A000"))</f>
        <v/>
      </c>
      <c r="B22" s="7"/>
      <c r="C22" s="7"/>
      <c r="D22" s="7"/>
      <c r="E22" s="7"/>
      <c r="F22" s="8"/>
      <c r="G22" s="9" t="str">
        <f>IF(F22="","",IFERROR(INDEX('Reference Values'!$B$8:$B$12,F22),"?"))</f>
        <v/>
      </c>
      <c r="H22" s="7"/>
      <c r="I22" s="13"/>
    </row>
    <row r="23" spans="1:9" ht="24" customHeight="1" x14ac:dyDescent="0.25">
      <c r="A23" s="10" t="str">
        <f>IF(B23="","",TEXT(18,"A000"))</f>
        <v/>
      </c>
      <c r="B23" s="11"/>
      <c r="C23" s="11"/>
      <c r="D23" s="11"/>
      <c r="E23" s="11"/>
      <c r="F23" s="12"/>
      <c r="G23" s="9" t="str">
        <f>IF(F23="","",IFERROR(INDEX('Reference Values'!$B$8:$B$12,F23),"?"))</f>
        <v/>
      </c>
      <c r="H23" s="11"/>
      <c r="I23" s="13"/>
    </row>
    <row r="24" spans="1:9" ht="24" customHeight="1" x14ac:dyDescent="0.25">
      <c r="A24" s="6" t="str">
        <f>IF(B24="","",TEXT(19,"A000"))</f>
        <v/>
      </c>
      <c r="B24" s="7"/>
      <c r="C24" s="7"/>
      <c r="D24" s="7"/>
      <c r="E24" s="7"/>
      <c r="F24" s="8"/>
      <c r="G24" s="9" t="str">
        <f>IF(F24="","",IFERROR(INDEX('Reference Values'!$B$8:$B$12,F24),"?"))</f>
        <v/>
      </c>
      <c r="H24" s="7"/>
      <c r="I24" s="13"/>
    </row>
    <row r="25" spans="1:9" ht="24" customHeight="1" x14ac:dyDescent="0.25">
      <c r="A25" s="10" t="str">
        <f>IF(B25="","",TEXT(20,"A000"))</f>
        <v/>
      </c>
      <c r="B25" s="11"/>
      <c r="C25" s="11"/>
      <c r="D25" s="11"/>
      <c r="E25" s="11"/>
      <c r="F25" s="12"/>
      <c r="G25" s="9" t="str">
        <f>IF(F25="","",IFERROR(INDEX('Reference Values'!$B$8:$B$12,F25),"?"))</f>
        <v/>
      </c>
      <c r="H25" s="11"/>
      <c r="I25" s="13"/>
    </row>
    <row r="26" spans="1:9" ht="24" customHeight="1" x14ac:dyDescent="0.25">
      <c r="A26" s="6" t="str">
        <f>IF(B26="","",TEXT(21,"A000"))</f>
        <v/>
      </c>
      <c r="B26" s="7"/>
      <c r="C26" s="7"/>
      <c r="D26" s="7"/>
      <c r="E26" s="7"/>
      <c r="F26" s="8"/>
      <c r="G26" s="9" t="str">
        <f>IF(F26="","",IFERROR(INDEX('Reference Values'!$B$8:$B$12,F26),"?"))</f>
        <v/>
      </c>
      <c r="H26" s="7"/>
      <c r="I26" s="13"/>
    </row>
    <row r="27" spans="1:9" ht="24" customHeight="1" x14ac:dyDescent="0.25">
      <c r="A27" s="10" t="str">
        <f>IF(B27="","",TEXT(22,"A000"))</f>
        <v/>
      </c>
      <c r="B27" s="11"/>
      <c r="C27" s="11"/>
      <c r="D27" s="11"/>
      <c r="E27" s="11"/>
      <c r="F27" s="12"/>
      <c r="G27" s="9" t="str">
        <f>IF(F27="","",IFERROR(INDEX('Reference Values'!$B$8:$B$12,F27),"?"))</f>
        <v/>
      </c>
      <c r="H27" s="11"/>
      <c r="I27" s="13"/>
    </row>
    <row r="28" spans="1:9" ht="24" customHeight="1" x14ac:dyDescent="0.25">
      <c r="A28" s="6" t="str">
        <f>IF(B28="","",TEXT(23,"A000"))</f>
        <v/>
      </c>
      <c r="B28" s="7"/>
      <c r="C28" s="7"/>
      <c r="D28" s="7"/>
      <c r="E28" s="7"/>
      <c r="F28" s="8"/>
      <c r="G28" s="9" t="str">
        <f>IF(F28="","",IFERROR(INDEX('Reference Values'!$B$8:$B$12,F28),"?"))</f>
        <v/>
      </c>
      <c r="H28" s="7"/>
      <c r="I28" s="13"/>
    </row>
    <row r="29" spans="1:9" ht="24" customHeight="1" x14ac:dyDescent="0.25">
      <c r="A29" s="10" t="str">
        <f>IF(B29="","",TEXT(24,"A000"))</f>
        <v/>
      </c>
      <c r="B29" s="11"/>
      <c r="C29" s="11"/>
      <c r="D29" s="11"/>
      <c r="E29" s="11"/>
      <c r="F29" s="12"/>
      <c r="G29" s="9" t="str">
        <f>IF(F29="","",IFERROR(INDEX('Reference Values'!$B$8:$B$12,F29),"?"))</f>
        <v/>
      </c>
      <c r="H29" s="11"/>
      <c r="I29" s="13"/>
    </row>
    <row r="30" spans="1:9" ht="24" customHeight="1" x14ac:dyDescent="0.25">
      <c r="A30" s="6" t="str">
        <f>IF(B30="","",TEXT(25,"A000"))</f>
        <v/>
      </c>
      <c r="B30" s="7"/>
      <c r="C30" s="7"/>
      <c r="D30" s="7"/>
      <c r="E30" s="7"/>
      <c r="F30" s="8"/>
      <c r="G30" s="9" t="str">
        <f>IF(F30="","",IFERROR(INDEX('Reference Values'!$B$8:$B$12,F30),"?"))</f>
        <v/>
      </c>
      <c r="H30" s="7"/>
      <c r="I30" s="13"/>
    </row>
    <row r="31" spans="1:9" ht="24" customHeight="1" x14ac:dyDescent="0.25">
      <c r="A31" s="10" t="str">
        <f>IF(B31="","",TEXT(26,"A000"))</f>
        <v/>
      </c>
      <c r="B31" s="11"/>
      <c r="C31" s="11"/>
      <c r="D31" s="11"/>
      <c r="E31" s="11"/>
      <c r="F31" s="12"/>
      <c r="G31" s="9" t="str">
        <f>IF(F31="","",IFERROR(INDEX('Reference Values'!$B$8:$B$12,F31),"?"))</f>
        <v/>
      </c>
      <c r="H31" s="11"/>
      <c r="I31" s="13"/>
    </row>
    <row r="32" spans="1:9" ht="24" customHeight="1" x14ac:dyDescent="0.25">
      <c r="A32" s="6" t="str">
        <f>IF(B32="","",TEXT(27,"A000"))</f>
        <v/>
      </c>
      <c r="B32" s="7"/>
      <c r="C32" s="7"/>
      <c r="D32" s="7"/>
      <c r="E32" s="7"/>
      <c r="F32" s="8"/>
      <c r="G32" s="9" t="str">
        <f>IF(F32="","",IFERROR(INDEX('Reference Values'!$B$8:$B$12,F32),"?"))</f>
        <v/>
      </c>
      <c r="H32" s="7"/>
      <c r="I32" s="13"/>
    </row>
    <row r="33" spans="1:9" ht="24" customHeight="1" x14ac:dyDescent="0.25">
      <c r="A33" s="10" t="str">
        <f>IF(B33="","",TEXT(28,"A000"))</f>
        <v/>
      </c>
      <c r="B33" s="11"/>
      <c r="C33" s="11"/>
      <c r="D33" s="11"/>
      <c r="E33" s="11"/>
      <c r="F33" s="12"/>
      <c r="G33" s="9" t="str">
        <f>IF(F33="","",IFERROR(INDEX('Reference Values'!$B$8:$B$12,F33),"?"))</f>
        <v/>
      </c>
      <c r="H33" s="11"/>
      <c r="I33" s="13"/>
    </row>
    <row r="34" spans="1:9" ht="24" customHeight="1" x14ac:dyDescent="0.25">
      <c r="A34" s="6" t="str">
        <f>IF(B34="","",TEXT(29,"A000"))</f>
        <v/>
      </c>
      <c r="B34" s="7"/>
      <c r="C34" s="7"/>
      <c r="D34" s="7"/>
      <c r="E34" s="7"/>
      <c r="F34" s="8"/>
      <c r="G34" s="9" t="str">
        <f>IF(F34="","",IFERROR(INDEX('Reference Values'!$B$8:$B$12,F34),"?"))</f>
        <v/>
      </c>
      <c r="H34" s="7"/>
      <c r="I34" s="13"/>
    </row>
    <row r="35" spans="1:9" ht="24" customHeight="1" x14ac:dyDescent="0.25">
      <c r="A35" s="10" t="str">
        <f>IF(B35="","",TEXT(30,"A000"))</f>
        <v/>
      </c>
      <c r="B35" s="11"/>
      <c r="C35" s="11"/>
      <c r="D35" s="11"/>
      <c r="E35" s="11"/>
      <c r="F35" s="12"/>
      <c r="G35" s="9" t="str">
        <f>IF(F35="","",IFERROR(INDEX('Reference Values'!$B$8:$B$12,F35),"?"))</f>
        <v/>
      </c>
      <c r="H35" s="11"/>
      <c r="I35" s="13"/>
    </row>
    <row r="36" spans="1:9" ht="24" customHeight="1" x14ac:dyDescent="0.25">
      <c r="A36" s="6" t="str">
        <f>IF(B36="","",TEXT(31,"A000"))</f>
        <v/>
      </c>
      <c r="B36" s="7"/>
      <c r="C36" s="7"/>
      <c r="D36" s="7"/>
      <c r="E36" s="7"/>
      <c r="F36" s="8"/>
      <c r="G36" s="9" t="str">
        <f>IF(F36="","",IFERROR(INDEX('Reference Values'!$B$8:$B$12,F36),"?"))</f>
        <v/>
      </c>
      <c r="H36" s="7"/>
      <c r="I36" s="13"/>
    </row>
    <row r="37" spans="1:9" ht="24" customHeight="1" x14ac:dyDescent="0.25">
      <c r="A37" s="10" t="str">
        <f>IF(B37="","",TEXT(32,"A000"))</f>
        <v/>
      </c>
      <c r="B37" s="11"/>
      <c r="C37" s="11"/>
      <c r="D37" s="11"/>
      <c r="E37" s="11"/>
      <c r="F37" s="12"/>
      <c r="G37" s="9" t="str">
        <f>IF(F37="","",IFERROR(INDEX('Reference Values'!$B$8:$B$12,F37),"?"))</f>
        <v/>
      </c>
      <c r="H37" s="11"/>
      <c r="I37" s="13"/>
    </row>
    <row r="38" spans="1:9" ht="24" customHeight="1" x14ac:dyDescent="0.25">
      <c r="A38" s="6" t="str">
        <f>IF(B38="","",TEXT(33,"A000"))</f>
        <v/>
      </c>
      <c r="B38" s="7"/>
      <c r="C38" s="7"/>
      <c r="D38" s="7"/>
      <c r="E38" s="7"/>
      <c r="F38" s="8"/>
      <c r="G38" s="9" t="str">
        <f>IF(F38="","",IFERROR(INDEX('Reference Values'!$B$8:$B$12,F38),"?"))</f>
        <v/>
      </c>
      <c r="H38" s="7"/>
      <c r="I38" s="13"/>
    </row>
    <row r="39" spans="1:9" ht="24" customHeight="1" x14ac:dyDescent="0.25">
      <c r="A39" s="10" t="str">
        <f>IF(B39="","",TEXT(34,"A000"))</f>
        <v/>
      </c>
      <c r="B39" s="11"/>
      <c r="C39" s="11"/>
      <c r="D39" s="11"/>
      <c r="E39" s="11"/>
      <c r="F39" s="12"/>
      <c r="G39" s="9" t="str">
        <f>IF(F39="","",IFERROR(INDEX('Reference Values'!$B$8:$B$12,F39),"?"))</f>
        <v/>
      </c>
      <c r="H39" s="11"/>
      <c r="I39" s="13"/>
    </row>
    <row r="40" spans="1:9" ht="24" customHeight="1" x14ac:dyDescent="0.25">
      <c r="A40" s="6" t="str">
        <f>IF(B40="","",TEXT(35,"A000"))</f>
        <v/>
      </c>
      <c r="B40" s="7"/>
      <c r="C40" s="7"/>
      <c r="D40" s="7"/>
      <c r="E40" s="7"/>
      <c r="F40" s="8"/>
      <c r="G40" s="9" t="str">
        <f>IF(F40="","",IFERROR(INDEX('Reference Values'!$B$8:$B$12,F40),"?"))</f>
        <v/>
      </c>
      <c r="H40" s="7"/>
      <c r="I40" s="13"/>
    </row>
    <row r="41" spans="1:9" ht="24" customHeight="1" x14ac:dyDescent="0.25">
      <c r="A41" s="10" t="str">
        <f>IF(B41="","",TEXT(36,"A000"))</f>
        <v/>
      </c>
      <c r="B41" s="11"/>
      <c r="C41" s="11"/>
      <c r="D41" s="11"/>
      <c r="E41" s="11"/>
      <c r="F41" s="12"/>
      <c r="G41" s="9" t="str">
        <f>IF(F41="","",IFERROR(INDEX('Reference Values'!$B$8:$B$12,F41),"?"))</f>
        <v/>
      </c>
      <c r="H41" s="11"/>
      <c r="I41" s="13"/>
    </row>
    <row r="42" spans="1:9" ht="24" customHeight="1" x14ac:dyDescent="0.25">
      <c r="A42" s="6" t="str">
        <f>IF(B42="","",TEXT(37,"A000"))</f>
        <v/>
      </c>
      <c r="B42" s="7"/>
      <c r="C42" s="7"/>
      <c r="D42" s="7"/>
      <c r="E42" s="7"/>
      <c r="F42" s="8"/>
      <c r="G42" s="9" t="str">
        <f>IF(F42="","",IFERROR(INDEX('Reference Values'!$B$8:$B$12,F42),"?"))</f>
        <v/>
      </c>
      <c r="H42" s="7"/>
      <c r="I42" s="13"/>
    </row>
    <row r="43" spans="1:9" ht="24" customHeight="1" x14ac:dyDescent="0.25">
      <c r="A43" s="10" t="str">
        <f>IF(B43="","",TEXT(38,"A000"))</f>
        <v/>
      </c>
      <c r="B43" s="11"/>
      <c r="C43" s="11"/>
      <c r="D43" s="11"/>
      <c r="E43" s="11"/>
      <c r="F43" s="12"/>
      <c r="G43" s="9" t="str">
        <f>IF(F43="","",IFERROR(INDEX('Reference Values'!$B$8:$B$12,F43),"?"))</f>
        <v/>
      </c>
      <c r="H43" s="11"/>
      <c r="I43" s="13"/>
    </row>
    <row r="44" spans="1:9" ht="24" customHeight="1" x14ac:dyDescent="0.25">
      <c r="A44" s="6" t="str">
        <f>IF(B44="","",TEXT(39,"A000"))</f>
        <v/>
      </c>
      <c r="B44" s="7"/>
      <c r="C44" s="7"/>
      <c r="D44" s="7"/>
      <c r="E44" s="7"/>
      <c r="F44" s="8"/>
      <c r="G44" s="9" t="str">
        <f>IF(F44="","",IFERROR(INDEX('Reference Values'!$B$8:$B$12,F44),"?"))</f>
        <v/>
      </c>
      <c r="H44" s="7"/>
      <c r="I44" s="13"/>
    </row>
    <row r="45" spans="1:9" ht="24" customHeight="1" x14ac:dyDescent="0.25">
      <c r="A45" s="10" t="str">
        <f>IF(B45="","",TEXT(40,"A000"))</f>
        <v/>
      </c>
      <c r="B45" s="11"/>
      <c r="C45" s="11"/>
      <c r="D45" s="11"/>
      <c r="E45" s="11"/>
      <c r="F45" s="12"/>
      <c r="G45" s="9" t="str">
        <f>IF(F45="","",IFERROR(INDEX('Reference Values'!$B$8:$B$12,F45),"?"))</f>
        <v/>
      </c>
      <c r="H45" s="11"/>
      <c r="I45" s="13"/>
    </row>
    <row r="46" spans="1:9" ht="24" customHeight="1" x14ac:dyDescent="0.25">
      <c r="A46" s="6" t="str">
        <f>IF(B46="","",TEXT(41,"A000"))</f>
        <v/>
      </c>
      <c r="B46" s="7"/>
      <c r="C46" s="7"/>
      <c r="D46" s="7"/>
      <c r="E46" s="7"/>
      <c r="F46" s="8"/>
      <c r="G46" s="9" t="str">
        <f>IF(F46="","",IFERROR(INDEX('Reference Values'!$B$8:$B$12,F46),"?"))</f>
        <v/>
      </c>
      <c r="H46" s="7"/>
      <c r="I46" s="13"/>
    </row>
    <row r="47" spans="1:9" ht="24" customHeight="1" x14ac:dyDescent="0.25">
      <c r="A47" s="10" t="str">
        <f>IF(B47="","",TEXT(42,"A000"))</f>
        <v/>
      </c>
      <c r="B47" s="11"/>
      <c r="C47" s="11"/>
      <c r="D47" s="11"/>
      <c r="E47" s="11"/>
      <c r="F47" s="12"/>
      <c r="G47" s="9" t="str">
        <f>IF(F47="","",IFERROR(INDEX('Reference Values'!$B$8:$B$12,F47),"?"))</f>
        <v/>
      </c>
      <c r="H47" s="11"/>
      <c r="I47" s="13"/>
    </row>
    <row r="48" spans="1:9" ht="24" customHeight="1" x14ac:dyDescent="0.25">
      <c r="A48" s="6" t="str">
        <f>IF(B48="","",TEXT(43,"A000"))</f>
        <v/>
      </c>
      <c r="B48" s="7"/>
      <c r="C48" s="7"/>
      <c r="D48" s="7"/>
      <c r="E48" s="7"/>
      <c r="F48" s="8"/>
      <c r="G48" s="9" t="str">
        <f>IF(F48="","",IFERROR(INDEX('Reference Values'!$B$8:$B$12,F48),"?"))</f>
        <v/>
      </c>
      <c r="H48" s="7"/>
      <c r="I48" s="13"/>
    </row>
    <row r="49" spans="1:9" ht="24" customHeight="1" x14ac:dyDescent="0.25">
      <c r="A49" s="10" t="str">
        <f>IF(B49="","",TEXT(44,"A000"))</f>
        <v/>
      </c>
      <c r="B49" s="11"/>
      <c r="C49" s="11"/>
      <c r="D49" s="11"/>
      <c r="E49" s="11"/>
      <c r="F49" s="12"/>
      <c r="G49" s="9" t="str">
        <f>IF(F49="","",IFERROR(INDEX('Reference Values'!$B$8:$B$12,F49),"?"))</f>
        <v/>
      </c>
      <c r="H49" s="11"/>
      <c r="I49" s="13"/>
    </row>
    <row r="50" spans="1:9" ht="24" customHeight="1" x14ac:dyDescent="0.25">
      <c r="A50" s="6" t="str">
        <f>IF(B50="","",TEXT(45,"A000"))</f>
        <v/>
      </c>
      <c r="B50" s="7"/>
      <c r="C50" s="7"/>
      <c r="D50" s="7"/>
      <c r="E50" s="7"/>
      <c r="F50" s="8"/>
      <c r="G50" s="9" t="str">
        <f>IF(F50="","",IFERROR(INDEX('Reference Values'!$B$8:$B$12,F50),"?"))</f>
        <v/>
      </c>
      <c r="H50" s="7"/>
      <c r="I50" s="13"/>
    </row>
    <row r="51" spans="1:9" ht="24" customHeight="1" x14ac:dyDescent="0.25">
      <c r="A51" s="10" t="str">
        <f>IF(B51="","",TEXT(46,"A000"))</f>
        <v/>
      </c>
      <c r="B51" s="11"/>
      <c r="C51" s="11"/>
      <c r="D51" s="11"/>
      <c r="E51" s="11"/>
      <c r="F51" s="12"/>
      <c r="G51" s="9" t="str">
        <f>IF(F51="","",IFERROR(INDEX('Reference Values'!$B$8:$B$12,F51),"?"))</f>
        <v/>
      </c>
      <c r="H51" s="11"/>
      <c r="I51" s="13"/>
    </row>
    <row r="52" spans="1:9" ht="24" customHeight="1" x14ac:dyDescent="0.25">
      <c r="A52" s="6" t="str">
        <f>IF(B52="","",TEXT(47,"A000"))</f>
        <v/>
      </c>
      <c r="B52" s="7"/>
      <c r="C52" s="7"/>
      <c r="D52" s="7"/>
      <c r="E52" s="7"/>
      <c r="F52" s="8"/>
      <c r="G52" s="9" t="str">
        <f>IF(F52="","",IFERROR(INDEX('Reference Values'!$B$8:$B$12,F52),"?"))</f>
        <v/>
      </c>
      <c r="H52" s="7"/>
      <c r="I52" s="13"/>
    </row>
    <row r="53" spans="1:9" ht="24" customHeight="1" x14ac:dyDescent="0.25">
      <c r="A53" s="10" t="str">
        <f>IF(B53="","",TEXT(48,"A000"))</f>
        <v/>
      </c>
      <c r="B53" s="11"/>
      <c r="C53" s="11"/>
      <c r="D53" s="11"/>
      <c r="E53" s="11"/>
      <c r="F53" s="12"/>
      <c r="G53" s="9" t="str">
        <f>IF(F53="","",IFERROR(INDEX('Reference Values'!$B$8:$B$12,F53),"?"))</f>
        <v/>
      </c>
      <c r="H53" s="11"/>
      <c r="I53" s="13"/>
    </row>
    <row r="54" spans="1:9" ht="24" customHeight="1" x14ac:dyDescent="0.25">
      <c r="A54" s="6" t="str">
        <f>IF(B54="","",TEXT(49,"A000"))</f>
        <v/>
      </c>
      <c r="B54" s="7"/>
      <c r="C54" s="7"/>
      <c r="D54" s="7"/>
      <c r="E54" s="7"/>
      <c r="F54" s="8"/>
      <c r="G54" s="9" t="str">
        <f>IF(F54="","",IFERROR(INDEX('Reference Values'!$B$8:$B$12,F54),"?"))</f>
        <v/>
      </c>
      <c r="H54" s="7"/>
      <c r="I54" s="13"/>
    </row>
    <row r="55" spans="1:9" ht="24" customHeight="1" x14ac:dyDescent="0.25">
      <c r="A55" s="10" t="str">
        <f>IF(B55="","",TEXT(50,"A000"))</f>
        <v/>
      </c>
      <c r="B55" s="11"/>
      <c r="C55" s="11"/>
      <c r="D55" s="11"/>
      <c r="E55" s="11"/>
      <c r="F55" s="12"/>
      <c r="G55" s="9" t="str">
        <f>IF(F55="","",IFERROR(INDEX('Reference Values'!$B$8:$B$12,F55),"?"))</f>
        <v/>
      </c>
      <c r="H55" s="11"/>
      <c r="I55" s="13"/>
    </row>
    <row r="56" spans="1:9" ht="24" customHeight="1" x14ac:dyDescent="0.25">
      <c r="A56" s="6" t="str">
        <f>IF(B56="","",TEXT(51,"A000"))</f>
        <v/>
      </c>
      <c r="B56" s="7"/>
      <c r="C56" s="7"/>
      <c r="D56" s="7"/>
      <c r="E56" s="7"/>
      <c r="F56" s="8"/>
      <c r="G56" s="9" t="str">
        <f>IF(F56="","",IFERROR(INDEX('Reference Values'!$B$8:$B$12,F56),"?"))</f>
        <v/>
      </c>
      <c r="H56" s="7"/>
      <c r="I56" s="13"/>
    </row>
    <row r="57" spans="1:9" ht="24" customHeight="1" x14ac:dyDescent="0.25">
      <c r="A57" s="10" t="str">
        <f>IF(B57="","",TEXT(52,"A000"))</f>
        <v/>
      </c>
      <c r="B57" s="11"/>
      <c r="C57" s="11"/>
      <c r="D57" s="11"/>
      <c r="E57" s="11"/>
      <c r="F57" s="12"/>
      <c r="G57" s="9" t="str">
        <f>IF(F57="","",IFERROR(INDEX('Reference Values'!$B$8:$B$12,F57),"?"))</f>
        <v/>
      </c>
      <c r="H57" s="11"/>
      <c r="I57" s="13"/>
    </row>
    <row r="58" spans="1:9" ht="24" customHeight="1" x14ac:dyDescent="0.25">
      <c r="A58" s="6" t="str">
        <f>IF(B58="","",TEXT(53,"A000"))</f>
        <v/>
      </c>
      <c r="B58" s="7"/>
      <c r="C58" s="7"/>
      <c r="D58" s="7"/>
      <c r="E58" s="7"/>
      <c r="F58" s="8"/>
      <c r="G58" s="9" t="str">
        <f>IF(F58="","",IFERROR(INDEX('Reference Values'!$B$8:$B$12,F58),"?"))</f>
        <v/>
      </c>
      <c r="H58" s="7"/>
      <c r="I58" s="13"/>
    </row>
    <row r="59" spans="1:9" ht="24" customHeight="1" x14ac:dyDescent="0.25">
      <c r="A59" s="10" t="str">
        <f>IF(B59="","",TEXT(54,"A000"))</f>
        <v/>
      </c>
      <c r="B59" s="11"/>
      <c r="C59" s="11"/>
      <c r="D59" s="11"/>
      <c r="E59" s="11"/>
      <c r="F59" s="12"/>
      <c r="G59" s="9" t="str">
        <f>IF(F59="","",IFERROR(INDEX('Reference Values'!$B$8:$B$12,F59),"?"))</f>
        <v/>
      </c>
      <c r="H59" s="11"/>
      <c r="I59" s="13"/>
    </row>
    <row r="60" spans="1:9" ht="24" customHeight="1" x14ac:dyDescent="0.25">
      <c r="A60" s="6" t="str">
        <f>IF(B60="","",TEXT(55,"A000"))</f>
        <v/>
      </c>
      <c r="B60" s="7"/>
      <c r="C60" s="7"/>
      <c r="D60" s="7"/>
      <c r="E60" s="7"/>
      <c r="F60" s="8"/>
      <c r="G60" s="9" t="str">
        <f>IF(F60="","",IFERROR(INDEX('Reference Values'!$B$8:$B$12,F60),"?"))</f>
        <v/>
      </c>
      <c r="H60" s="7"/>
      <c r="I60" s="13"/>
    </row>
    <row r="61" spans="1:9" ht="24" customHeight="1" x14ac:dyDescent="0.25">
      <c r="A61" s="10" t="str">
        <f>IF(B61="","",TEXT(56,"A000"))</f>
        <v/>
      </c>
      <c r="B61" s="11"/>
      <c r="C61" s="11"/>
      <c r="D61" s="11"/>
      <c r="E61" s="11"/>
      <c r="F61" s="12"/>
      <c r="G61" s="9" t="str">
        <f>IF(F61="","",IFERROR(INDEX('Reference Values'!$B$8:$B$12,F61),"?"))</f>
        <v/>
      </c>
      <c r="H61" s="11"/>
      <c r="I61" s="13"/>
    </row>
    <row r="62" spans="1:9" ht="24" customHeight="1" x14ac:dyDescent="0.25">
      <c r="A62" s="6" t="str">
        <f>IF(B62="","",TEXT(57,"A000"))</f>
        <v/>
      </c>
      <c r="B62" s="7"/>
      <c r="C62" s="7"/>
      <c r="D62" s="7"/>
      <c r="E62" s="7"/>
      <c r="F62" s="8"/>
      <c r="G62" s="9" t="str">
        <f>IF(F62="","",IFERROR(INDEX('Reference Values'!$B$8:$B$12,F62),"?"))</f>
        <v/>
      </c>
      <c r="H62" s="7"/>
      <c r="I62" s="13"/>
    </row>
    <row r="63" spans="1:9" ht="24" customHeight="1" x14ac:dyDescent="0.25">
      <c r="A63" s="10" t="str">
        <f>IF(B63="","",TEXT(58,"A000"))</f>
        <v/>
      </c>
      <c r="B63" s="11"/>
      <c r="C63" s="11"/>
      <c r="D63" s="11"/>
      <c r="E63" s="11"/>
      <c r="F63" s="12"/>
      <c r="G63" s="9" t="str">
        <f>IF(F63="","",IFERROR(INDEX('Reference Values'!$B$8:$B$12,F63),"?"))</f>
        <v/>
      </c>
      <c r="H63" s="11"/>
      <c r="I63" s="13"/>
    </row>
    <row r="64" spans="1:9" ht="24" customHeight="1" x14ac:dyDescent="0.25">
      <c r="A64" s="6" t="str">
        <f>IF(B64="","",TEXT(59,"A000"))</f>
        <v/>
      </c>
      <c r="B64" s="7"/>
      <c r="C64" s="7"/>
      <c r="D64" s="7"/>
      <c r="E64" s="7"/>
      <c r="F64" s="8"/>
      <c r="G64" s="9" t="str">
        <f>IF(F64="","",IFERROR(INDEX('Reference Values'!$B$8:$B$12,F64),"?"))</f>
        <v/>
      </c>
      <c r="H64" s="7"/>
      <c r="I64" s="13"/>
    </row>
    <row r="65" spans="1:9" ht="24" customHeight="1" x14ac:dyDescent="0.25">
      <c r="A65" s="10" t="str">
        <f>IF(B65="","",TEXT(60,"A000"))</f>
        <v/>
      </c>
      <c r="B65" s="11"/>
      <c r="C65" s="11"/>
      <c r="D65" s="11"/>
      <c r="E65" s="11"/>
      <c r="F65" s="12"/>
      <c r="G65" s="9" t="str">
        <f>IF(F65="","",IFERROR(INDEX('Reference Values'!$B$8:$B$12,F65),"?"))</f>
        <v/>
      </c>
      <c r="H65" s="11"/>
      <c r="I65" s="13"/>
    </row>
    <row r="66" spans="1:9" ht="24" customHeight="1" x14ac:dyDescent="0.25">
      <c r="A66" s="6" t="str">
        <f>IF(B66="","",TEXT(61,"A000"))</f>
        <v/>
      </c>
      <c r="B66" s="7"/>
      <c r="C66" s="7"/>
      <c r="D66" s="7"/>
      <c r="E66" s="7"/>
      <c r="F66" s="8"/>
      <c r="G66" s="9" t="str">
        <f>IF(F66="","",IFERROR(INDEX('Reference Values'!$B$8:$B$12,F66),"?"))</f>
        <v/>
      </c>
      <c r="H66" s="7"/>
      <c r="I66" s="13"/>
    </row>
    <row r="67" spans="1:9" ht="24" customHeight="1" x14ac:dyDescent="0.25">
      <c r="A67" s="10" t="str">
        <f>IF(B67="","",TEXT(62,"A000"))</f>
        <v/>
      </c>
      <c r="B67" s="11"/>
      <c r="C67" s="11"/>
      <c r="D67" s="11"/>
      <c r="E67" s="11"/>
      <c r="F67" s="12"/>
      <c r="G67" s="9" t="str">
        <f>IF(F67="","",IFERROR(INDEX('Reference Values'!$B$8:$B$12,F67),"?"))</f>
        <v/>
      </c>
      <c r="H67" s="11"/>
      <c r="I67" s="13"/>
    </row>
    <row r="68" spans="1:9" ht="24" customHeight="1" x14ac:dyDescent="0.25">
      <c r="A68" s="6" t="str">
        <f>IF(B68="","",TEXT(63,"A000"))</f>
        <v/>
      </c>
      <c r="B68" s="7"/>
      <c r="C68" s="7"/>
      <c r="D68" s="7"/>
      <c r="E68" s="7"/>
      <c r="F68" s="8"/>
      <c r="G68" s="9" t="str">
        <f>IF(F68="","",IFERROR(INDEX('Reference Values'!$B$8:$B$12,F68),"?"))</f>
        <v/>
      </c>
      <c r="H68" s="7"/>
      <c r="I68" s="13"/>
    </row>
    <row r="69" spans="1:9" ht="24" customHeight="1" x14ac:dyDescent="0.25">
      <c r="A69" s="10" t="str">
        <f>IF(B69="","",TEXT(64,"A000"))</f>
        <v/>
      </c>
      <c r="B69" s="11"/>
      <c r="C69" s="11"/>
      <c r="D69" s="11"/>
      <c r="E69" s="11"/>
      <c r="F69" s="12"/>
      <c r="G69" s="9" t="str">
        <f>IF(F69="","",IFERROR(INDEX('Reference Values'!$B$8:$B$12,F69),"?"))</f>
        <v/>
      </c>
      <c r="H69" s="11"/>
      <c r="I69" s="13"/>
    </row>
    <row r="70" spans="1:9" ht="24" customHeight="1" x14ac:dyDescent="0.25">
      <c r="A70" s="6" t="str">
        <f>IF(B70="","",TEXT(65,"A000"))</f>
        <v/>
      </c>
      <c r="B70" s="7"/>
      <c r="C70" s="7"/>
      <c r="D70" s="7"/>
      <c r="E70" s="7"/>
      <c r="F70" s="8"/>
      <c r="G70" s="9" t="str">
        <f>IF(F70="","",IFERROR(INDEX('Reference Values'!$B$8:$B$12,F70),"?"))</f>
        <v/>
      </c>
      <c r="H70" s="7"/>
      <c r="I70" s="13"/>
    </row>
    <row r="71" spans="1:9" ht="24" customHeight="1" x14ac:dyDescent="0.25">
      <c r="A71" s="10" t="str">
        <f>IF(B71="","",TEXT(66,"A000"))</f>
        <v/>
      </c>
      <c r="B71" s="11"/>
      <c r="C71" s="11"/>
      <c r="D71" s="11"/>
      <c r="E71" s="11"/>
      <c r="F71" s="12"/>
      <c r="G71" s="9" t="str">
        <f>IF(F71="","",IFERROR(INDEX('Reference Values'!$B$8:$B$12,F71),"?"))</f>
        <v/>
      </c>
      <c r="H71" s="11"/>
      <c r="I71" s="13"/>
    </row>
    <row r="72" spans="1:9" ht="24" customHeight="1" x14ac:dyDescent="0.25">
      <c r="A72" s="6" t="str">
        <f>IF(B72="","",TEXT(67,"A000"))</f>
        <v/>
      </c>
      <c r="B72" s="7"/>
      <c r="C72" s="7"/>
      <c r="D72" s="7"/>
      <c r="E72" s="7"/>
      <c r="F72" s="8"/>
      <c r="G72" s="9" t="str">
        <f>IF(F72="","",IFERROR(INDEX('Reference Values'!$B$8:$B$12,F72),"?"))</f>
        <v/>
      </c>
      <c r="H72" s="7"/>
      <c r="I72" s="13"/>
    </row>
    <row r="73" spans="1:9" ht="24" customHeight="1" x14ac:dyDescent="0.25">
      <c r="A73" s="10" t="str">
        <f>IF(B73="","",TEXT(68,"A000"))</f>
        <v/>
      </c>
      <c r="B73" s="11"/>
      <c r="C73" s="11"/>
      <c r="D73" s="11"/>
      <c r="E73" s="11"/>
      <c r="F73" s="12"/>
      <c r="G73" s="9" t="str">
        <f>IF(F73="","",IFERROR(INDEX('Reference Values'!$B$8:$B$12,F73),"?"))</f>
        <v/>
      </c>
      <c r="H73" s="11"/>
      <c r="I73" s="13"/>
    </row>
    <row r="74" spans="1:9" ht="24" customHeight="1" x14ac:dyDescent="0.25">
      <c r="A74" s="6" t="str">
        <f>IF(B74="","",TEXT(69,"A000"))</f>
        <v/>
      </c>
      <c r="B74" s="7"/>
      <c r="C74" s="7"/>
      <c r="D74" s="7"/>
      <c r="E74" s="7"/>
      <c r="F74" s="8"/>
      <c r="G74" s="9" t="str">
        <f>IF(F74="","",IFERROR(INDEX('Reference Values'!$B$8:$B$12,F74),"?"))</f>
        <v/>
      </c>
      <c r="H74" s="7"/>
      <c r="I74" s="13"/>
    </row>
    <row r="75" spans="1:9" ht="24" customHeight="1" x14ac:dyDescent="0.25">
      <c r="A75" s="10" t="str">
        <f>IF(B75="","",TEXT(70,"A000"))</f>
        <v/>
      </c>
      <c r="B75" s="11"/>
      <c r="C75" s="11"/>
      <c r="D75" s="11"/>
      <c r="E75" s="11"/>
      <c r="F75" s="12"/>
      <c r="G75" s="9" t="str">
        <f>IF(F75="","",IFERROR(INDEX('Reference Values'!$B$8:$B$12,F75),"?"))</f>
        <v/>
      </c>
      <c r="H75" s="11"/>
      <c r="I75" s="13"/>
    </row>
    <row r="76" spans="1:9" ht="24" customHeight="1" x14ac:dyDescent="0.25">
      <c r="A76" s="6" t="str">
        <f>IF(B76="","",TEXT(71,"A000"))</f>
        <v/>
      </c>
      <c r="B76" s="7"/>
      <c r="C76" s="7"/>
      <c r="D76" s="7"/>
      <c r="E76" s="7"/>
      <c r="F76" s="8"/>
      <c r="G76" s="9" t="str">
        <f>IF(F76="","",IFERROR(INDEX('Reference Values'!$B$8:$B$12,F76),"?"))</f>
        <v/>
      </c>
      <c r="H76" s="7"/>
      <c r="I76" s="13"/>
    </row>
    <row r="77" spans="1:9" ht="24" customHeight="1" x14ac:dyDescent="0.25">
      <c r="A77" s="10" t="str">
        <f>IF(B77="","",TEXT(72,"A000"))</f>
        <v/>
      </c>
      <c r="B77" s="11"/>
      <c r="C77" s="11"/>
      <c r="D77" s="11"/>
      <c r="E77" s="11"/>
      <c r="F77" s="12"/>
      <c r="G77" s="9" t="str">
        <f>IF(F77="","",IFERROR(INDEX('Reference Values'!$B$8:$B$12,F77),"?"))</f>
        <v/>
      </c>
      <c r="H77" s="11"/>
      <c r="I77" s="13"/>
    </row>
    <row r="78" spans="1:9" ht="24" customHeight="1" x14ac:dyDescent="0.25">
      <c r="A78" s="6" t="str">
        <f>IF(B78="","",TEXT(73,"A000"))</f>
        <v/>
      </c>
      <c r="B78" s="7"/>
      <c r="C78" s="7"/>
      <c r="D78" s="7"/>
      <c r="E78" s="7"/>
      <c r="F78" s="8"/>
      <c r="G78" s="9" t="str">
        <f>IF(F78="","",IFERROR(INDEX('Reference Values'!$B$8:$B$12,F78),"?"))</f>
        <v/>
      </c>
      <c r="H78" s="7"/>
      <c r="I78" s="13"/>
    </row>
    <row r="79" spans="1:9" ht="24" customHeight="1" x14ac:dyDescent="0.25">
      <c r="A79" s="10" t="str">
        <f>IF(B79="","",TEXT(74,"A000"))</f>
        <v/>
      </c>
      <c r="B79" s="11"/>
      <c r="C79" s="11"/>
      <c r="D79" s="11"/>
      <c r="E79" s="11"/>
      <c r="F79" s="12"/>
      <c r="G79" s="9" t="str">
        <f>IF(F79="","",IFERROR(INDEX('Reference Values'!$B$8:$B$12,F79),"?"))</f>
        <v/>
      </c>
      <c r="H79" s="11"/>
      <c r="I79" s="13"/>
    </row>
    <row r="80" spans="1:9" ht="24" customHeight="1" x14ac:dyDescent="0.25">
      <c r="A80" s="6" t="str">
        <f>IF(B80="","",TEXT(75,"A000"))</f>
        <v/>
      </c>
      <c r="B80" s="7"/>
      <c r="C80" s="7"/>
      <c r="D80" s="7"/>
      <c r="E80" s="7"/>
      <c r="F80" s="8"/>
      <c r="G80" s="9" t="str">
        <f>IF(F80="","",IFERROR(INDEX('Reference Values'!$B$8:$B$12,F80),"?"))</f>
        <v/>
      </c>
      <c r="H80" s="7"/>
      <c r="I80" s="13"/>
    </row>
    <row r="81" spans="1:9" ht="24" customHeight="1" x14ac:dyDescent="0.25">
      <c r="A81" s="10" t="str">
        <f>IF(B81="","",TEXT(76,"A000"))</f>
        <v/>
      </c>
      <c r="B81" s="11"/>
      <c r="C81" s="11"/>
      <c r="D81" s="11"/>
      <c r="E81" s="11"/>
      <c r="F81" s="12"/>
      <c r="G81" s="9" t="str">
        <f>IF(F81="","",IFERROR(INDEX('Reference Values'!$B$8:$B$12,F81),"?"))</f>
        <v/>
      </c>
      <c r="H81" s="11"/>
      <c r="I81" s="13"/>
    </row>
    <row r="82" spans="1:9" ht="24" customHeight="1" x14ac:dyDescent="0.25">
      <c r="A82" s="6" t="str">
        <f>IF(B82="","",TEXT(77,"A000"))</f>
        <v/>
      </c>
      <c r="B82" s="7"/>
      <c r="C82" s="7"/>
      <c r="D82" s="7"/>
      <c r="E82" s="7"/>
      <c r="F82" s="8"/>
      <c r="G82" s="9" t="str">
        <f>IF(F82="","",IFERROR(INDEX('Reference Values'!$B$8:$B$12,F82),"?"))</f>
        <v/>
      </c>
      <c r="H82" s="7"/>
      <c r="I82" s="13"/>
    </row>
    <row r="83" spans="1:9" ht="24" customHeight="1" x14ac:dyDescent="0.25">
      <c r="A83" s="10" t="str">
        <f>IF(B83="","",TEXT(78,"A000"))</f>
        <v/>
      </c>
      <c r="B83" s="11"/>
      <c r="C83" s="11"/>
      <c r="D83" s="11"/>
      <c r="E83" s="11"/>
      <c r="F83" s="12"/>
      <c r="G83" s="9" t="str">
        <f>IF(F83="","",IFERROR(INDEX('Reference Values'!$B$8:$B$12,F83),"?"))</f>
        <v/>
      </c>
      <c r="H83" s="11"/>
      <c r="I83" s="13"/>
    </row>
    <row r="84" spans="1:9" ht="24" customHeight="1" x14ac:dyDescent="0.25">
      <c r="A84" s="6" t="str">
        <f>IF(B84="","",TEXT(79,"A000"))</f>
        <v/>
      </c>
      <c r="B84" s="7"/>
      <c r="C84" s="7"/>
      <c r="D84" s="7"/>
      <c r="E84" s="7"/>
      <c r="F84" s="8"/>
      <c r="G84" s="9" t="str">
        <f>IF(F84="","",IFERROR(INDEX('Reference Values'!$B$8:$B$12,F84),"?"))</f>
        <v/>
      </c>
      <c r="H84" s="7"/>
      <c r="I84" s="13"/>
    </row>
    <row r="85" spans="1:9" ht="24" customHeight="1" x14ac:dyDescent="0.25">
      <c r="A85" s="10" t="str">
        <f>IF(B85="","",TEXT(80,"A000"))</f>
        <v/>
      </c>
      <c r="B85" s="11"/>
      <c r="C85" s="11"/>
      <c r="D85" s="11"/>
      <c r="E85" s="11"/>
      <c r="F85" s="12"/>
      <c r="G85" s="9" t="str">
        <f>IF(F85="","",IFERROR(INDEX('Reference Values'!$B$8:$B$12,F85),"?"))</f>
        <v/>
      </c>
      <c r="H85" s="11"/>
      <c r="I85" s="13"/>
    </row>
    <row r="86" spans="1:9" ht="24" customHeight="1" x14ac:dyDescent="0.25">
      <c r="A86" s="6" t="str">
        <f>IF(B86="","",TEXT(81,"A000"))</f>
        <v/>
      </c>
      <c r="B86" s="7"/>
      <c r="C86" s="7"/>
      <c r="D86" s="7"/>
      <c r="E86" s="7"/>
      <c r="F86" s="8"/>
      <c r="G86" s="9" t="str">
        <f>IF(F86="","",IFERROR(INDEX('Reference Values'!$B$8:$B$12,F86),"?"))</f>
        <v/>
      </c>
      <c r="H86" s="7"/>
      <c r="I86" s="13"/>
    </row>
    <row r="87" spans="1:9" ht="24" customHeight="1" x14ac:dyDescent="0.25">
      <c r="A87" s="10" t="str">
        <f>IF(B87="","",TEXT(82,"A000"))</f>
        <v/>
      </c>
      <c r="B87" s="11"/>
      <c r="C87" s="11"/>
      <c r="D87" s="11"/>
      <c r="E87" s="11"/>
      <c r="F87" s="12"/>
      <c r="G87" s="9" t="str">
        <f>IF(F87="","",IFERROR(INDEX('Reference Values'!$B$8:$B$12,F87),"?"))</f>
        <v/>
      </c>
      <c r="H87" s="11"/>
      <c r="I87" s="13"/>
    </row>
    <row r="88" spans="1:9" ht="24" customHeight="1" x14ac:dyDescent="0.25">
      <c r="A88" s="6" t="str">
        <f>IF(B88="","",TEXT(83,"A000"))</f>
        <v/>
      </c>
      <c r="B88" s="7"/>
      <c r="C88" s="7"/>
      <c r="D88" s="7"/>
      <c r="E88" s="7"/>
      <c r="F88" s="8"/>
      <c r="G88" s="9" t="str">
        <f>IF(F88="","",IFERROR(INDEX('Reference Values'!$B$8:$B$12,F88),"?"))</f>
        <v/>
      </c>
      <c r="H88" s="7"/>
      <c r="I88" s="13"/>
    </row>
    <row r="89" spans="1:9" ht="24" customHeight="1" x14ac:dyDescent="0.25">
      <c r="A89" s="10" t="str">
        <f>IF(B89="","",TEXT(84,"A000"))</f>
        <v/>
      </c>
      <c r="B89" s="11"/>
      <c r="C89" s="11"/>
      <c r="D89" s="11"/>
      <c r="E89" s="11"/>
      <c r="F89" s="12"/>
      <c r="G89" s="9" t="str">
        <f>IF(F89="","",IFERROR(INDEX('Reference Values'!$B$8:$B$12,F89),"?"))</f>
        <v/>
      </c>
      <c r="H89" s="11"/>
      <c r="I89" s="13"/>
    </row>
    <row r="90" spans="1:9" ht="24" customHeight="1" x14ac:dyDescent="0.25">
      <c r="A90" s="6" t="str">
        <f>IF(B90="","",TEXT(85,"A000"))</f>
        <v/>
      </c>
      <c r="B90" s="7"/>
      <c r="C90" s="7"/>
      <c r="D90" s="7"/>
      <c r="E90" s="7"/>
      <c r="F90" s="8"/>
      <c r="G90" s="9" t="str">
        <f>IF(F90="","",IFERROR(INDEX('Reference Values'!$B$8:$B$12,F90),"?"))</f>
        <v/>
      </c>
      <c r="H90" s="7"/>
      <c r="I90" s="13"/>
    </row>
    <row r="91" spans="1:9" ht="24" customHeight="1" x14ac:dyDescent="0.25">
      <c r="A91" s="10" t="str">
        <f>IF(B91="","",TEXT(86,"A000"))</f>
        <v/>
      </c>
      <c r="B91" s="11"/>
      <c r="C91" s="11"/>
      <c r="D91" s="11"/>
      <c r="E91" s="11"/>
      <c r="F91" s="12"/>
      <c r="G91" s="9" t="str">
        <f>IF(F91="","",IFERROR(INDEX('Reference Values'!$B$8:$B$12,F91),"?"))</f>
        <v/>
      </c>
      <c r="H91" s="11"/>
      <c r="I91" s="13"/>
    </row>
    <row r="92" spans="1:9" ht="24" customHeight="1" x14ac:dyDescent="0.25">
      <c r="A92" s="6" t="str">
        <f>IF(B92="","",TEXT(87,"A000"))</f>
        <v/>
      </c>
      <c r="B92" s="7"/>
      <c r="C92" s="7"/>
      <c r="D92" s="7"/>
      <c r="E92" s="7"/>
      <c r="F92" s="8"/>
      <c r="G92" s="9" t="str">
        <f>IF(F92="","",IFERROR(INDEX('Reference Values'!$B$8:$B$12,F92),"?"))</f>
        <v/>
      </c>
      <c r="H92" s="7"/>
      <c r="I92" s="13"/>
    </row>
    <row r="93" spans="1:9" ht="24" customHeight="1" x14ac:dyDescent="0.25">
      <c r="A93" s="10" t="str">
        <f>IF(B93="","",TEXT(88,"A000"))</f>
        <v/>
      </c>
      <c r="B93" s="11"/>
      <c r="C93" s="11"/>
      <c r="D93" s="11"/>
      <c r="E93" s="11"/>
      <c r="F93" s="12"/>
      <c r="G93" s="9" t="str">
        <f>IF(F93="","",IFERROR(INDEX('Reference Values'!$B$8:$B$12,F93),"?"))</f>
        <v/>
      </c>
      <c r="H93" s="11"/>
      <c r="I93" s="13"/>
    </row>
    <row r="94" spans="1:9" ht="24" customHeight="1" x14ac:dyDescent="0.25">
      <c r="A94" s="6" t="str">
        <f>IF(B94="","",TEXT(89,"A000"))</f>
        <v/>
      </c>
      <c r="B94" s="7"/>
      <c r="C94" s="7"/>
      <c r="D94" s="7"/>
      <c r="E94" s="7"/>
      <c r="F94" s="8"/>
      <c r="G94" s="9" t="str">
        <f>IF(F94="","",IFERROR(INDEX('Reference Values'!$B$8:$B$12,F94),"?"))</f>
        <v/>
      </c>
      <c r="H94" s="7"/>
      <c r="I94" s="13"/>
    </row>
    <row r="95" spans="1:9" ht="24" customHeight="1" x14ac:dyDescent="0.25">
      <c r="A95" s="10" t="str">
        <f>IF(B95="","",TEXT(90,"A000"))</f>
        <v/>
      </c>
      <c r="B95" s="11"/>
      <c r="C95" s="11"/>
      <c r="D95" s="11"/>
      <c r="E95" s="11"/>
      <c r="F95" s="12"/>
      <c r="G95" s="9" t="str">
        <f>IF(F95="","",IFERROR(INDEX('Reference Values'!$B$8:$B$12,F95),"?"))</f>
        <v/>
      </c>
      <c r="H95" s="11"/>
      <c r="I95" s="13"/>
    </row>
    <row r="96" spans="1:9" ht="24" customHeight="1" x14ac:dyDescent="0.25">
      <c r="A96" s="6" t="str">
        <f>IF(B96="","",TEXT(91,"A000"))</f>
        <v/>
      </c>
      <c r="B96" s="7"/>
      <c r="C96" s="7"/>
      <c r="D96" s="7"/>
      <c r="E96" s="7"/>
      <c r="F96" s="8"/>
      <c r="G96" s="9" t="str">
        <f>IF(F96="","",IFERROR(INDEX('Reference Values'!$B$8:$B$12,F96),"?"))</f>
        <v/>
      </c>
      <c r="H96" s="7"/>
      <c r="I96" s="13"/>
    </row>
    <row r="97" spans="1:9" ht="24" customHeight="1" x14ac:dyDescent="0.25">
      <c r="A97" s="10" t="str">
        <f>IF(B97="","",TEXT(92,"A000"))</f>
        <v/>
      </c>
      <c r="B97" s="11"/>
      <c r="C97" s="11"/>
      <c r="D97" s="11"/>
      <c r="E97" s="11"/>
      <c r="F97" s="12"/>
      <c r="G97" s="9" t="str">
        <f>IF(F97="","",IFERROR(INDEX('Reference Values'!$B$8:$B$12,F97),"?"))</f>
        <v/>
      </c>
      <c r="H97" s="11"/>
      <c r="I97" s="13"/>
    </row>
    <row r="98" spans="1:9" ht="24" customHeight="1" x14ac:dyDescent="0.25">
      <c r="A98" s="6" t="str">
        <f>IF(B98="","",TEXT(93,"A000"))</f>
        <v/>
      </c>
      <c r="B98" s="7"/>
      <c r="C98" s="7"/>
      <c r="D98" s="7"/>
      <c r="E98" s="7"/>
      <c r="F98" s="8"/>
      <c r="G98" s="9" t="str">
        <f>IF(F98="","",IFERROR(INDEX('Reference Values'!$B$8:$B$12,F98),"?"))</f>
        <v/>
      </c>
      <c r="H98" s="7"/>
      <c r="I98" s="13"/>
    </row>
    <row r="99" spans="1:9" ht="24" customHeight="1" x14ac:dyDescent="0.25">
      <c r="A99" s="10" t="str">
        <f>IF(B99="","",TEXT(94,"A000"))</f>
        <v/>
      </c>
      <c r="B99" s="11"/>
      <c r="C99" s="11"/>
      <c r="D99" s="11"/>
      <c r="E99" s="11"/>
      <c r="F99" s="12"/>
      <c r="G99" s="9" t="str">
        <f>IF(F99="","",IFERROR(INDEX('Reference Values'!$B$8:$B$12,F99),"?"))</f>
        <v/>
      </c>
      <c r="H99" s="11"/>
      <c r="I99" s="13"/>
    </row>
    <row r="100" spans="1:9" ht="24" customHeight="1" x14ac:dyDescent="0.25">
      <c r="A100" s="6" t="str">
        <f>IF(B100="","",TEXT(95,"A000"))</f>
        <v/>
      </c>
      <c r="B100" s="7"/>
      <c r="C100" s="7"/>
      <c r="D100" s="7"/>
      <c r="E100" s="7"/>
      <c r="F100" s="8"/>
      <c r="G100" s="9" t="str">
        <f>IF(F100="","",IFERROR(INDEX('Reference Values'!$B$8:$B$12,F100),"?"))</f>
        <v/>
      </c>
      <c r="H100" s="7"/>
      <c r="I100" s="13"/>
    </row>
    <row r="101" spans="1:9" ht="24" customHeight="1" x14ac:dyDescent="0.25">
      <c r="A101" s="10" t="str">
        <f>IF(B101="","",TEXT(96,"A000"))</f>
        <v/>
      </c>
      <c r="B101" s="11"/>
      <c r="C101" s="11"/>
      <c r="D101" s="11"/>
      <c r="E101" s="11"/>
      <c r="F101" s="12"/>
      <c r="G101" s="9" t="str">
        <f>IF(F101="","",IFERROR(INDEX('Reference Values'!$B$8:$B$12,F101),"?"))</f>
        <v/>
      </c>
      <c r="H101" s="11"/>
      <c r="I101" s="13"/>
    </row>
    <row r="102" spans="1:9" ht="24" customHeight="1" x14ac:dyDescent="0.25">
      <c r="A102" s="6" t="str">
        <f>IF(B102="","",TEXT(97,"A000"))</f>
        <v/>
      </c>
      <c r="B102" s="7"/>
      <c r="C102" s="7"/>
      <c r="D102" s="7"/>
      <c r="E102" s="7"/>
      <c r="F102" s="8"/>
      <c r="G102" s="9" t="str">
        <f>IF(F102="","",IFERROR(INDEX('Reference Values'!$B$8:$B$12,F102),"?"))</f>
        <v/>
      </c>
      <c r="H102" s="7"/>
      <c r="I102" s="13"/>
    </row>
    <row r="103" spans="1:9" ht="24" customHeight="1" x14ac:dyDescent="0.25">
      <c r="A103" s="10" t="str">
        <f>IF(B103="","",TEXT(98,"A000"))</f>
        <v/>
      </c>
      <c r="B103" s="11"/>
      <c r="C103" s="11"/>
      <c r="D103" s="11"/>
      <c r="E103" s="11"/>
      <c r="F103" s="12"/>
      <c r="G103" s="9" t="str">
        <f>IF(F103="","",IFERROR(INDEX('Reference Values'!$B$8:$B$12,F103),"?"))</f>
        <v/>
      </c>
      <c r="H103" s="11"/>
      <c r="I103" s="13"/>
    </row>
    <row r="104" spans="1:9" ht="24" customHeight="1" x14ac:dyDescent="0.25">
      <c r="A104" s="6" t="str">
        <f>IF(B104="","",TEXT(99,"A000"))</f>
        <v/>
      </c>
      <c r="B104" s="7"/>
      <c r="C104" s="7"/>
      <c r="D104" s="7"/>
      <c r="E104" s="7"/>
      <c r="F104" s="8"/>
      <c r="G104" s="9" t="str">
        <f>IF(F104="","",IFERROR(INDEX('Reference Values'!$B$8:$B$12,F104),"?"))</f>
        <v/>
      </c>
      <c r="H104" s="7"/>
      <c r="I104" s="13"/>
    </row>
    <row r="105" spans="1:9" ht="24" customHeight="1" x14ac:dyDescent="0.25">
      <c r="A105" s="10" t="str">
        <f>IF(B105="","",TEXT(100,"A000"))</f>
        <v/>
      </c>
      <c r="B105" s="11"/>
      <c r="C105" s="11"/>
      <c r="D105" s="11"/>
      <c r="E105" s="11"/>
      <c r="F105" s="12"/>
      <c r="G105" s="9" t="str">
        <f>IF(F105="","",IFERROR(INDEX('Reference Values'!$B$8:$B$12,F105),"?"))</f>
        <v/>
      </c>
      <c r="H105" s="11"/>
      <c r="I105" s="13"/>
    </row>
  </sheetData>
  <autoFilter ref="A5:I5" xr:uid="{00000000-0009-0000-0000-000003000000}"/>
  <mergeCells count="4">
    <mergeCell ref="A1:I1"/>
    <mergeCell ref="A3:I3"/>
    <mergeCell ref="A2:I2"/>
    <mergeCell ref="F5:G5"/>
  </mergeCells>
  <conditionalFormatting sqref="F6:F105">
    <cfRule type="expression" dxfId="70" priority="1">
      <formula>F6=1</formula>
    </cfRule>
    <cfRule type="expression" dxfId="69" priority="3">
      <formula>F6=2</formula>
    </cfRule>
    <cfRule type="expression" dxfId="68" priority="5">
      <formula>F6=3</formula>
    </cfRule>
    <cfRule type="expression" dxfId="67" priority="7">
      <formula>F6=4</formula>
    </cfRule>
    <cfRule type="expression" dxfId="66" priority="9">
      <formula>F6=5</formula>
    </cfRule>
  </conditionalFormatting>
  <conditionalFormatting sqref="G6:G105">
    <cfRule type="expression" dxfId="65" priority="2">
      <formula>F6=1</formula>
    </cfRule>
    <cfRule type="expression" dxfId="64" priority="4">
      <formula>F6=2</formula>
    </cfRule>
    <cfRule type="expression" dxfId="63" priority="6">
      <formula>F6=3</formula>
    </cfRule>
    <cfRule type="expression" dxfId="62" priority="8">
      <formula>F6=4</formula>
    </cfRule>
    <cfRule type="expression" dxfId="61" priority="10">
      <formula>F6=5</formula>
    </cfRule>
  </conditionalFormatting>
  <dataValidations count="1">
    <dataValidation type="list" allowBlank="1" sqref="F6:F105" xr:uid="{00000000-0002-0000-0300-000000000000}">
      <formula1>"1,2,3,4,5"</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dimension ref="A1:Y105"/>
  <sheetViews>
    <sheetView showGridLines="0" workbookViewId="0">
      <pane ySplit="5" topLeftCell="A6" activePane="bottomLeft" state="frozen"/>
      <selection pane="bottomLeft"/>
    </sheetView>
  </sheetViews>
  <sheetFormatPr defaultRowHeight="15" x14ac:dyDescent="0.25"/>
  <cols>
    <col min="1" max="1" width="5" customWidth="1"/>
    <col min="2" max="2" width="20" customWidth="1"/>
    <col min="3" max="3" width="30" customWidth="1"/>
    <col min="4" max="5" width="16" customWidth="1"/>
    <col min="6" max="6" width="10" customWidth="1"/>
    <col min="7" max="7" width="24" customWidth="1"/>
    <col min="8" max="9" width="35" customWidth="1"/>
    <col min="10" max="10" width="4" customWidth="1"/>
    <col min="11" max="11" width="15" customWidth="1"/>
    <col min="12" max="12" width="4" customWidth="1"/>
    <col min="13" max="13" width="15" customWidth="1"/>
    <col min="14" max="14" width="4" customWidth="1"/>
    <col min="15" max="15" width="15" customWidth="1"/>
    <col min="16" max="16" width="4" customWidth="1"/>
    <col min="17" max="17" width="15" customWidth="1"/>
    <col min="18" max="18" width="4" customWidth="1"/>
    <col min="19" max="19" width="15" customWidth="1"/>
    <col min="20" max="20" width="4" customWidth="1"/>
    <col min="21" max="21" width="15" customWidth="1"/>
    <col min="22" max="25" width="35" customWidth="1"/>
  </cols>
  <sheetData>
    <row r="1" spans="1:25" ht="51.95" customHeight="1" x14ac:dyDescent="0.25">
      <c r="A1" s="87" t="str">
        <f>IFERROR(INDEX(_Lang!$B$2:$D$300,MATCH("dep_title",_Lang!$A$2:$A$300,0),IF(Config!$D$9="NL",1,IF(Config!$D$9="FR",2,3))),"[dep_title]")</f>
        <v>Afhankelijke Assets</v>
      </c>
      <c r="B1" s="85"/>
      <c r="C1" s="85"/>
      <c r="D1" s="85"/>
      <c r="E1" s="85"/>
      <c r="F1" s="85"/>
      <c r="G1" s="85"/>
      <c r="H1" s="85"/>
      <c r="I1" s="85"/>
      <c r="J1" s="85"/>
      <c r="K1" s="85"/>
      <c r="L1" s="85"/>
      <c r="M1" s="85"/>
      <c r="N1" s="85"/>
      <c r="O1" s="85"/>
      <c r="P1" s="85"/>
      <c r="Q1" s="85"/>
      <c r="R1" s="85"/>
      <c r="S1" s="85"/>
      <c r="T1" s="85"/>
      <c r="U1" s="85"/>
      <c r="V1" s="85"/>
      <c r="W1" s="85"/>
      <c r="X1" s="85"/>
      <c r="Y1" s="85"/>
    </row>
    <row r="2" spans="1:25" ht="21.95" customHeight="1" x14ac:dyDescent="0.25">
      <c r="A2" s="90" t="str">
        <f>IFERROR(INDEX(_Lang!$B$2:$D$300,MATCH("app_tagline",_Lang!$A$2:$A$300,0),IF(Config!$D$9="NL",1,IF(Config!$D$9="FR",2,3))),"[app_tagline]")</f>
        <v>Governance · Risico · Compliance</v>
      </c>
      <c r="B2" s="85"/>
      <c r="C2" s="85"/>
      <c r="D2" s="85"/>
      <c r="E2" s="85"/>
      <c r="F2" s="85"/>
      <c r="G2" s="85"/>
      <c r="H2" s="85"/>
      <c r="I2" s="85"/>
      <c r="J2" s="85"/>
      <c r="K2" s="85"/>
      <c r="L2" s="85"/>
      <c r="M2" s="85"/>
      <c r="N2" s="85"/>
      <c r="O2" s="85"/>
      <c r="P2" s="85"/>
      <c r="Q2" s="85"/>
      <c r="R2" s="85"/>
      <c r="S2" s="85"/>
      <c r="T2" s="85"/>
      <c r="U2" s="85"/>
      <c r="V2" s="85"/>
      <c r="W2" s="85"/>
      <c r="X2" s="85"/>
      <c r="Y2" s="85"/>
    </row>
    <row r="3" spans="1:25" ht="21.95" customHeight="1" x14ac:dyDescent="0.25">
      <c r="A3" s="98" t="str">
        <f>IFERROR(INDEX(_Lang!$B$2:$D$300,MATCH("dep_subtitle",_Lang!$A$2:$A$300,0),IF(Config!$D$9="NL",1,IF(Config!$D$9="FR",2,3))),"[dep_subtitle]")</f>
        <v>Overzicht van systemen, infrastructuur en diensten waarvan processen afhankelijk zijn</v>
      </c>
      <c r="B3" s="85"/>
      <c r="C3" s="85"/>
      <c r="D3" s="85"/>
      <c r="E3" s="85"/>
      <c r="F3" s="85"/>
      <c r="G3" s="85"/>
      <c r="H3" s="85"/>
      <c r="I3" s="85"/>
      <c r="J3" s="85"/>
      <c r="K3" s="85"/>
      <c r="L3" s="85"/>
      <c r="M3" s="85"/>
      <c r="N3" s="85"/>
      <c r="O3" s="85"/>
      <c r="P3" s="85"/>
      <c r="Q3" s="85"/>
      <c r="R3" s="85"/>
      <c r="S3" s="85"/>
      <c r="T3" s="85"/>
      <c r="U3" s="85"/>
      <c r="V3" s="85"/>
      <c r="W3" s="85"/>
      <c r="X3" s="85"/>
      <c r="Y3" s="85"/>
    </row>
    <row r="4" spans="1:25" ht="21.95" customHeight="1" x14ac:dyDescent="0.25">
      <c r="J4" s="101" t="str">
        <f>IFERROR(INDEX(_Lang!$B$2:$D$300,MATCH("dep_sec_req_header",_Lang!$A$2:$A$300,0),IF(Config!$D$9="NL",1,IF(Config!$D$9="FR",2,3))),"[dep_sec_req_header]")</f>
        <v>Security Requirements</v>
      </c>
      <c r="K4" s="85"/>
      <c r="L4" s="85"/>
      <c r="M4" s="85"/>
      <c r="N4" s="85"/>
      <c r="O4" s="85"/>
      <c r="P4" s="102" t="str">
        <f>IFERROR(INDEX(_Lang!$B$2:$D$300,MATCH("dep_sec_obj_header",_Lang!$A$2:$A$300,0),IF(Config!$D$9="NL",1,IF(Config!$D$9="FR",2,3))),"[dep_sec_obj_header]")</f>
        <v>Security Objectives</v>
      </c>
      <c r="Q4" s="85"/>
      <c r="R4" s="85"/>
      <c r="S4" s="85"/>
      <c r="T4" s="85"/>
      <c r="U4" s="85"/>
      <c r="V4" s="100" t="str">
        <f>IFERROR(INDEX(_Lang!$B$2:$D$300,MATCH("dep_gap_header",_Lang!$A$2:$A$300,0),IF(Config!$D$9="NL",1,IF(Config!$D$9="FR",2,3))),"[dep_gap_header]")</f>
        <v>Gap Analyse</v>
      </c>
      <c r="W4" s="85"/>
      <c r="X4" s="85"/>
    </row>
    <row r="5" spans="1:25" ht="44.1" customHeight="1" x14ac:dyDescent="0.25">
      <c r="A5" s="5" t="str">
        <f>IFERROR(INDEX(_Lang!$B$2:$D$300,MATCH("dep_col_id",_Lang!$A$2:$A$300,0),IF(Config!$D$9="NL",1,IF(Config!$D$9="FR",2,3))),"[dep_col_id]")</f>
        <v>ID</v>
      </c>
      <c r="B5" s="5" t="str">
        <f>IFERROR(INDEX(_Lang!$B$2:$D$300,MATCH("dep_col_naam",_Lang!$A$2:$A$300,0),IF(Config!$D$9="NL",1,IF(Config!$D$9="FR",2,3))),"[dep_col_naam]")</f>
        <v>Naam</v>
      </c>
      <c r="C5" s="5" t="str">
        <f>IFERROR(INDEX(_Lang!$B$2:$D$300,MATCH("dep_col_omschrijving",_Lang!$A$2:$A$300,0),IF(Config!$D$9="NL",1,IF(Config!$D$9="FR",2,3))),"[dep_col_omschrijving]")</f>
        <v>Omschrijving</v>
      </c>
      <c r="D5" s="5" t="str">
        <f>IFERROR(INDEX(_Lang!$B$2:$D$300,MATCH("dep_col_eigenaar",_Lang!$A$2:$A$300,0),IF(Config!$D$9="NL",1,IF(Config!$D$9="FR",2,3))),"[dep_col_eigenaar]")</f>
        <v>Eigenaar</v>
      </c>
      <c r="E5" s="5" t="str">
        <f>IFERROR(INDEX(_Lang!$B$2:$D$300,MATCH("dep_col_dienst",_Lang!$A$2:$A$300,0),IF(Config!$D$9="NL",1,IF(Config!$D$9="FR",2,3))),"[dep_col_dienst]")</f>
        <v>Dienst / Entiteit</v>
      </c>
      <c r="F5" s="5" t="str">
        <f>IFERROR(INDEX(_Lang!$B$2:$D$300,MATCH("dep_col_overarching",_Lang!$A$2:$A$300,0),IF(Config!$D$9="NL",1,IF(Config!$D$9="FR",2,3))),"[dep_col_overarching]")</f>
        <v>Overarching</v>
      </c>
      <c r="G5" s="5" t="str">
        <f>IFERROR(INDEX(_Lang!$B$2:$D$300,MATCH("dep_col_opmerkingen",_Lang!$A$2:$A$300,0),IF(Config!$D$9="NL",1,IF(Config!$D$9="FR",2,3))),"[dep_col_opmerkingen]")</f>
        <v>Opmerkingen</v>
      </c>
      <c r="H5" s="5" t="str">
        <f>IFERROR(INDEX(_Lang!$B$2:$D$300,MATCH("dep_col_processes",_Lang!$A$2:$A$300,0),IF(Config!$D$9="NL",1,IF(Config!$D$9="FR",2,3))),"[dep_col_processes]")</f>
        <v>Gebruikt door processen</v>
      </c>
      <c r="I5" s="5" t="str">
        <f>IFERROR(INDEX(_Lang!$B$2:$D$300,MATCH("dep_col_linked_info",_Lang!$A$2:$A$300,0),IF(Config!$D$9="NL",1,IF(Config!$D$9="FR",2,3))),"[dep_col_linked_info]")</f>
        <v>Informatieassets (via processen)</v>
      </c>
      <c r="J5" s="99" t="str">
        <f>IFERROR(INDEX(_Lang!$B$2:$D$300,MATCH("dep_col_conf",_Lang!$A$2:$A$300,0),IF(Config!$D$9="NL",1,IF(Config!$D$9="FR",2,3))),"[dep_col_conf]")</f>
        <v>Confidentialiteit</v>
      </c>
      <c r="K5" s="85"/>
      <c r="L5" s="99" t="str">
        <f>IFERROR(INDEX(_Lang!$B$2:$D$300,MATCH("dep_col_integ",_Lang!$A$2:$A$300,0),IF(Config!$D$9="NL",1,IF(Config!$D$9="FR",2,3))),"[dep_col_integ]")</f>
        <v>Integriteit</v>
      </c>
      <c r="M5" s="85"/>
      <c r="N5" s="99" t="str">
        <f>IFERROR(INDEX(_Lang!$B$2:$D$300,MATCH("dep_col_avail",_Lang!$A$2:$A$300,0),IF(Config!$D$9="NL",1,IF(Config!$D$9="FR",2,3))),"[dep_col_avail]")</f>
        <v>Beschikbaarheid</v>
      </c>
      <c r="O5" s="85"/>
      <c r="P5" s="97" t="str">
        <f>IFERROR(INDEX(_Lang!$B$2:$D$300,MATCH("dep_col_conf",_Lang!$A$2:$A$300,0),IF(Config!$D$9="NL",1,IF(Config!$D$9="FR",2,3))),"[dep_col_conf]")</f>
        <v>Confidentialiteit</v>
      </c>
      <c r="Q5" s="85"/>
      <c r="R5" s="97" t="str">
        <f>IFERROR(INDEX(_Lang!$B$2:$D$300,MATCH("dep_col_integ",_Lang!$A$2:$A$300,0),IF(Config!$D$9="NL",1,IF(Config!$D$9="FR",2,3))),"[dep_col_integ]")</f>
        <v>Integriteit</v>
      </c>
      <c r="S5" s="85"/>
      <c r="T5" s="97" t="str">
        <f>IFERROR(INDEX(_Lang!$B$2:$D$300,MATCH("dep_col_avail",_Lang!$A$2:$A$300,0),IF(Config!$D$9="NL",1,IF(Config!$D$9="FR",2,3))),"[dep_col_avail]")</f>
        <v>Beschikbaarheid</v>
      </c>
      <c r="U5" s="85"/>
      <c r="V5" s="14" t="str">
        <f>IFERROR(INDEX(_Lang!$B$2:$D$300,MATCH("dep_col_gap_conf",_Lang!$A$2:$A$300,0),IF(Config!$D$9="NL",1,IF(Config!$D$9="FR",2,3))),"[dep_col_gap_conf]")</f>
        <v>Conf. niet gedekt (info assets)</v>
      </c>
      <c r="W5" s="14" t="str">
        <f>IFERROR(INDEX(_Lang!$B$2:$D$300,MATCH("dep_col_gap_integ",_Lang!$A$2:$A$300,0),IF(Config!$D$9="NL",1,IF(Config!$D$9="FR",2,3))),"[dep_col_gap_integ]")</f>
        <v>Int. niet gedekt (processen)</v>
      </c>
      <c r="X5" s="14" t="str">
        <f>IFERROR(INDEX(_Lang!$B$2:$D$300,MATCH("dep_col_gap_avail",_Lang!$A$2:$A$300,0),IF(Config!$D$9="NL",1,IF(Config!$D$9="FR",2,3))),"[dep_col_gap_avail]")</f>
        <v>Beschikb. niet gedekt (processen)</v>
      </c>
      <c r="Y5" s="5" t="str">
        <f>IFERROR(INDEX(_Lang!$B$2:$D$300,MATCH("dep_col_obj_commentaar",_Lang!$A$2:$A$300,0),IF(Config!$D$9="NL",1,IF(Config!$D$9="FR",2,3))),"[dep_col_obj_commentaar]")</f>
        <v>Commentaar</v>
      </c>
    </row>
    <row r="6" spans="1:25" ht="24" customHeight="1" x14ac:dyDescent="0.25">
      <c r="A6" s="6" t="str">
        <f>IF(B6="","","D"&amp;TEXT(1,"000"))</f>
        <v/>
      </c>
      <c r="B6" s="15"/>
      <c r="C6" s="15"/>
      <c r="D6" s="15"/>
      <c r="E6" s="15"/>
      <c r="F6" s="16"/>
      <c r="G6" s="15"/>
      <c r="H6" s="13"/>
      <c r="I6" s="13"/>
      <c r="J6" s="17"/>
      <c r="K6" s="9" t="str">
        <f>IF(J6="","",IFERROR(INDEX('Reference Values'!$B$8:$B$12,J6),"?"))</f>
        <v/>
      </c>
      <c r="L6" s="17"/>
      <c r="M6" s="9" t="str">
        <f>IF(L6="","",IFERROR(INDEX('Reference Values'!$B$8:$B$12,L6),"?"))</f>
        <v/>
      </c>
      <c r="N6" s="17"/>
      <c r="O6" s="9" t="str">
        <f>IF(N6="","",IFERROR(INDEX('Reference Values'!$B$8:$B$12,N6),"?"))</f>
        <v/>
      </c>
      <c r="P6" s="18"/>
      <c r="Q6" s="19" t="str">
        <f>IF(P6="","",IFERROR(INDEX('Reference Values'!$B$8:$B$12,P6),"?"))</f>
        <v/>
      </c>
      <c r="R6" s="18"/>
      <c r="S6" s="19" t="str">
        <f>IF(R6="","",IFERROR(INDEX('Reference Values'!$B$8:$B$12,R6),"?"))</f>
        <v/>
      </c>
      <c r="T6" s="18"/>
      <c r="U6" s="19" t="str">
        <f>IF(T6="","",IFERROR(INDEX('Reference Values'!$B$8:$B$12,T6),"?"))</f>
        <v/>
      </c>
      <c r="V6" s="13"/>
      <c r="W6" s="13"/>
      <c r="X6" s="13"/>
      <c r="Y6" s="20"/>
    </row>
    <row r="7" spans="1:25" ht="24" customHeight="1" x14ac:dyDescent="0.25">
      <c r="A7" s="10" t="str">
        <f>IF(B7="","","D"&amp;TEXT(2,"000"))</f>
        <v/>
      </c>
      <c r="B7" s="21"/>
      <c r="C7" s="21"/>
      <c r="D7" s="21"/>
      <c r="E7" s="21"/>
      <c r="F7" s="22"/>
      <c r="G7" s="21"/>
      <c r="H7" s="13"/>
      <c r="I7" s="13"/>
      <c r="J7" s="17"/>
      <c r="K7" s="9" t="str">
        <f>IF(J7="","",IFERROR(INDEX('Reference Values'!$B$8:$B$12,J7),"?"))</f>
        <v/>
      </c>
      <c r="L7" s="17"/>
      <c r="M7" s="9" t="str">
        <f>IF(L7="","",IFERROR(INDEX('Reference Values'!$B$8:$B$12,L7),"?"))</f>
        <v/>
      </c>
      <c r="N7" s="17"/>
      <c r="O7" s="9" t="str">
        <f>IF(N7="","",IFERROR(INDEX('Reference Values'!$B$8:$B$12,N7),"?"))</f>
        <v/>
      </c>
      <c r="P7" s="23"/>
      <c r="Q7" s="19" t="str">
        <f>IF(P7="","",IFERROR(INDEX('Reference Values'!$B$8:$B$12,P7),"?"))</f>
        <v/>
      </c>
      <c r="R7" s="23"/>
      <c r="S7" s="19" t="str">
        <f>IF(R7="","",IFERROR(INDEX('Reference Values'!$B$8:$B$12,R7),"?"))</f>
        <v/>
      </c>
      <c r="T7" s="23"/>
      <c r="U7" s="19" t="str">
        <f>IF(T7="","",IFERROR(INDEX('Reference Values'!$B$8:$B$12,T7),"?"))</f>
        <v/>
      </c>
      <c r="V7" s="13"/>
      <c r="W7" s="13"/>
      <c r="X7" s="13"/>
      <c r="Y7" s="24"/>
    </row>
    <row r="8" spans="1:25" ht="24" customHeight="1" x14ac:dyDescent="0.25">
      <c r="A8" s="6" t="str">
        <f>IF(B8="","","D"&amp;TEXT(3,"000"))</f>
        <v/>
      </c>
      <c r="B8" s="15"/>
      <c r="C8" s="15"/>
      <c r="D8" s="15"/>
      <c r="E8" s="15"/>
      <c r="F8" s="16"/>
      <c r="G8" s="15"/>
      <c r="H8" s="13"/>
      <c r="I8" s="13"/>
      <c r="J8" s="17"/>
      <c r="K8" s="9" t="str">
        <f>IF(J8="","",IFERROR(INDEX('Reference Values'!$B$8:$B$12,J8),"?"))</f>
        <v/>
      </c>
      <c r="L8" s="17"/>
      <c r="M8" s="9" t="str">
        <f>IF(L8="","",IFERROR(INDEX('Reference Values'!$B$8:$B$12,L8),"?"))</f>
        <v/>
      </c>
      <c r="N8" s="17"/>
      <c r="O8" s="9" t="str">
        <f>IF(N8="","",IFERROR(INDEX('Reference Values'!$B$8:$B$12,N8),"?"))</f>
        <v/>
      </c>
      <c r="P8" s="18"/>
      <c r="Q8" s="19" t="str">
        <f>IF(P8="","",IFERROR(INDEX('Reference Values'!$B$8:$B$12,P8),"?"))</f>
        <v/>
      </c>
      <c r="R8" s="18"/>
      <c r="S8" s="19" t="str">
        <f>IF(R8="","",IFERROR(INDEX('Reference Values'!$B$8:$B$12,R8),"?"))</f>
        <v/>
      </c>
      <c r="T8" s="18"/>
      <c r="U8" s="19" t="str">
        <f>IF(T8="","",IFERROR(INDEX('Reference Values'!$B$8:$B$12,T8),"?"))</f>
        <v/>
      </c>
      <c r="V8" s="13"/>
      <c r="W8" s="13"/>
      <c r="X8" s="13"/>
      <c r="Y8" s="20"/>
    </row>
    <row r="9" spans="1:25" ht="24" customHeight="1" x14ac:dyDescent="0.25">
      <c r="A9" s="10" t="str">
        <f>IF(B9="","","D"&amp;TEXT(4,"000"))</f>
        <v/>
      </c>
      <c r="B9" s="21"/>
      <c r="C9" s="21"/>
      <c r="D9" s="21"/>
      <c r="E9" s="21"/>
      <c r="F9" s="22"/>
      <c r="G9" s="21"/>
      <c r="H9" s="13"/>
      <c r="I9" s="13"/>
      <c r="J9" s="17"/>
      <c r="K9" s="9" t="str">
        <f>IF(J9="","",IFERROR(INDEX('Reference Values'!$B$8:$B$12,J9),"?"))</f>
        <v/>
      </c>
      <c r="L9" s="17"/>
      <c r="M9" s="9" t="str">
        <f>IF(L9="","",IFERROR(INDEX('Reference Values'!$B$8:$B$12,L9),"?"))</f>
        <v/>
      </c>
      <c r="N9" s="17"/>
      <c r="O9" s="9" t="str">
        <f>IF(N9="","",IFERROR(INDEX('Reference Values'!$B$8:$B$12,N9),"?"))</f>
        <v/>
      </c>
      <c r="P9" s="23"/>
      <c r="Q9" s="19" t="str">
        <f>IF(P9="","",IFERROR(INDEX('Reference Values'!$B$8:$B$12,P9),"?"))</f>
        <v/>
      </c>
      <c r="R9" s="23"/>
      <c r="S9" s="19" t="str">
        <f>IF(R9="","",IFERROR(INDEX('Reference Values'!$B$8:$B$12,R9),"?"))</f>
        <v/>
      </c>
      <c r="T9" s="23"/>
      <c r="U9" s="19" t="str">
        <f>IF(T9="","",IFERROR(INDEX('Reference Values'!$B$8:$B$12,T9),"?"))</f>
        <v/>
      </c>
      <c r="V9" s="13"/>
      <c r="W9" s="13"/>
      <c r="X9" s="13"/>
      <c r="Y9" s="24"/>
    </row>
    <row r="10" spans="1:25" ht="24" customHeight="1" x14ac:dyDescent="0.25">
      <c r="A10" s="6" t="str">
        <f>IF(B10="","","D"&amp;TEXT(5,"000"))</f>
        <v/>
      </c>
      <c r="B10" s="15"/>
      <c r="C10" s="15"/>
      <c r="D10" s="15"/>
      <c r="E10" s="15"/>
      <c r="F10" s="16"/>
      <c r="G10" s="15"/>
      <c r="H10" s="13"/>
      <c r="I10" s="13"/>
      <c r="J10" s="17"/>
      <c r="K10" s="9" t="str">
        <f>IF(J10="","",IFERROR(INDEX('Reference Values'!$B$8:$B$12,J10),"?"))</f>
        <v/>
      </c>
      <c r="L10" s="17"/>
      <c r="M10" s="9" t="str">
        <f>IF(L10="","",IFERROR(INDEX('Reference Values'!$B$8:$B$12,L10),"?"))</f>
        <v/>
      </c>
      <c r="N10" s="17"/>
      <c r="O10" s="9" t="str">
        <f>IF(N10="","",IFERROR(INDEX('Reference Values'!$B$8:$B$12,N10),"?"))</f>
        <v/>
      </c>
      <c r="P10" s="18"/>
      <c r="Q10" s="19" t="str">
        <f>IF(P10="","",IFERROR(INDEX('Reference Values'!$B$8:$B$12,P10),"?"))</f>
        <v/>
      </c>
      <c r="R10" s="18"/>
      <c r="S10" s="19" t="str">
        <f>IF(R10="","",IFERROR(INDEX('Reference Values'!$B$8:$B$12,R10),"?"))</f>
        <v/>
      </c>
      <c r="T10" s="18"/>
      <c r="U10" s="19" t="str">
        <f>IF(T10="","",IFERROR(INDEX('Reference Values'!$B$8:$B$12,T10),"?"))</f>
        <v/>
      </c>
      <c r="V10" s="13"/>
      <c r="W10" s="13"/>
      <c r="X10" s="13"/>
      <c r="Y10" s="20"/>
    </row>
    <row r="11" spans="1:25" ht="24" customHeight="1" x14ac:dyDescent="0.25">
      <c r="A11" s="10" t="str">
        <f>IF(B11="","","D"&amp;TEXT(6,"000"))</f>
        <v/>
      </c>
      <c r="B11" s="21"/>
      <c r="C11" s="21"/>
      <c r="D11" s="21"/>
      <c r="E11" s="21"/>
      <c r="F11" s="22"/>
      <c r="G11" s="21"/>
      <c r="H11" s="13"/>
      <c r="I11" s="13"/>
      <c r="J11" s="17"/>
      <c r="K11" s="9" t="str">
        <f>IF(J11="","",IFERROR(INDEX('Reference Values'!$B$8:$B$12,J11),"?"))</f>
        <v/>
      </c>
      <c r="L11" s="17"/>
      <c r="M11" s="9" t="str">
        <f>IF(L11="","",IFERROR(INDEX('Reference Values'!$B$8:$B$12,L11),"?"))</f>
        <v/>
      </c>
      <c r="N11" s="17"/>
      <c r="O11" s="9" t="str">
        <f>IF(N11="","",IFERROR(INDEX('Reference Values'!$B$8:$B$12,N11),"?"))</f>
        <v/>
      </c>
      <c r="P11" s="23"/>
      <c r="Q11" s="19" t="str">
        <f>IF(P11="","",IFERROR(INDEX('Reference Values'!$B$8:$B$12,P11),"?"))</f>
        <v/>
      </c>
      <c r="R11" s="23"/>
      <c r="S11" s="19" t="str">
        <f>IF(R11="","",IFERROR(INDEX('Reference Values'!$B$8:$B$12,R11),"?"))</f>
        <v/>
      </c>
      <c r="T11" s="23"/>
      <c r="U11" s="19" t="str">
        <f>IF(T11="","",IFERROR(INDEX('Reference Values'!$B$8:$B$12,T11),"?"))</f>
        <v/>
      </c>
      <c r="V11" s="13"/>
      <c r="W11" s="13"/>
      <c r="X11" s="13"/>
      <c r="Y11" s="24"/>
    </row>
    <row r="12" spans="1:25" ht="24" customHeight="1" x14ac:dyDescent="0.25">
      <c r="A12" s="6" t="str">
        <f>IF(B12="","","D"&amp;TEXT(7,"000"))</f>
        <v/>
      </c>
      <c r="B12" s="15"/>
      <c r="C12" s="15"/>
      <c r="D12" s="15"/>
      <c r="E12" s="15"/>
      <c r="F12" s="16"/>
      <c r="G12" s="15"/>
      <c r="H12" s="13"/>
      <c r="I12" s="13"/>
      <c r="J12" s="17"/>
      <c r="K12" s="9" t="str">
        <f>IF(J12="","",IFERROR(INDEX('Reference Values'!$B$8:$B$12,J12),"?"))</f>
        <v/>
      </c>
      <c r="L12" s="17"/>
      <c r="M12" s="9" t="str">
        <f>IF(L12="","",IFERROR(INDEX('Reference Values'!$B$8:$B$12,L12),"?"))</f>
        <v/>
      </c>
      <c r="N12" s="17"/>
      <c r="O12" s="9" t="str">
        <f>IF(N12="","",IFERROR(INDEX('Reference Values'!$B$8:$B$12,N12),"?"))</f>
        <v/>
      </c>
      <c r="P12" s="18"/>
      <c r="Q12" s="19" t="str">
        <f>IF(P12="","",IFERROR(INDEX('Reference Values'!$B$8:$B$12,P12),"?"))</f>
        <v/>
      </c>
      <c r="R12" s="18"/>
      <c r="S12" s="19" t="str">
        <f>IF(R12="","",IFERROR(INDEX('Reference Values'!$B$8:$B$12,R12),"?"))</f>
        <v/>
      </c>
      <c r="T12" s="18"/>
      <c r="U12" s="19" t="str">
        <f>IF(T12="","",IFERROR(INDEX('Reference Values'!$B$8:$B$12,T12),"?"))</f>
        <v/>
      </c>
      <c r="V12" s="13"/>
      <c r="W12" s="13"/>
      <c r="X12" s="13"/>
      <c r="Y12" s="20"/>
    </row>
    <row r="13" spans="1:25" ht="24" customHeight="1" x14ac:dyDescent="0.25">
      <c r="A13" s="10" t="str">
        <f>IF(B13="","","D"&amp;TEXT(8,"000"))</f>
        <v/>
      </c>
      <c r="B13" s="21"/>
      <c r="C13" s="21"/>
      <c r="D13" s="21"/>
      <c r="E13" s="21"/>
      <c r="F13" s="22"/>
      <c r="G13" s="21"/>
      <c r="H13" s="13"/>
      <c r="I13" s="13"/>
      <c r="J13" s="17"/>
      <c r="K13" s="9" t="str">
        <f>IF(J13="","",IFERROR(INDEX('Reference Values'!$B$8:$B$12,J13),"?"))</f>
        <v/>
      </c>
      <c r="L13" s="17"/>
      <c r="M13" s="9" t="str">
        <f>IF(L13="","",IFERROR(INDEX('Reference Values'!$B$8:$B$12,L13),"?"))</f>
        <v/>
      </c>
      <c r="N13" s="17"/>
      <c r="O13" s="9" t="str">
        <f>IF(N13="","",IFERROR(INDEX('Reference Values'!$B$8:$B$12,N13),"?"))</f>
        <v/>
      </c>
      <c r="P13" s="23"/>
      <c r="Q13" s="19" t="str">
        <f>IF(P13="","",IFERROR(INDEX('Reference Values'!$B$8:$B$12,P13),"?"))</f>
        <v/>
      </c>
      <c r="R13" s="23"/>
      <c r="S13" s="19" t="str">
        <f>IF(R13="","",IFERROR(INDEX('Reference Values'!$B$8:$B$12,R13),"?"))</f>
        <v/>
      </c>
      <c r="T13" s="23"/>
      <c r="U13" s="19" t="str">
        <f>IF(T13="","",IFERROR(INDEX('Reference Values'!$B$8:$B$12,T13),"?"))</f>
        <v/>
      </c>
      <c r="V13" s="13"/>
      <c r="W13" s="13"/>
      <c r="X13" s="13"/>
      <c r="Y13" s="24"/>
    </row>
    <row r="14" spans="1:25" ht="24" customHeight="1" x14ac:dyDescent="0.25">
      <c r="A14" s="6" t="str">
        <f>IF(B14="","","D"&amp;TEXT(9,"000"))</f>
        <v/>
      </c>
      <c r="B14" s="15"/>
      <c r="C14" s="15"/>
      <c r="D14" s="15"/>
      <c r="E14" s="15"/>
      <c r="F14" s="16"/>
      <c r="G14" s="15"/>
      <c r="H14" s="13"/>
      <c r="I14" s="13"/>
      <c r="J14" s="17"/>
      <c r="K14" s="9" t="str">
        <f>IF(J14="","",IFERROR(INDEX('Reference Values'!$B$8:$B$12,J14),"?"))</f>
        <v/>
      </c>
      <c r="L14" s="17"/>
      <c r="M14" s="9" t="str">
        <f>IF(L14="","",IFERROR(INDEX('Reference Values'!$B$8:$B$12,L14),"?"))</f>
        <v/>
      </c>
      <c r="N14" s="17"/>
      <c r="O14" s="9" t="str">
        <f>IF(N14="","",IFERROR(INDEX('Reference Values'!$B$8:$B$12,N14),"?"))</f>
        <v/>
      </c>
      <c r="P14" s="18"/>
      <c r="Q14" s="19" t="str">
        <f>IF(P14="","",IFERROR(INDEX('Reference Values'!$B$8:$B$12,P14),"?"))</f>
        <v/>
      </c>
      <c r="R14" s="18"/>
      <c r="S14" s="19" t="str">
        <f>IF(R14="","",IFERROR(INDEX('Reference Values'!$B$8:$B$12,R14),"?"))</f>
        <v/>
      </c>
      <c r="T14" s="18"/>
      <c r="U14" s="19" t="str">
        <f>IF(T14="","",IFERROR(INDEX('Reference Values'!$B$8:$B$12,T14),"?"))</f>
        <v/>
      </c>
      <c r="V14" s="13"/>
      <c r="W14" s="13"/>
      <c r="X14" s="13"/>
      <c r="Y14" s="20"/>
    </row>
    <row r="15" spans="1:25" ht="24" customHeight="1" x14ac:dyDescent="0.25">
      <c r="A15" s="10" t="str">
        <f>IF(B15="","","D"&amp;TEXT(10,"000"))</f>
        <v/>
      </c>
      <c r="B15" s="21"/>
      <c r="C15" s="21"/>
      <c r="D15" s="21"/>
      <c r="E15" s="21"/>
      <c r="F15" s="22"/>
      <c r="G15" s="21"/>
      <c r="H15" s="13"/>
      <c r="I15" s="13"/>
      <c r="J15" s="17"/>
      <c r="K15" s="9" t="str">
        <f>IF(J15="","",IFERROR(INDEX('Reference Values'!$B$8:$B$12,J15),"?"))</f>
        <v/>
      </c>
      <c r="L15" s="17"/>
      <c r="M15" s="9" t="str">
        <f>IF(L15="","",IFERROR(INDEX('Reference Values'!$B$8:$B$12,L15),"?"))</f>
        <v/>
      </c>
      <c r="N15" s="17"/>
      <c r="O15" s="9" t="str">
        <f>IF(N15="","",IFERROR(INDEX('Reference Values'!$B$8:$B$12,N15),"?"))</f>
        <v/>
      </c>
      <c r="P15" s="23"/>
      <c r="Q15" s="19" t="str">
        <f>IF(P15="","",IFERROR(INDEX('Reference Values'!$B$8:$B$12,P15),"?"))</f>
        <v/>
      </c>
      <c r="R15" s="23"/>
      <c r="S15" s="19" t="str">
        <f>IF(R15="","",IFERROR(INDEX('Reference Values'!$B$8:$B$12,R15),"?"))</f>
        <v/>
      </c>
      <c r="T15" s="23"/>
      <c r="U15" s="19" t="str">
        <f>IF(T15="","",IFERROR(INDEX('Reference Values'!$B$8:$B$12,T15),"?"))</f>
        <v/>
      </c>
      <c r="V15" s="13"/>
      <c r="W15" s="13"/>
      <c r="X15" s="13"/>
      <c r="Y15" s="24"/>
    </row>
    <row r="16" spans="1:25" ht="24" customHeight="1" x14ac:dyDescent="0.25">
      <c r="A16" s="6" t="str">
        <f>IF(B16="","","D"&amp;TEXT(11,"000"))</f>
        <v/>
      </c>
      <c r="B16" s="15"/>
      <c r="C16" s="15"/>
      <c r="D16" s="15"/>
      <c r="E16" s="15"/>
      <c r="F16" s="16"/>
      <c r="G16" s="15"/>
      <c r="H16" s="13"/>
      <c r="I16" s="13"/>
      <c r="J16" s="17"/>
      <c r="K16" s="9" t="str">
        <f>IF(J16="","",IFERROR(INDEX('Reference Values'!$B$8:$B$12,J16),"?"))</f>
        <v/>
      </c>
      <c r="L16" s="17"/>
      <c r="M16" s="9" t="str">
        <f>IF(L16="","",IFERROR(INDEX('Reference Values'!$B$8:$B$12,L16),"?"))</f>
        <v/>
      </c>
      <c r="N16" s="17"/>
      <c r="O16" s="9" t="str">
        <f>IF(N16="","",IFERROR(INDEX('Reference Values'!$B$8:$B$12,N16),"?"))</f>
        <v/>
      </c>
      <c r="P16" s="18"/>
      <c r="Q16" s="19" t="str">
        <f>IF(P16="","",IFERROR(INDEX('Reference Values'!$B$8:$B$12,P16),"?"))</f>
        <v/>
      </c>
      <c r="R16" s="18"/>
      <c r="S16" s="19" t="str">
        <f>IF(R16="","",IFERROR(INDEX('Reference Values'!$B$8:$B$12,R16),"?"))</f>
        <v/>
      </c>
      <c r="T16" s="18"/>
      <c r="U16" s="19" t="str">
        <f>IF(T16="","",IFERROR(INDEX('Reference Values'!$B$8:$B$12,T16),"?"))</f>
        <v/>
      </c>
      <c r="V16" s="13"/>
      <c r="W16" s="13"/>
      <c r="X16" s="13"/>
      <c r="Y16" s="20"/>
    </row>
    <row r="17" spans="1:25" ht="24" customHeight="1" x14ac:dyDescent="0.25">
      <c r="A17" s="10" t="str">
        <f>IF(B17="","","D"&amp;TEXT(12,"000"))</f>
        <v/>
      </c>
      <c r="B17" s="21"/>
      <c r="C17" s="21"/>
      <c r="D17" s="21"/>
      <c r="E17" s="21"/>
      <c r="F17" s="22"/>
      <c r="G17" s="21"/>
      <c r="H17" s="13"/>
      <c r="I17" s="13"/>
      <c r="J17" s="17"/>
      <c r="K17" s="9" t="str">
        <f>IF(J17="","",IFERROR(INDEX('Reference Values'!$B$8:$B$12,J17),"?"))</f>
        <v/>
      </c>
      <c r="L17" s="17"/>
      <c r="M17" s="9" t="str">
        <f>IF(L17="","",IFERROR(INDEX('Reference Values'!$B$8:$B$12,L17),"?"))</f>
        <v/>
      </c>
      <c r="N17" s="17"/>
      <c r="O17" s="9" t="str">
        <f>IF(N17="","",IFERROR(INDEX('Reference Values'!$B$8:$B$12,N17),"?"))</f>
        <v/>
      </c>
      <c r="P17" s="23"/>
      <c r="Q17" s="19" t="str">
        <f>IF(P17="","",IFERROR(INDEX('Reference Values'!$B$8:$B$12,P17),"?"))</f>
        <v/>
      </c>
      <c r="R17" s="23"/>
      <c r="S17" s="19" t="str">
        <f>IF(R17="","",IFERROR(INDEX('Reference Values'!$B$8:$B$12,R17),"?"))</f>
        <v/>
      </c>
      <c r="T17" s="23"/>
      <c r="U17" s="19" t="str">
        <f>IF(T17="","",IFERROR(INDEX('Reference Values'!$B$8:$B$12,T17),"?"))</f>
        <v/>
      </c>
      <c r="V17" s="13"/>
      <c r="W17" s="13"/>
      <c r="X17" s="13"/>
      <c r="Y17" s="24"/>
    </row>
    <row r="18" spans="1:25" ht="24" customHeight="1" x14ac:dyDescent="0.25">
      <c r="A18" s="6" t="str">
        <f>IF(B18="","","D"&amp;TEXT(13,"000"))</f>
        <v/>
      </c>
      <c r="B18" s="15"/>
      <c r="C18" s="15"/>
      <c r="D18" s="15"/>
      <c r="E18" s="15"/>
      <c r="F18" s="16"/>
      <c r="G18" s="15"/>
      <c r="H18" s="13"/>
      <c r="I18" s="13"/>
      <c r="J18" s="17"/>
      <c r="K18" s="9" t="str">
        <f>IF(J18="","",IFERROR(INDEX('Reference Values'!$B$8:$B$12,J18),"?"))</f>
        <v/>
      </c>
      <c r="L18" s="17"/>
      <c r="M18" s="9" t="str">
        <f>IF(L18="","",IFERROR(INDEX('Reference Values'!$B$8:$B$12,L18),"?"))</f>
        <v/>
      </c>
      <c r="N18" s="17"/>
      <c r="O18" s="9" t="str">
        <f>IF(N18="","",IFERROR(INDEX('Reference Values'!$B$8:$B$12,N18),"?"))</f>
        <v/>
      </c>
      <c r="P18" s="18"/>
      <c r="Q18" s="19" t="str">
        <f>IF(P18="","",IFERROR(INDEX('Reference Values'!$B$8:$B$12,P18),"?"))</f>
        <v/>
      </c>
      <c r="R18" s="18"/>
      <c r="S18" s="19" t="str">
        <f>IF(R18="","",IFERROR(INDEX('Reference Values'!$B$8:$B$12,R18),"?"))</f>
        <v/>
      </c>
      <c r="T18" s="18"/>
      <c r="U18" s="19" t="str">
        <f>IF(T18="","",IFERROR(INDEX('Reference Values'!$B$8:$B$12,T18),"?"))</f>
        <v/>
      </c>
      <c r="V18" s="13"/>
      <c r="W18" s="13"/>
      <c r="X18" s="13"/>
      <c r="Y18" s="20"/>
    </row>
    <row r="19" spans="1:25" ht="24" customHeight="1" x14ac:dyDescent="0.25">
      <c r="A19" s="10" t="str">
        <f>IF(B19="","","D"&amp;TEXT(14,"000"))</f>
        <v/>
      </c>
      <c r="B19" s="21"/>
      <c r="C19" s="21"/>
      <c r="D19" s="21"/>
      <c r="E19" s="21"/>
      <c r="F19" s="22"/>
      <c r="G19" s="21"/>
      <c r="H19" s="13"/>
      <c r="I19" s="13"/>
      <c r="J19" s="17"/>
      <c r="K19" s="9" t="str">
        <f>IF(J19="","",IFERROR(INDEX('Reference Values'!$B$8:$B$12,J19),"?"))</f>
        <v/>
      </c>
      <c r="L19" s="17"/>
      <c r="M19" s="9" t="str">
        <f>IF(L19="","",IFERROR(INDEX('Reference Values'!$B$8:$B$12,L19),"?"))</f>
        <v/>
      </c>
      <c r="N19" s="17"/>
      <c r="O19" s="9" t="str">
        <f>IF(N19="","",IFERROR(INDEX('Reference Values'!$B$8:$B$12,N19),"?"))</f>
        <v/>
      </c>
      <c r="P19" s="23"/>
      <c r="Q19" s="19" t="str">
        <f>IF(P19="","",IFERROR(INDEX('Reference Values'!$B$8:$B$12,P19),"?"))</f>
        <v/>
      </c>
      <c r="R19" s="23"/>
      <c r="S19" s="19" t="str">
        <f>IF(R19="","",IFERROR(INDEX('Reference Values'!$B$8:$B$12,R19),"?"))</f>
        <v/>
      </c>
      <c r="T19" s="23"/>
      <c r="U19" s="19" t="str">
        <f>IF(T19="","",IFERROR(INDEX('Reference Values'!$B$8:$B$12,T19),"?"))</f>
        <v/>
      </c>
      <c r="V19" s="13"/>
      <c r="W19" s="13"/>
      <c r="X19" s="13"/>
      <c r="Y19" s="24"/>
    </row>
    <row r="20" spans="1:25" ht="24" customHeight="1" x14ac:dyDescent="0.25">
      <c r="A20" s="6" t="str">
        <f>IF(B20="","","D"&amp;TEXT(15,"000"))</f>
        <v/>
      </c>
      <c r="B20" s="15"/>
      <c r="C20" s="15"/>
      <c r="D20" s="15"/>
      <c r="E20" s="15"/>
      <c r="F20" s="16"/>
      <c r="G20" s="15"/>
      <c r="H20" s="13"/>
      <c r="I20" s="13"/>
      <c r="J20" s="17"/>
      <c r="K20" s="9" t="str">
        <f>IF(J20="","",IFERROR(INDEX('Reference Values'!$B$8:$B$12,J20),"?"))</f>
        <v/>
      </c>
      <c r="L20" s="17"/>
      <c r="M20" s="9" t="str">
        <f>IF(L20="","",IFERROR(INDEX('Reference Values'!$B$8:$B$12,L20),"?"))</f>
        <v/>
      </c>
      <c r="N20" s="17"/>
      <c r="O20" s="9" t="str">
        <f>IF(N20="","",IFERROR(INDEX('Reference Values'!$B$8:$B$12,N20),"?"))</f>
        <v/>
      </c>
      <c r="P20" s="18"/>
      <c r="Q20" s="19" t="str">
        <f>IF(P20="","",IFERROR(INDEX('Reference Values'!$B$8:$B$12,P20),"?"))</f>
        <v/>
      </c>
      <c r="R20" s="18"/>
      <c r="S20" s="19" t="str">
        <f>IF(R20="","",IFERROR(INDEX('Reference Values'!$B$8:$B$12,R20),"?"))</f>
        <v/>
      </c>
      <c r="T20" s="18"/>
      <c r="U20" s="19" t="str">
        <f>IF(T20="","",IFERROR(INDEX('Reference Values'!$B$8:$B$12,T20),"?"))</f>
        <v/>
      </c>
      <c r="V20" s="13"/>
      <c r="W20" s="13"/>
      <c r="X20" s="13"/>
      <c r="Y20" s="20"/>
    </row>
    <row r="21" spans="1:25" ht="24" customHeight="1" x14ac:dyDescent="0.25">
      <c r="A21" s="10" t="str">
        <f>IF(B21="","","D"&amp;TEXT(16,"000"))</f>
        <v/>
      </c>
      <c r="B21" s="21"/>
      <c r="C21" s="21"/>
      <c r="D21" s="21"/>
      <c r="E21" s="21"/>
      <c r="F21" s="22"/>
      <c r="G21" s="21"/>
      <c r="H21" s="13"/>
      <c r="I21" s="13"/>
      <c r="J21" s="17"/>
      <c r="K21" s="9" t="str">
        <f>IF(J21="","",IFERROR(INDEX('Reference Values'!$B$8:$B$12,J21),"?"))</f>
        <v/>
      </c>
      <c r="L21" s="17"/>
      <c r="M21" s="9" t="str">
        <f>IF(L21="","",IFERROR(INDEX('Reference Values'!$B$8:$B$12,L21),"?"))</f>
        <v/>
      </c>
      <c r="N21" s="17"/>
      <c r="O21" s="9" t="str">
        <f>IF(N21="","",IFERROR(INDEX('Reference Values'!$B$8:$B$12,N21),"?"))</f>
        <v/>
      </c>
      <c r="P21" s="23"/>
      <c r="Q21" s="19" t="str">
        <f>IF(P21="","",IFERROR(INDEX('Reference Values'!$B$8:$B$12,P21),"?"))</f>
        <v/>
      </c>
      <c r="R21" s="23"/>
      <c r="S21" s="19" t="str">
        <f>IF(R21="","",IFERROR(INDEX('Reference Values'!$B$8:$B$12,R21),"?"))</f>
        <v/>
      </c>
      <c r="T21" s="23"/>
      <c r="U21" s="19" t="str">
        <f>IF(T21="","",IFERROR(INDEX('Reference Values'!$B$8:$B$12,T21),"?"))</f>
        <v/>
      </c>
      <c r="V21" s="13"/>
      <c r="W21" s="13"/>
      <c r="X21" s="13"/>
      <c r="Y21" s="24"/>
    </row>
    <row r="22" spans="1:25" ht="24" customHeight="1" x14ac:dyDescent="0.25">
      <c r="A22" s="6" t="str">
        <f>IF(B22="","","D"&amp;TEXT(17,"000"))</f>
        <v/>
      </c>
      <c r="B22" s="15"/>
      <c r="C22" s="15"/>
      <c r="D22" s="15"/>
      <c r="E22" s="15"/>
      <c r="F22" s="16"/>
      <c r="G22" s="15"/>
      <c r="H22" s="13"/>
      <c r="I22" s="13"/>
      <c r="J22" s="17"/>
      <c r="K22" s="9" t="str">
        <f>IF(J22="","",IFERROR(INDEX('Reference Values'!$B$8:$B$12,J22),"?"))</f>
        <v/>
      </c>
      <c r="L22" s="17"/>
      <c r="M22" s="9" t="str">
        <f>IF(L22="","",IFERROR(INDEX('Reference Values'!$B$8:$B$12,L22),"?"))</f>
        <v/>
      </c>
      <c r="N22" s="17"/>
      <c r="O22" s="9" t="str">
        <f>IF(N22="","",IFERROR(INDEX('Reference Values'!$B$8:$B$12,N22),"?"))</f>
        <v/>
      </c>
      <c r="P22" s="18"/>
      <c r="Q22" s="19" t="str">
        <f>IF(P22="","",IFERROR(INDEX('Reference Values'!$B$8:$B$12,P22),"?"))</f>
        <v/>
      </c>
      <c r="R22" s="18"/>
      <c r="S22" s="19" t="str">
        <f>IF(R22="","",IFERROR(INDEX('Reference Values'!$B$8:$B$12,R22),"?"))</f>
        <v/>
      </c>
      <c r="T22" s="18"/>
      <c r="U22" s="19" t="str">
        <f>IF(T22="","",IFERROR(INDEX('Reference Values'!$B$8:$B$12,T22),"?"))</f>
        <v/>
      </c>
      <c r="V22" s="13"/>
      <c r="W22" s="13"/>
      <c r="X22" s="13"/>
      <c r="Y22" s="20"/>
    </row>
    <row r="23" spans="1:25" ht="24" customHeight="1" x14ac:dyDescent="0.25">
      <c r="A23" s="10" t="str">
        <f>IF(B23="","","D"&amp;TEXT(18,"000"))</f>
        <v/>
      </c>
      <c r="B23" s="21"/>
      <c r="C23" s="21"/>
      <c r="D23" s="21"/>
      <c r="E23" s="21"/>
      <c r="F23" s="22"/>
      <c r="G23" s="21"/>
      <c r="H23" s="13"/>
      <c r="I23" s="13"/>
      <c r="J23" s="17"/>
      <c r="K23" s="9" t="str">
        <f>IF(J23="","",IFERROR(INDEX('Reference Values'!$B$8:$B$12,J23),"?"))</f>
        <v/>
      </c>
      <c r="L23" s="17"/>
      <c r="M23" s="9" t="str">
        <f>IF(L23="","",IFERROR(INDEX('Reference Values'!$B$8:$B$12,L23),"?"))</f>
        <v/>
      </c>
      <c r="N23" s="17"/>
      <c r="O23" s="9" t="str">
        <f>IF(N23="","",IFERROR(INDEX('Reference Values'!$B$8:$B$12,N23),"?"))</f>
        <v/>
      </c>
      <c r="P23" s="23"/>
      <c r="Q23" s="19" t="str">
        <f>IF(P23="","",IFERROR(INDEX('Reference Values'!$B$8:$B$12,P23),"?"))</f>
        <v/>
      </c>
      <c r="R23" s="23"/>
      <c r="S23" s="19" t="str">
        <f>IF(R23="","",IFERROR(INDEX('Reference Values'!$B$8:$B$12,R23),"?"))</f>
        <v/>
      </c>
      <c r="T23" s="23"/>
      <c r="U23" s="19" t="str">
        <f>IF(T23="","",IFERROR(INDEX('Reference Values'!$B$8:$B$12,T23),"?"))</f>
        <v/>
      </c>
      <c r="V23" s="13"/>
      <c r="W23" s="13"/>
      <c r="X23" s="13"/>
      <c r="Y23" s="24"/>
    </row>
    <row r="24" spans="1:25" ht="24" customHeight="1" x14ac:dyDescent="0.25">
      <c r="A24" s="6" t="str">
        <f>IF(B24="","","D"&amp;TEXT(19,"000"))</f>
        <v/>
      </c>
      <c r="B24" s="15"/>
      <c r="C24" s="15"/>
      <c r="D24" s="15"/>
      <c r="E24" s="15"/>
      <c r="F24" s="16"/>
      <c r="G24" s="15"/>
      <c r="H24" s="13"/>
      <c r="I24" s="13"/>
      <c r="J24" s="17"/>
      <c r="K24" s="9" t="str">
        <f>IF(J24="","",IFERROR(INDEX('Reference Values'!$B$8:$B$12,J24),"?"))</f>
        <v/>
      </c>
      <c r="L24" s="17"/>
      <c r="M24" s="9" t="str">
        <f>IF(L24="","",IFERROR(INDEX('Reference Values'!$B$8:$B$12,L24),"?"))</f>
        <v/>
      </c>
      <c r="N24" s="17"/>
      <c r="O24" s="9" t="str">
        <f>IF(N24="","",IFERROR(INDEX('Reference Values'!$B$8:$B$12,N24),"?"))</f>
        <v/>
      </c>
      <c r="P24" s="18"/>
      <c r="Q24" s="19" t="str">
        <f>IF(P24="","",IFERROR(INDEX('Reference Values'!$B$8:$B$12,P24),"?"))</f>
        <v/>
      </c>
      <c r="R24" s="18"/>
      <c r="S24" s="19" t="str">
        <f>IF(R24="","",IFERROR(INDEX('Reference Values'!$B$8:$B$12,R24),"?"))</f>
        <v/>
      </c>
      <c r="T24" s="18"/>
      <c r="U24" s="19" t="str">
        <f>IF(T24="","",IFERROR(INDEX('Reference Values'!$B$8:$B$12,T24),"?"))</f>
        <v/>
      </c>
      <c r="V24" s="13"/>
      <c r="W24" s="13"/>
      <c r="X24" s="13"/>
      <c r="Y24" s="20"/>
    </row>
    <row r="25" spans="1:25" ht="24" customHeight="1" x14ac:dyDescent="0.25">
      <c r="A25" s="10" t="str">
        <f>IF(B25="","","D"&amp;TEXT(20,"000"))</f>
        <v/>
      </c>
      <c r="B25" s="21"/>
      <c r="C25" s="21"/>
      <c r="D25" s="21"/>
      <c r="E25" s="21"/>
      <c r="F25" s="22"/>
      <c r="G25" s="21"/>
      <c r="H25" s="13"/>
      <c r="I25" s="13"/>
      <c r="J25" s="17"/>
      <c r="K25" s="9" t="str">
        <f>IF(J25="","",IFERROR(INDEX('Reference Values'!$B$8:$B$12,J25),"?"))</f>
        <v/>
      </c>
      <c r="L25" s="17"/>
      <c r="M25" s="9" t="str">
        <f>IF(L25="","",IFERROR(INDEX('Reference Values'!$B$8:$B$12,L25),"?"))</f>
        <v/>
      </c>
      <c r="N25" s="17"/>
      <c r="O25" s="9" t="str">
        <f>IF(N25="","",IFERROR(INDEX('Reference Values'!$B$8:$B$12,N25),"?"))</f>
        <v/>
      </c>
      <c r="P25" s="23"/>
      <c r="Q25" s="19" t="str">
        <f>IF(P25="","",IFERROR(INDEX('Reference Values'!$B$8:$B$12,P25),"?"))</f>
        <v/>
      </c>
      <c r="R25" s="23"/>
      <c r="S25" s="19" t="str">
        <f>IF(R25="","",IFERROR(INDEX('Reference Values'!$B$8:$B$12,R25),"?"))</f>
        <v/>
      </c>
      <c r="T25" s="23"/>
      <c r="U25" s="19" t="str">
        <f>IF(T25="","",IFERROR(INDEX('Reference Values'!$B$8:$B$12,T25),"?"))</f>
        <v/>
      </c>
      <c r="V25" s="13"/>
      <c r="W25" s="13"/>
      <c r="X25" s="13"/>
      <c r="Y25" s="24"/>
    </row>
    <row r="26" spans="1:25" ht="24" customHeight="1" x14ac:dyDescent="0.25">
      <c r="A26" s="6" t="str">
        <f>IF(B26="","","D"&amp;TEXT(21,"000"))</f>
        <v/>
      </c>
      <c r="B26" s="15"/>
      <c r="C26" s="15"/>
      <c r="D26" s="15"/>
      <c r="E26" s="15"/>
      <c r="F26" s="16"/>
      <c r="G26" s="15"/>
      <c r="H26" s="13"/>
      <c r="I26" s="13"/>
      <c r="J26" s="17"/>
      <c r="K26" s="9" t="str">
        <f>IF(J26="","",IFERROR(INDEX('Reference Values'!$B$8:$B$12,J26),"?"))</f>
        <v/>
      </c>
      <c r="L26" s="17"/>
      <c r="M26" s="9" t="str">
        <f>IF(L26="","",IFERROR(INDEX('Reference Values'!$B$8:$B$12,L26),"?"))</f>
        <v/>
      </c>
      <c r="N26" s="17"/>
      <c r="O26" s="9" t="str">
        <f>IF(N26="","",IFERROR(INDEX('Reference Values'!$B$8:$B$12,N26),"?"))</f>
        <v/>
      </c>
      <c r="P26" s="18"/>
      <c r="Q26" s="19" t="str">
        <f>IF(P26="","",IFERROR(INDEX('Reference Values'!$B$8:$B$12,P26),"?"))</f>
        <v/>
      </c>
      <c r="R26" s="18"/>
      <c r="S26" s="19" t="str">
        <f>IF(R26="","",IFERROR(INDEX('Reference Values'!$B$8:$B$12,R26),"?"))</f>
        <v/>
      </c>
      <c r="T26" s="18"/>
      <c r="U26" s="19" t="str">
        <f>IF(T26="","",IFERROR(INDEX('Reference Values'!$B$8:$B$12,T26),"?"))</f>
        <v/>
      </c>
      <c r="V26" s="13"/>
      <c r="W26" s="13"/>
      <c r="X26" s="13"/>
      <c r="Y26" s="20"/>
    </row>
    <row r="27" spans="1:25" ht="24" customHeight="1" x14ac:dyDescent="0.25">
      <c r="A27" s="10" t="str">
        <f>IF(B27="","","D"&amp;TEXT(22,"000"))</f>
        <v/>
      </c>
      <c r="B27" s="21"/>
      <c r="C27" s="21"/>
      <c r="D27" s="21"/>
      <c r="E27" s="21"/>
      <c r="F27" s="22"/>
      <c r="G27" s="21"/>
      <c r="H27" s="13"/>
      <c r="I27" s="13"/>
      <c r="J27" s="17"/>
      <c r="K27" s="9" t="str">
        <f>IF(J27="","",IFERROR(INDEX('Reference Values'!$B$8:$B$12,J27),"?"))</f>
        <v/>
      </c>
      <c r="L27" s="17"/>
      <c r="M27" s="9" t="str">
        <f>IF(L27="","",IFERROR(INDEX('Reference Values'!$B$8:$B$12,L27),"?"))</f>
        <v/>
      </c>
      <c r="N27" s="17"/>
      <c r="O27" s="9" t="str">
        <f>IF(N27="","",IFERROR(INDEX('Reference Values'!$B$8:$B$12,N27),"?"))</f>
        <v/>
      </c>
      <c r="P27" s="23"/>
      <c r="Q27" s="19" t="str">
        <f>IF(P27="","",IFERROR(INDEX('Reference Values'!$B$8:$B$12,P27),"?"))</f>
        <v/>
      </c>
      <c r="R27" s="23"/>
      <c r="S27" s="19" t="str">
        <f>IF(R27="","",IFERROR(INDEX('Reference Values'!$B$8:$B$12,R27),"?"))</f>
        <v/>
      </c>
      <c r="T27" s="23"/>
      <c r="U27" s="19" t="str">
        <f>IF(T27="","",IFERROR(INDEX('Reference Values'!$B$8:$B$12,T27),"?"))</f>
        <v/>
      </c>
      <c r="V27" s="13"/>
      <c r="W27" s="13"/>
      <c r="X27" s="13"/>
      <c r="Y27" s="24"/>
    </row>
    <row r="28" spans="1:25" ht="24" customHeight="1" x14ac:dyDescent="0.25">
      <c r="A28" s="6" t="str">
        <f>IF(B28="","","D"&amp;TEXT(23,"000"))</f>
        <v/>
      </c>
      <c r="B28" s="15"/>
      <c r="C28" s="15"/>
      <c r="D28" s="15"/>
      <c r="E28" s="15"/>
      <c r="F28" s="16"/>
      <c r="G28" s="15"/>
      <c r="H28" s="13"/>
      <c r="I28" s="13"/>
      <c r="J28" s="17"/>
      <c r="K28" s="9" t="str">
        <f>IF(J28="","",IFERROR(INDEX('Reference Values'!$B$8:$B$12,J28),"?"))</f>
        <v/>
      </c>
      <c r="L28" s="17"/>
      <c r="M28" s="9" t="str">
        <f>IF(L28="","",IFERROR(INDEX('Reference Values'!$B$8:$B$12,L28),"?"))</f>
        <v/>
      </c>
      <c r="N28" s="17"/>
      <c r="O28" s="9" t="str">
        <f>IF(N28="","",IFERROR(INDEX('Reference Values'!$B$8:$B$12,N28),"?"))</f>
        <v/>
      </c>
      <c r="P28" s="18"/>
      <c r="Q28" s="19" t="str">
        <f>IF(P28="","",IFERROR(INDEX('Reference Values'!$B$8:$B$12,P28),"?"))</f>
        <v/>
      </c>
      <c r="R28" s="18"/>
      <c r="S28" s="19" t="str">
        <f>IF(R28="","",IFERROR(INDEX('Reference Values'!$B$8:$B$12,R28),"?"))</f>
        <v/>
      </c>
      <c r="T28" s="18"/>
      <c r="U28" s="19" t="str">
        <f>IF(T28="","",IFERROR(INDEX('Reference Values'!$B$8:$B$12,T28),"?"))</f>
        <v/>
      </c>
      <c r="V28" s="13"/>
      <c r="W28" s="13"/>
      <c r="X28" s="13"/>
      <c r="Y28" s="20"/>
    </row>
    <row r="29" spans="1:25" ht="24" customHeight="1" x14ac:dyDescent="0.25">
      <c r="A29" s="10" t="str">
        <f>IF(B29="","","D"&amp;TEXT(24,"000"))</f>
        <v/>
      </c>
      <c r="B29" s="21"/>
      <c r="C29" s="21"/>
      <c r="D29" s="21"/>
      <c r="E29" s="21"/>
      <c r="F29" s="22"/>
      <c r="G29" s="21"/>
      <c r="H29" s="13"/>
      <c r="I29" s="13"/>
      <c r="J29" s="17"/>
      <c r="K29" s="9" t="str">
        <f>IF(J29="","",IFERROR(INDEX('Reference Values'!$B$8:$B$12,J29),"?"))</f>
        <v/>
      </c>
      <c r="L29" s="17"/>
      <c r="M29" s="9" t="str">
        <f>IF(L29="","",IFERROR(INDEX('Reference Values'!$B$8:$B$12,L29),"?"))</f>
        <v/>
      </c>
      <c r="N29" s="17"/>
      <c r="O29" s="9" t="str">
        <f>IF(N29="","",IFERROR(INDEX('Reference Values'!$B$8:$B$12,N29),"?"))</f>
        <v/>
      </c>
      <c r="P29" s="23"/>
      <c r="Q29" s="19" t="str">
        <f>IF(P29="","",IFERROR(INDEX('Reference Values'!$B$8:$B$12,P29),"?"))</f>
        <v/>
      </c>
      <c r="R29" s="23"/>
      <c r="S29" s="19" t="str">
        <f>IF(R29="","",IFERROR(INDEX('Reference Values'!$B$8:$B$12,R29),"?"))</f>
        <v/>
      </c>
      <c r="T29" s="23"/>
      <c r="U29" s="19" t="str">
        <f>IF(T29="","",IFERROR(INDEX('Reference Values'!$B$8:$B$12,T29),"?"))</f>
        <v/>
      </c>
      <c r="V29" s="13"/>
      <c r="W29" s="13"/>
      <c r="X29" s="13"/>
      <c r="Y29" s="24"/>
    </row>
    <row r="30" spans="1:25" ht="24" customHeight="1" x14ac:dyDescent="0.25">
      <c r="A30" s="6" t="str">
        <f>IF(B30="","","D"&amp;TEXT(25,"000"))</f>
        <v/>
      </c>
      <c r="B30" s="15"/>
      <c r="C30" s="15"/>
      <c r="D30" s="15"/>
      <c r="E30" s="15"/>
      <c r="F30" s="16"/>
      <c r="G30" s="15"/>
      <c r="H30" s="13"/>
      <c r="I30" s="13"/>
      <c r="J30" s="17"/>
      <c r="K30" s="9" t="str">
        <f>IF(J30="","",IFERROR(INDEX('Reference Values'!$B$8:$B$12,J30),"?"))</f>
        <v/>
      </c>
      <c r="L30" s="17"/>
      <c r="M30" s="9" t="str">
        <f>IF(L30="","",IFERROR(INDEX('Reference Values'!$B$8:$B$12,L30),"?"))</f>
        <v/>
      </c>
      <c r="N30" s="17"/>
      <c r="O30" s="9" t="str">
        <f>IF(N30="","",IFERROR(INDEX('Reference Values'!$B$8:$B$12,N30),"?"))</f>
        <v/>
      </c>
      <c r="P30" s="18"/>
      <c r="Q30" s="19" t="str">
        <f>IF(P30="","",IFERROR(INDEX('Reference Values'!$B$8:$B$12,P30),"?"))</f>
        <v/>
      </c>
      <c r="R30" s="18"/>
      <c r="S30" s="19" t="str">
        <f>IF(R30="","",IFERROR(INDEX('Reference Values'!$B$8:$B$12,R30),"?"))</f>
        <v/>
      </c>
      <c r="T30" s="18"/>
      <c r="U30" s="19" t="str">
        <f>IF(T30="","",IFERROR(INDEX('Reference Values'!$B$8:$B$12,T30),"?"))</f>
        <v/>
      </c>
      <c r="V30" s="13"/>
      <c r="W30" s="13"/>
      <c r="X30" s="13"/>
      <c r="Y30" s="20"/>
    </row>
    <row r="31" spans="1:25" ht="24" customHeight="1" x14ac:dyDescent="0.25">
      <c r="A31" s="10" t="str">
        <f>IF(B31="","","D"&amp;TEXT(26,"000"))</f>
        <v/>
      </c>
      <c r="B31" s="21"/>
      <c r="C31" s="21"/>
      <c r="D31" s="21"/>
      <c r="E31" s="21"/>
      <c r="F31" s="22"/>
      <c r="G31" s="21"/>
      <c r="H31" s="13"/>
      <c r="I31" s="13"/>
      <c r="J31" s="17"/>
      <c r="K31" s="9" t="str">
        <f>IF(J31="","",IFERROR(INDEX('Reference Values'!$B$8:$B$12,J31),"?"))</f>
        <v/>
      </c>
      <c r="L31" s="17"/>
      <c r="M31" s="9" t="str">
        <f>IF(L31="","",IFERROR(INDEX('Reference Values'!$B$8:$B$12,L31),"?"))</f>
        <v/>
      </c>
      <c r="N31" s="17"/>
      <c r="O31" s="9" t="str">
        <f>IF(N31="","",IFERROR(INDEX('Reference Values'!$B$8:$B$12,N31),"?"))</f>
        <v/>
      </c>
      <c r="P31" s="23"/>
      <c r="Q31" s="19" t="str">
        <f>IF(P31="","",IFERROR(INDEX('Reference Values'!$B$8:$B$12,P31),"?"))</f>
        <v/>
      </c>
      <c r="R31" s="23"/>
      <c r="S31" s="19" t="str">
        <f>IF(R31="","",IFERROR(INDEX('Reference Values'!$B$8:$B$12,R31),"?"))</f>
        <v/>
      </c>
      <c r="T31" s="23"/>
      <c r="U31" s="19" t="str">
        <f>IF(T31="","",IFERROR(INDEX('Reference Values'!$B$8:$B$12,T31),"?"))</f>
        <v/>
      </c>
      <c r="V31" s="13"/>
      <c r="W31" s="13"/>
      <c r="X31" s="13"/>
      <c r="Y31" s="24"/>
    </row>
    <row r="32" spans="1:25" ht="24" customHeight="1" x14ac:dyDescent="0.25">
      <c r="A32" s="6" t="str">
        <f>IF(B32="","","D"&amp;TEXT(27,"000"))</f>
        <v/>
      </c>
      <c r="B32" s="15"/>
      <c r="C32" s="15"/>
      <c r="D32" s="15"/>
      <c r="E32" s="15"/>
      <c r="F32" s="16"/>
      <c r="G32" s="15"/>
      <c r="H32" s="13"/>
      <c r="I32" s="13"/>
      <c r="J32" s="17"/>
      <c r="K32" s="9" t="str">
        <f>IF(J32="","",IFERROR(INDEX('Reference Values'!$B$8:$B$12,J32),"?"))</f>
        <v/>
      </c>
      <c r="L32" s="17"/>
      <c r="M32" s="9" t="str">
        <f>IF(L32="","",IFERROR(INDEX('Reference Values'!$B$8:$B$12,L32),"?"))</f>
        <v/>
      </c>
      <c r="N32" s="17"/>
      <c r="O32" s="9" t="str">
        <f>IF(N32="","",IFERROR(INDEX('Reference Values'!$B$8:$B$12,N32),"?"))</f>
        <v/>
      </c>
      <c r="P32" s="18"/>
      <c r="Q32" s="19" t="str">
        <f>IF(P32="","",IFERROR(INDEX('Reference Values'!$B$8:$B$12,P32),"?"))</f>
        <v/>
      </c>
      <c r="R32" s="18"/>
      <c r="S32" s="19" t="str">
        <f>IF(R32="","",IFERROR(INDEX('Reference Values'!$B$8:$B$12,R32),"?"))</f>
        <v/>
      </c>
      <c r="T32" s="18"/>
      <c r="U32" s="19" t="str">
        <f>IF(T32="","",IFERROR(INDEX('Reference Values'!$B$8:$B$12,T32),"?"))</f>
        <v/>
      </c>
      <c r="V32" s="13"/>
      <c r="W32" s="13"/>
      <c r="X32" s="13"/>
      <c r="Y32" s="20"/>
    </row>
    <row r="33" spans="1:25" ht="24" customHeight="1" x14ac:dyDescent="0.25">
      <c r="A33" s="10" t="str">
        <f>IF(B33="","","D"&amp;TEXT(28,"000"))</f>
        <v/>
      </c>
      <c r="B33" s="21"/>
      <c r="C33" s="21"/>
      <c r="D33" s="21"/>
      <c r="E33" s="21"/>
      <c r="F33" s="22"/>
      <c r="G33" s="21"/>
      <c r="H33" s="13"/>
      <c r="I33" s="13"/>
      <c r="J33" s="17"/>
      <c r="K33" s="9" t="str">
        <f>IF(J33="","",IFERROR(INDEX('Reference Values'!$B$8:$B$12,J33),"?"))</f>
        <v/>
      </c>
      <c r="L33" s="17"/>
      <c r="M33" s="9" t="str">
        <f>IF(L33="","",IFERROR(INDEX('Reference Values'!$B$8:$B$12,L33),"?"))</f>
        <v/>
      </c>
      <c r="N33" s="17"/>
      <c r="O33" s="9" t="str">
        <f>IF(N33="","",IFERROR(INDEX('Reference Values'!$B$8:$B$12,N33),"?"))</f>
        <v/>
      </c>
      <c r="P33" s="23"/>
      <c r="Q33" s="19" t="str">
        <f>IF(P33="","",IFERROR(INDEX('Reference Values'!$B$8:$B$12,P33),"?"))</f>
        <v/>
      </c>
      <c r="R33" s="23"/>
      <c r="S33" s="19" t="str">
        <f>IF(R33="","",IFERROR(INDEX('Reference Values'!$B$8:$B$12,R33),"?"))</f>
        <v/>
      </c>
      <c r="T33" s="23"/>
      <c r="U33" s="19" t="str">
        <f>IF(T33="","",IFERROR(INDEX('Reference Values'!$B$8:$B$12,T33),"?"))</f>
        <v/>
      </c>
      <c r="V33" s="13"/>
      <c r="W33" s="13"/>
      <c r="X33" s="13"/>
      <c r="Y33" s="24"/>
    </row>
    <row r="34" spans="1:25" ht="24" customHeight="1" x14ac:dyDescent="0.25">
      <c r="A34" s="6" t="str">
        <f>IF(B34="","","D"&amp;TEXT(29,"000"))</f>
        <v/>
      </c>
      <c r="B34" s="15"/>
      <c r="C34" s="15"/>
      <c r="D34" s="15"/>
      <c r="E34" s="15"/>
      <c r="F34" s="16"/>
      <c r="G34" s="15"/>
      <c r="H34" s="13"/>
      <c r="I34" s="13"/>
      <c r="J34" s="17"/>
      <c r="K34" s="9" t="str">
        <f>IF(J34="","",IFERROR(INDEX('Reference Values'!$B$8:$B$12,J34),"?"))</f>
        <v/>
      </c>
      <c r="L34" s="17"/>
      <c r="M34" s="9" t="str">
        <f>IF(L34="","",IFERROR(INDEX('Reference Values'!$B$8:$B$12,L34),"?"))</f>
        <v/>
      </c>
      <c r="N34" s="17"/>
      <c r="O34" s="9" t="str">
        <f>IF(N34="","",IFERROR(INDEX('Reference Values'!$B$8:$B$12,N34),"?"))</f>
        <v/>
      </c>
      <c r="P34" s="18"/>
      <c r="Q34" s="19" t="str">
        <f>IF(P34="","",IFERROR(INDEX('Reference Values'!$B$8:$B$12,P34),"?"))</f>
        <v/>
      </c>
      <c r="R34" s="18"/>
      <c r="S34" s="19" t="str">
        <f>IF(R34="","",IFERROR(INDEX('Reference Values'!$B$8:$B$12,R34),"?"))</f>
        <v/>
      </c>
      <c r="T34" s="18"/>
      <c r="U34" s="19" t="str">
        <f>IF(T34="","",IFERROR(INDEX('Reference Values'!$B$8:$B$12,T34),"?"))</f>
        <v/>
      </c>
      <c r="V34" s="13"/>
      <c r="W34" s="13"/>
      <c r="X34" s="13"/>
      <c r="Y34" s="20"/>
    </row>
    <row r="35" spans="1:25" ht="24" customHeight="1" x14ac:dyDescent="0.25">
      <c r="A35" s="10" t="str">
        <f>IF(B35="","","D"&amp;TEXT(30,"000"))</f>
        <v/>
      </c>
      <c r="B35" s="21"/>
      <c r="C35" s="21"/>
      <c r="D35" s="21"/>
      <c r="E35" s="21"/>
      <c r="F35" s="22"/>
      <c r="G35" s="21"/>
      <c r="H35" s="13"/>
      <c r="I35" s="13"/>
      <c r="J35" s="17"/>
      <c r="K35" s="9" t="str">
        <f>IF(J35="","",IFERROR(INDEX('Reference Values'!$B$8:$B$12,J35),"?"))</f>
        <v/>
      </c>
      <c r="L35" s="17"/>
      <c r="M35" s="9" t="str">
        <f>IF(L35="","",IFERROR(INDEX('Reference Values'!$B$8:$B$12,L35),"?"))</f>
        <v/>
      </c>
      <c r="N35" s="17"/>
      <c r="O35" s="9" t="str">
        <f>IF(N35="","",IFERROR(INDEX('Reference Values'!$B$8:$B$12,N35),"?"))</f>
        <v/>
      </c>
      <c r="P35" s="23"/>
      <c r="Q35" s="19" t="str">
        <f>IF(P35="","",IFERROR(INDEX('Reference Values'!$B$8:$B$12,P35),"?"))</f>
        <v/>
      </c>
      <c r="R35" s="23"/>
      <c r="S35" s="19" t="str">
        <f>IF(R35="","",IFERROR(INDEX('Reference Values'!$B$8:$B$12,R35),"?"))</f>
        <v/>
      </c>
      <c r="T35" s="23"/>
      <c r="U35" s="19" t="str">
        <f>IF(T35="","",IFERROR(INDEX('Reference Values'!$B$8:$B$12,T35),"?"))</f>
        <v/>
      </c>
      <c r="V35" s="13"/>
      <c r="W35" s="13"/>
      <c r="X35" s="13"/>
      <c r="Y35" s="24"/>
    </row>
    <row r="36" spans="1:25" ht="24" customHeight="1" x14ac:dyDescent="0.25">
      <c r="A36" s="6" t="str">
        <f>IF(B36="","","D"&amp;TEXT(31,"000"))</f>
        <v/>
      </c>
      <c r="B36" s="15"/>
      <c r="C36" s="15"/>
      <c r="D36" s="15"/>
      <c r="E36" s="15"/>
      <c r="F36" s="16"/>
      <c r="G36" s="15"/>
      <c r="H36" s="13"/>
      <c r="I36" s="13"/>
      <c r="J36" s="17"/>
      <c r="K36" s="9" t="str">
        <f>IF(J36="","",IFERROR(INDEX('Reference Values'!$B$8:$B$12,J36),"?"))</f>
        <v/>
      </c>
      <c r="L36" s="17"/>
      <c r="M36" s="9" t="str">
        <f>IF(L36="","",IFERROR(INDEX('Reference Values'!$B$8:$B$12,L36),"?"))</f>
        <v/>
      </c>
      <c r="N36" s="17"/>
      <c r="O36" s="9" t="str">
        <f>IF(N36="","",IFERROR(INDEX('Reference Values'!$B$8:$B$12,N36),"?"))</f>
        <v/>
      </c>
      <c r="P36" s="18"/>
      <c r="Q36" s="19" t="str">
        <f>IF(P36="","",IFERROR(INDEX('Reference Values'!$B$8:$B$12,P36),"?"))</f>
        <v/>
      </c>
      <c r="R36" s="18"/>
      <c r="S36" s="19" t="str">
        <f>IF(R36="","",IFERROR(INDEX('Reference Values'!$B$8:$B$12,R36),"?"))</f>
        <v/>
      </c>
      <c r="T36" s="18"/>
      <c r="U36" s="19" t="str">
        <f>IF(T36="","",IFERROR(INDEX('Reference Values'!$B$8:$B$12,T36),"?"))</f>
        <v/>
      </c>
      <c r="V36" s="13"/>
      <c r="W36" s="13"/>
      <c r="X36" s="13"/>
      <c r="Y36" s="20"/>
    </row>
    <row r="37" spans="1:25" ht="24" customHeight="1" x14ac:dyDescent="0.25">
      <c r="A37" s="10" t="str">
        <f>IF(B37="","","D"&amp;TEXT(32,"000"))</f>
        <v/>
      </c>
      <c r="B37" s="21"/>
      <c r="C37" s="21"/>
      <c r="D37" s="21"/>
      <c r="E37" s="21"/>
      <c r="F37" s="22"/>
      <c r="G37" s="21"/>
      <c r="H37" s="13"/>
      <c r="I37" s="13"/>
      <c r="J37" s="17"/>
      <c r="K37" s="9" t="str">
        <f>IF(J37="","",IFERROR(INDEX('Reference Values'!$B$8:$B$12,J37),"?"))</f>
        <v/>
      </c>
      <c r="L37" s="17"/>
      <c r="M37" s="9" t="str">
        <f>IF(L37="","",IFERROR(INDEX('Reference Values'!$B$8:$B$12,L37),"?"))</f>
        <v/>
      </c>
      <c r="N37" s="17"/>
      <c r="O37" s="9" t="str">
        <f>IF(N37="","",IFERROR(INDEX('Reference Values'!$B$8:$B$12,N37),"?"))</f>
        <v/>
      </c>
      <c r="P37" s="23"/>
      <c r="Q37" s="19" t="str">
        <f>IF(P37="","",IFERROR(INDEX('Reference Values'!$B$8:$B$12,P37),"?"))</f>
        <v/>
      </c>
      <c r="R37" s="23"/>
      <c r="S37" s="19" t="str">
        <f>IF(R37="","",IFERROR(INDEX('Reference Values'!$B$8:$B$12,R37),"?"))</f>
        <v/>
      </c>
      <c r="T37" s="23"/>
      <c r="U37" s="19" t="str">
        <f>IF(T37="","",IFERROR(INDEX('Reference Values'!$B$8:$B$12,T37),"?"))</f>
        <v/>
      </c>
      <c r="V37" s="13"/>
      <c r="W37" s="13"/>
      <c r="X37" s="13"/>
      <c r="Y37" s="24"/>
    </row>
    <row r="38" spans="1:25" ht="24" customHeight="1" x14ac:dyDescent="0.25">
      <c r="A38" s="6" t="str">
        <f>IF(B38="","","D"&amp;TEXT(33,"000"))</f>
        <v/>
      </c>
      <c r="B38" s="15"/>
      <c r="C38" s="15"/>
      <c r="D38" s="15"/>
      <c r="E38" s="15"/>
      <c r="F38" s="16"/>
      <c r="G38" s="15"/>
      <c r="H38" s="13"/>
      <c r="I38" s="13"/>
      <c r="J38" s="17"/>
      <c r="K38" s="9" t="str">
        <f>IF(J38="","",IFERROR(INDEX('Reference Values'!$B$8:$B$12,J38),"?"))</f>
        <v/>
      </c>
      <c r="L38" s="17"/>
      <c r="M38" s="9" t="str">
        <f>IF(L38="","",IFERROR(INDEX('Reference Values'!$B$8:$B$12,L38),"?"))</f>
        <v/>
      </c>
      <c r="N38" s="17"/>
      <c r="O38" s="9" t="str">
        <f>IF(N38="","",IFERROR(INDEX('Reference Values'!$B$8:$B$12,N38),"?"))</f>
        <v/>
      </c>
      <c r="P38" s="18"/>
      <c r="Q38" s="19" t="str">
        <f>IF(P38="","",IFERROR(INDEX('Reference Values'!$B$8:$B$12,P38),"?"))</f>
        <v/>
      </c>
      <c r="R38" s="18"/>
      <c r="S38" s="19" t="str">
        <f>IF(R38="","",IFERROR(INDEX('Reference Values'!$B$8:$B$12,R38),"?"))</f>
        <v/>
      </c>
      <c r="T38" s="18"/>
      <c r="U38" s="19" t="str">
        <f>IF(T38="","",IFERROR(INDEX('Reference Values'!$B$8:$B$12,T38),"?"))</f>
        <v/>
      </c>
      <c r="V38" s="13"/>
      <c r="W38" s="13"/>
      <c r="X38" s="13"/>
      <c r="Y38" s="20"/>
    </row>
    <row r="39" spans="1:25" ht="24" customHeight="1" x14ac:dyDescent="0.25">
      <c r="A39" s="10" t="str">
        <f>IF(B39="","","D"&amp;TEXT(34,"000"))</f>
        <v/>
      </c>
      <c r="B39" s="21"/>
      <c r="C39" s="21"/>
      <c r="D39" s="21"/>
      <c r="E39" s="21"/>
      <c r="F39" s="22"/>
      <c r="G39" s="21"/>
      <c r="H39" s="13"/>
      <c r="I39" s="13"/>
      <c r="J39" s="17"/>
      <c r="K39" s="9" t="str">
        <f>IF(J39="","",IFERROR(INDEX('Reference Values'!$B$8:$B$12,J39),"?"))</f>
        <v/>
      </c>
      <c r="L39" s="17"/>
      <c r="M39" s="9" t="str">
        <f>IF(L39="","",IFERROR(INDEX('Reference Values'!$B$8:$B$12,L39),"?"))</f>
        <v/>
      </c>
      <c r="N39" s="17"/>
      <c r="O39" s="9" t="str">
        <f>IF(N39="","",IFERROR(INDEX('Reference Values'!$B$8:$B$12,N39),"?"))</f>
        <v/>
      </c>
      <c r="P39" s="23"/>
      <c r="Q39" s="19" t="str">
        <f>IF(P39="","",IFERROR(INDEX('Reference Values'!$B$8:$B$12,P39),"?"))</f>
        <v/>
      </c>
      <c r="R39" s="23"/>
      <c r="S39" s="19" t="str">
        <f>IF(R39="","",IFERROR(INDEX('Reference Values'!$B$8:$B$12,R39),"?"))</f>
        <v/>
      </c>
      <c r="T39" s="23"/>
      <c r="U39" s="19" t="str">
        <f>IF(T39="","",IFERROR(INDEX('Reference Values'!$B$8:$B$12,T39),"?"))</f>
        <v/>
      </c>
      <c r="V39" s="13"/>
      <c r="W39" s="13"/>
      <c r="X39" s="13"/>
      <c r="Y39" s="24"/>
    </row>
    <row r="40" spans="1:25" ht="24" customHeight="1" x14ac:dyDescent="0.25">
      <c r="A40" s="6" t="str">
        <f>IF(B40="","","D"&amp;TEXT(35,"000"))</f>
        <v/>
      </c>
      <c r="B40" s="15"/>
      <c r="C40" s="15"/>
      <c r="D40" s="15"/>
      <c r="E40" s="15"/>
      <c r="F40" s="16"/>
      <c r="G40" s="15"/>
      <c r="H40" s="13"/>
      <c r="I40" s="13"/>
      <c r="J40" s="17"/>
      <c r="K40" s="9" t="str">
        <f>IF(J40="","",IFERROR(INDEX('Reference Values'!$B$8:$B$12,J40),"?"))</f>
        <v/>
      </c>
      <c r="L40" s="17"/>
      <c r="M40" s="9" t="str">
        <f>IF(L40="","",IFERROR(INDEX('Reference Values'!$B$8:$B$12,L40),"?"))</f>
        <v/>
      </c>
      <c r="N40" s="17"/>
      <c r="O40" s="9" t="str">
        <f>IF(N40="","",IFERROR(INDEX('Reference Values'!$B$8:$B$12,N40),"?"))</f>
        <v/>
      </c>
      <c r="P40" s="18"/>
      <c r="Q40" s="19" t="str">
        <f>IF(P40="","",IFERROR(INDEX('Reference Values'!$B$8:$B$12,P40),"?"))</f>
        <v/>
      </c>
      <c r="R40" s="18"/>
      <c r="S40" s="19" t="str">
        <f>IF(R40="","",IFERROR(INDEX('Reference Values'!$B$8:$B$12,R40),"?"))</f>
        <v/>
      </c>
      <c r="T40" s="18"/>
      <c r="U40" s="19" t="str">
        <f>IF(T40="","",IFERROR(INDEX('Reference Values'!$B$8:$B$12,T40),"?"))</f>
        <v/>
      </c>
      <c r="V40" s="13"/>
      <c r="W40" s="13"/>
      <c r="X40" s="13"/>
      <c r="Y40" s="20"/>
    </row>
    <row r="41" spans="1:25" ht="24" customHeight="1" x14ac:dyDescent="0.25">
      <c r="A41" s="10" t="str">
        <f>IF(B41="","","D"&amp;TEXT(36,"000"))</f>
        <v/>
      </c>
      <c r="B41" s="21"/>
      <c r="C41" s="21"/>
      <c r="D41" s="21"/>
      <c r="E41" s="21"/>
      <c r="F41" s="22"/>
      <c r="G41" s="21"/>
      <c r="H41" s="13"/>
      <c r="I41" s="13"/>
      <c r="J41" s="17"/>
      <c r="K41" s="9" t="str">
        <f>IF(J41="","",IFERROR(INDEX('Reference Values'!$B$8:$B$12,J41),"?"))</f>
        <v/>
      </c>
      <c r="L41" s="17"/>
      <c r="M41" s="9" t="str">
        <f>IF(L41="","",IFERROR(INDEX('Reference Values'!$B$8:$B$12,L41),"?"))</f>
        <v/>
      </c>
      <c r="N41" s="17"/>
      <c r="O41" s="9" t="str">
        <f>IF(N41="","",IFERROR(INDEX('Reference Values'!$B$8:$B$12,N41),"?"))</f>
        <v/>
      </c>
      <c r="P41" s="23"/>
      <c r="Q41" s="19" t="str">
        <f>IF(P41="","",IFERROR(INDEX('Reference Values'!$B$8:$B$12,P41),"?"))</f>
        <v/>
      </c>
      <c r="R41" s="23"/>
      <c r="S41" s="19" t="str">
        <f>IF(R41="","",IFERROR(INDEX('Reference Values'!$B$8:$B$12,R41),"?"))</f>
        <v/>
      </c>
      <c r="T41" s="23"/>
      <c r="U41" s="19" t="str">
        <f>IF(T41="","",IFERROR(INDEX('Reference Values'!$B$8:$B$12,T41),"?"))</f>
        <v/>
      </c>
      <c r="V41" s="13"/>
      <c r="W41" s="13"/>
      <c r="X41" s="13"/>
      <c r="Y41" s="24"/>
    </row>
    <row r="42" spans="1:25" ht="24" customHeight="1" x14ac:dyDescent="0.25">
      <c r="A42" s="6" t="str">
        <f>IF(B42="","","D"&amp;TEXT(37,"000"))</f>
        <v/>
      </c>
      <c r="B42" s="15"/>
      <c r="C42" s="15"/>
      <c r="D42" s="15"/>
      <c r="E42" s="15"/>
      <c r="F42" s="16"/>
      <c r="G42" s="15"/>
      <c r="H42" s="13"/>
      <c r="I42" s="13"/>
      <c r="J42" s="17"/>
      <c r="K42" s="9" t="str">
        <f>IF(J42="","",IFERROR(INDEX('Reference Values'!$B$8:$B$12,J42),"?"))</f>
        <v/>
      </c>
      <c r="L42" s="17"/>
      <c r="M42" s="9" t="str">
        <f>IF(L42="","",IFERROR(INDEX('Reference Values'!$B$8:$B$12,L42),"?"))</f>
        <v/>
      </c>
      <c r="N42" s="17"/>
      <c r="O42" s="9" t="str">
        <f>IF(N42="","",IFERROR(INDEX('Reference Values'!$B$8:$B$12,N42),"?"))</f>
        <v/>
      </c>
      <c r="P42" s="18"/>
      <c r="Q42" s="19" t="str">
        <f>IF(P42="","",IFERROR(INDEX('Reference Values'!$B$8:$B$12,P42),"?"))</f>
        <v/>
      </c>
      <c r="R42" s="18"/>
      <c r="S42" s="19" t="str">
        <f>IF(R42="","",IFERROR(INDEX('Reference Values'!$B$8:$B$12,R42),"?"))</f>
        <v/>
      </c>
      <c r="T42" s="18"/>
      <c r="U42" s="19" t="str">
        <f>IF(T42="","",IFERROR(INDEX('Reference Values'!$B$8:$B$12,T42),"?"))</f>
        <v/>
      </c>
      <c r="V42" s="13"/>
      <c r="W42" s="13"/>
      <c r="X42" s="13"/>
      <c r="Y42" s="20"/>
    </row>
    <row r="43" spans="1:25" ht="24" customHeight="1" x14ac:dyDescent="0.25">
      <c r="A43" s="10" t="str">
        <f>IF(B43="","","D"&amp;TEXT(38,"000"))</f>
        <v/>
      </c>
      <c r="B43" s="21"/>
      <c r="C43" s="21"/>
      <c r="D43" s="21"/>
      <c r="E43" s="21"/>
      <c r="F43" s="22"/>
      <c r="G43" s="21"/>
      <c r="H43" s="13"/>
      <c r="I43" s="13"/>
      <c r="J43" s="17"/>
      <c r="K43" s="9" t="str">
        <f>IF(J43="","",IFERROR(INDEX('Reference Values'!$B$8:$B$12,J43),"?"))</f>
        <v/>
      </c>
      <c r="L43" s="17"/>
      <c r="M43" s="9" t="str">
        <f>IF(L43="","",IFERROR(INDEX('Reference Values'!$B$8:$B$12,L43),"?"))</f>
        <v/>
      </c>
      <c r="N43" s="17"/>
      <c r="O43" s="9" t="str">
        <f>IF(N43="","",IFERROR(INDEX('Reference Values'!$B$8:$B$12,N43),"?"))</f>
        <v/>
      </c>
      <c r="P43" s="23"/>
      <c r="Q43" s="19" t="str">
        <f>IF(P43="","",IFERROR(INDEX('Reference Values'!$B$8:$B$12,P43),"?"))</f>
        <v/>
      </c>
      <c r="R43" s="23"/>
      <c r="S43" s="19" t="str">
        <f>IF(R43="","",IFERROR(INDEX('Reference Values'!$B$8:$B$12,R43),"?"))</f>
        <v/>
      </c>
      <c r="T43" s="23"/>
      <c r="U43" s="19" t="str">
        <f>IF(T43="","",IFERROR(INDEX('Reference Values'!$B$8:$B$12,T43),"?"))</f>
        <v/>
      </c>
      <c r="V43" s="13"/>
      <c r="W43" s="13"/>
      <c r="X43" s="13"/>
      <c r="Y43" s="24"/>
    </row>
    <row r="44" spans="1:25" ht="24" customHeight="1" x14ac:dyDescent="0.25">
      <c r="A44" s="6" t="str">
        <f>IF(B44="","","D"&amp;TEXT(39,"000"))</f>
        <v/>
      </c>
      <c r="B44" s="15"/>
      <c r="C44" s="15"/>
      <c r="D44" s="15"/>
      <c r="E44" s="15"/>
      <c r="F44" s="16"/>
      <c r="G44" s="15"/>
      <c r="H44" s="13"/>
      <c r="I44" s="13"/>
      <c r="J44" s="17"/>
      <c r="K44" s="9" t="str">
        <f>IF(J44="","",IFERROR(INDEX('Reference Values'!$B$8:$B$12,J44),"?"))</f>
        <v/>
      </c>
      <c r="L44" s="17"/>
      <c r="M44" s="9" t="str">
        <f>IF(L44="","",IFERROR(INDEX('Reference Values'!$B$8:$B$12,L44),"?"))</f>
        <v/>
      </c>
      <c r="N44" s="17"/>
      <c r="O44" s="9" t="str">
        <f>IF(N44="","",IFERROR(INDEX('Reference Values'!$B$8:$B$12,N44),"?"))</f>
        <v/>
      </c>
      <c r="P44" s="18"/>
      <c r="Q44" s="19" t="str">
        <f>IF(P44="","",IFERROR(INDEX('Reference Values'!$B$8:$B$12,P44),"?"))</f>
        <v/>
      </c>
      <c r="R44" s="18"/>
      <c r="S44" s="19" t="str">
        <f>IF(R44="","",IFERROR(INDEX('Reference Values'!$B$8:$B$12,R44),"?"))</f>
        <v/>
      </c>
      <c r="T44" s="18"/>
      <c r="U44" s="19" t="str">
        <f>IF(T44="","",IFERROR(INDEX('Reference Values'!$B$8:$B$12,T44),"?"))</f>
        <v/>
      </c>
      <c r="V44" s="13"/>
      <c r="W44" s="13"/>
      <c r="X44" s="13"/>
      <c r="Y44" s="20"/>
    </row>
    <row r="45" spans="1:25" ht="24" customHeight="1" x14ac:dyDescent="0.25">
      <c r="A45" s="10" t="str">
        <f>IF(B45="","","D"&amp;TEXT(40,"000"))</f>
        <v/>
      </c>
      <c r="B45" s="21"/>
      <c r="C45" s="21"/>
      <c r="D45" s="21"/>
      <c r="E45" s="21"/>
      <c r="F45" s="22"/>
      <c r="G45" s="21"/>
      <c r="H45" s="13"/>
      <c r="I45" s="13"/>
      <c r="J45" s="17"/>
      <c r="K45" s="9" t="str">
        <f>IF(J45="","",IFERROR(INDEX('Reference Values'!$B$8:$B$12,J45),"?"))</f>
        <v/>
      </c>
      <c r="L45" s="17"/>
      <c r="M45" s="9" t="str">
        <f>IF(L45="","",IFERROR(INDEX('Reference Values'!$B$8:$B$12,L45),"?"))</f>
        <v/>
      </c>
      <c r="N45" s="17"/>
      <c r="O45" s="9" t="str">
        <f>IF(N45="","",IFERROR(INDEX('Reference Values'!$B$8:$B$12,N45),"?"))</f>
        <v/>
      </c>
      <c r="P45" s="23"/>
      <c r="Q45" s="19" t="str">
        <f>IF(P45="","",IFERROR(INDEX('Reference Values'!$B$8:$B$12,P45),"?"))</f>
        <v/>
      </c>
      <c r="R45" s="23"/>
      <c r="S45" s="19" t="str">
        <f>IF(R45="","",IFERROR(INDEX('Reference Values'!$B$8:$B$12,R45),"?"))</f>
        <v/>
      </c>
      <c r="T45" s="23"/>
      <c r="U45" s="19" t="str">
        <f>IF(T45="","",IFERROR(INDEX('Reference Values'!$B$8:$B$12,T45),"?"))</f>
        <v/>
      </c>
      <c r="V45" s="13"/>
      <c r="W45" s="13"/>
      <c r="X45" s="13"/>
      <c r="Y45" s="24"/>
    </row>
    <row r="46" spans="1:25" ht="24" customHeight="1" x14ac:dyDescent="0.25">
      <c r="A46" s="6" t="str">
        <f>IF(B46="","","D"&amp;TEXT(41,"000"))</f>
        <v/>
      </c>
      <c r="B46" s="15"/>
      <c r="C46" s="15"/>
      <c r="D46" s="15"/>
      <c r="E46" s="15"/>
      <c r="F46" s="16"/>
      <c r="G46" s="15"/>
      <c r="H46" s="13"/>
      <c r="I46" s="13"/>
      <c r="J46" s="17"/>
      <c r="K46" s="9" t="str">
        <f>IF(J46="","",IFERROR(INDEX('Reference Values'!$B$8:$B$12,J46),"?"))</f>
        <v/>
      </c>
      <c r="L46" s="17"/>
      <c r="M46" s="9" t="str">
        <f>IF(L46="","",IFERROR(INDEX('Reference Values'!$B$8:$B$12,L46),"?"))</f>
        <v/>
      </c>
      <c r="N46" s="17"/>
      <c r="O46" s="9" t="str">
        <f>IF(N46="","",IFERROR(INDEX('Reference Values'!$B$8:$B$12,N46),"?"))</f>
        <v/>
      </c>
      <c r="P46" s="18"/>
      <c r="Q46" s="19" t="str">
        <f>IF(P46="","",IFERROR(INDEX('Reference Values'!$B$8:$B$12,P46),"?"))</f>
        <v/>
      </c>
      <c r="R46" s="18"/>
      <c r="S46" s="19" t="str">
        <f>IF(R46="","",IFERROR(INDEX('Reference Values'!$B$8:$B$12,R46),"?"))</f>
        <v/>
      </c>
      <c r="T46" s="18"/>
      <c r="U46" s="19" t="str">
        <f>IF(T46="","",IFERROR(INDEX('Reference Values'!$B$8:$B$12,T46),"?"))</f>
        <v/>
      </c>
      <c r="V46" s="13"/>
      <c r="W46" s="13"/>
      <c r="X46" s="13"/>
      <c r="Y46" s="20"/>
    </row>
    <row r="47" spans="1:25" ht="24" customHeight="1" x14ac:dyDescent="0.25">
      <c r="A47" s="10" t="str">
        <f>IF(B47="","","D"&amp;TEXT(42,"000"))</f>
        <v/>
      </c>
      <c r="B47" s="21"/>
      <c r="C47" s="21"/>
      <c r="D47" s="21"/>
      <c r="E47" s="21"/>
      <c r="F47" s="22"/>
      <c r="G47" s="21"/>
      <c r="H47" s="13"/>
      <c r="I47" s="13"/>
      <c r="J47" s="17"/>
      <c r="K47" s="9" t="str">
        <f>IF(J47="","",IFERROR(INDEX('Reference Values'!$B$8:$B$12,J47),"?"))</f>
        <v/>
      </c>
      <c r="L47" s="17"/>
      <c r="M47" s="9" t="str">
        <f>IF(L47="","",IFERROR(INDEX('Reference Values'!$B$8:$B$12,L47),"?"))</f>
        <v/>
      </c>
      <c r="N47" s="17"/>
      <c r="O47" s="9" t="str">
        <f>IF(N47="","",IFERROR(INDEX('Reference Values'!$B$8:$B$12,N47),"?"))</f>
        <v/>
      </c>
      <c r="P47" s="23"/>
      <c r="Q47" s="19" t="str">
        <f>IF(P47="","",IFERROR(INDEX('Reference Values'!$B$8:$B$12,P47),"?"))</f>
        <v/>
      </c>
      <c r="R47" s="23"/>
      <c r="S47" s="19" t="str">
        <f>IF(R47="","",IFERROR(INDEX('Reference Values'!$B$8:$B$12,R47),"?"))</f>
        <v/>
      </c>
      <c r="T47" s="23"/>
      <c r="U47" s="19" t="str">
        <f>IF(T47="","",IFERROR(INDEX('Reference Values'!$B$8:$B$12,T47),"?"))</f>
        <v/>
      </c>
      <c r="V47" s="13"/>
      <c r="W47" s="13"/>
      <c r="X47" s="13"/>
      <c r="Y47" s="24"/>
    </row>
    <row r="48" spans="1:25" ht="24" customHeight="1" x14ac:dyDescent="0.25">
      <c r="A48" s="6" t="str">
        <f>IF(B48="","","D"&amp;TEXT(43,"000"))</f>
        <v/>
      </c>
      <c r="B48" s="15"/>
      <c r="C48" s="15"/>
      <c r="D48" s="15"/>
      <c r="E48" s="15"/>
      <c r="F48" s="16"/>
      <c r="G48" s="15"/>
      <c r="H48" s="13"/>
      <c r="I48" s="13"/>
      <c r="J48" s="17"/>
      <c r="K48" s="9" t="str">
        <f>IF(J48="","",IFERROR(INDEX('Reference Values'!$B$8:$B$12,J48),"?"))</f>
        <v/>
      </c>
      <c r="L48" s="17"/>
      <c r="M48" s="9" t="str">
        <f>IF(L48="","",IFERROR(INDEX('Reference Values'!$B$8:$B$12,L48),"?"))</f>
        <v/>
      </c>
      <c r="N48" s="17"/>
      <c r="O48" s="9" t="str">
        <f>IF(N48="","",IFERROR(INDEX('Reference Values'!$B$8:$B$12,N48),"?"))</f>
        <v/>
      </c>
      <c r="P48" s="18"/>
      <c r="Q48" s="19" t="str">
        <f>IF(P48="","",IFERROR(INDEX('Reference Values'!$B$8:$B$12,P48),"?"))</f>
        <v/>
      </c>
      <c r="R48" s="18"/>
      <c r="S48" s="19" t="str">
        <f>IF(R48="","",IFERROR(INDEX('Reference Values'!$B$8:$B$12,R48),"?"))</f>
        <v/>
      </c>
      <c r="T48" s="18"/>
      <c r="U48" s="19" t="str">
        <f>IF(T48="","",IFERROR(INDEX('Reference Values'!$B$8:$B$12,T48),"?"))</f>
        <v/>
      </c>
      <c r="V48" s="13"/>
      <c r="W48" s="13"/>
      <c r="X48" s="13"/>
      <c r="Y48" s="20"/>
    </row>
    <row r="49" spans="1:25" ht="24" customHeight="1" x14ac:dyDescent="0.25">
      <c r="A49" s="10" t="str">
        <f>IF(B49="","","D"&amp;TEXT(44,"000"))</f>
        <v/>
      </c>
      <c r="B49" s="21"/>
      <c r="C49" s="21"/>
      <c r="D49" s="21"/>
      <c r="E49" s="21"/>
      <c r="F49" s="22"/>
      <c r="G49" s="21"/>
      <c r="H49" s="13"/>
      <c r="I49" s="13"/>
      <c r="J49" s="17"/>
      <c r="K49" s="9" t="str">
        <f>IF(J49="","",IFERROR(INDEX('Reference Values'!$B$8:$B$12,J49),"?"))</f>
        <v/>
      </c>
      <c r="L49" s="17"/>
      <c r="M49" s="9" t="str">
        <f>IF(L49="","",IFERROR(INDEX('Reference Values'!$B$8:$B$12,L49),"?"))</f>
        <v/>
      </c>
      <c r="N49" s="17"/>
      <c r="O49" s="9" t="str">
        <f>IF(N49="","",IFERROR(INDEX('Reference Values'!$B$8:$B$12,N49),"?"))</f>
        <v/>
      </c>
      <c r="P49" s="23"/>
      <c r="Q49" s="19" t="str">
        <f>IF(P49="","",IFERROR(INDEX('Reference Values'!$B$8:$B$12,P49),"?"))</f>
        <v/>
      </c>
      <c r="R49" s="23"/>
      <c r="S49" s="19" t="str">
        <f>IF(R49="","",IFERROR(INDEX('Reference Values'!$B$8:$B$12,R49),"?"))</f>
        <v/>
      </c>
      <c r="T49" s="23"/>
      <c r="U49" s="19" t="str">
        <f>IF(T49="","",IFERROR(INDEX('Reference Values'!$B$8:$B$12,T49),"?"))</f>
        <v/>
      </c>
      <c r="V49" s="13"/>
      <c r="W49" s="13"/>
      <c r="X49" s="13"/>
      <c r="Y49" s="24"/>
    </row>
    <row r="50" spans="1:25" ht="24" customHeight="1" x14ac:dyDescent="0.25">
      <c r="A50" s="6" t="str">
        <f>IF(B50="","","D"&amp;TEXT(45,"000"))</f>
        <v/>
      </c>
      <c r="B50" s="15"/>
      <c r="C50" s="15"/>
      <c r="D50" s="15"/>
      <c r="E50" s="15"/>
      <c r="F50" s="16"/>
      <c r="G50" s="15"/>
      <c r="H50" s="13"/>
      <c r="I50" s="13"/>
      <c r="J50" s="17"/>
      <c r="K50" s="9" t="str">
        <f>IF(J50="","",IFERROR(INDEX('Reference Values'!$B$8:$B$12,J50),"?"))</f>
        <v/>
      </c>
      <c r="L50" s="17"/>
      <c r="M50" s="9" t="str">
        <f>IF(L50="","",IFERROR(INDEX('Reference Values'!$B$8:$B$12,L50),"?"))</f>
        <v/>
      </c>
      <c r="N50" s="17"/>
      <c r="O50" s="9" t="str">
        <f>IF(N50="","",IFERROR(INDEX('Reference Values'!$B$8:$B$12,N50),"?"))</f>
        <v/>
      </c>
      <c r="P50" s="18"/>
      <c r="Q50" s="19" t="str">
        <f>IF(P50="","",IFERROR(INDEX('Reference Values'!$B$8:$B$12,P50),"?"))</f>
        <v/>
      </c>
      <c r="R50" s="18"/>
      <c r="S50" s="19" t="str">
        <f>IF(R50="","",IFERROR(INDEX('Reference Values'!$B$8:$B$12,R50),"?"))</f>
        <v/>
      </c>
      <c r="T50" s="18"/>
      <c r="U50" s="19" t="str">
        <f>IF(T50="","",IFERROR(INDEX('Reference Values'!$B$8:$B$12,T50),"?"))</f>
        <v/>
      </c>
      <c r="V50" s="13"/>
      <c r="W50" s="13"/>
      <c r="X50" s="13"/>
      <c r="Y50" s="20"/>
    </row>
    <row r="51" spans="1:25" ht="24" customHeight="1" x14ac:dyDescent="0.25">
      <c r="A51" s="10" t="str">
        <f>IF(B51="","","D"&amp;TEXT(46,"000"))</f>
        <v/>
      </c>
      <c r="B51" s="21"/>
      <c r="C51" s="21"/>
      <c r="D51" s="21"/>
      <c r="E51" s="21"/>
      <c r="F51" s="22"/>
      <c r="G51" s="21"/>
      <c r="H51" s="13"/>
      <c r="I51" s="13"/>
      <c r="J51" s="17"/>
      <c r="K51" s="9" t="str">
        <f>IF(J51="","",IFERROR(INDEX('Reference Values'!$B$8:$B$12,J51),"?"))</f>
        <v/>
      </c>
      <c r="L51" s="17"/>
      <c r="M51" s="9" t="str">
        <f>IF(L51="","",IFERROR(INDEX('Reference Values'!$B$8:$B$12,L51),"?"))</f>
        <v/>
      </c>
      <c r="N51" s="17"/>
      <c r="O51" s="9" t="str">
        <f>IF(N51="","",IFERROR(INDEX('Reference Values'!$B$8:$B$12,N51),"?"))</f>
        <v/>
      </c>
      <c r="P51" s="23"/>
      <c r="Q51" s="19" t="str">
        <f>IF(P51="","",IFERROR(INDEX('Reference Values'!$B$8:$B$12,P51),"?"))</f>
        <v/>
      </c>
      <c r="R51" s="23"/>
      <c r="S51" s="19" t="str">
        <f>IF(R51="","",IFERROR(INDEX('Reference Values'!$B$8:$B$12,R51),"?"))</f>
        <v/>
      </c>
      <c r="T51" s="23"/>
      <c r="U51" s="19" t="str">
        <f>IF(T51="","",IFERROR(INDEX('Reference Values'!$B$8:$B$12,T51),"?"))</f>
        <v/>
      </c>
      <c r="V51" s="13"/>
      <c r="W51" s="13"/>
      <c r="X51" s="13"/>
      <c r="Y51" s="24"/>
    </row>
    <row r="52" spans="1:25" ht="24" customHeight="1" x14ac:dyDescent="0.25">
      <c r="A52" s="6" t="str">
        <f>IF(B52="","","D"&amp;TEXT(47,"000"))</f>
        <v/>
      </c>
      <c r="B52" s="15"/>
      <c r="C52" s="15"/>
      <c r="D52" s="15"/>
      <c r="E52" s="15"/>
      <c r="F52" s="16"/>
      <c r="G52" s="15"/>
      <c r="H52" s="13"/>
      <c r="I52" s="13"/>
      <c r="J52" s="17"/>
      <c r="K52" s="9" t="str">
        <f>IF(J52="","",IFERROR(INDEX('Reference Values'!$B$8:$B$12,J52),"?"))</f>
        <v/>
      </c>
      <c r="L52" s="17"/>
      <c r="M52" s="9" t="str">
        <f>IF(L52="","",IFERROR(INDEX('Reference Values'!$B$8:$B$12,L52),"?"))</f>
        <v/>
      </c>
      <c r="N52" s="17"/>
      <c r="O52" s="9" t="str">
        <f>IF(N52="","",IFERROR(INDEX('Reference Values'!$B$8:$B$12,N52),"?"))</f>
        <v/>
      </c>
      <c r="P52" s="18"/>
      <c r="Q52" s="19" t="str">
        <f>IF(P52="","",IFERROR(INDEX('Reference Values'!$B$8:$B$12,P52),"?"))</f>
        <v/>
      </c>
      <c r="R52" s="18"/>
      <c r="S52" s="19" t="str">
        <f>IF(R52="","",IFERROR(INDEX('Reference Values'!$B$8:$B$12,R52),"?"))</f>
        <v/>
      </c>
      <c r="T52" s="18"/>
      <c r="U52" s="19" t="str">
        <f>IF(T52="","",IFERROR(INDEX('Reference Values'!$B$8:$B$12,T52),"?"))</f>
        <v/>
      </c>
      <c r="V52" s="13"/>
      <c r="W52" s="13"/>
      <c r="X52" s="13"/>
      <c r="Y52" s="20"/>
    </row>
    <row r="53" spans="1:25" ht="24" customHeight="1" x14ac:dyDescent="0.25">
      <c r="A53" s="10" t="str">
        <f>IF(B53="","","D"&amp;TEXT(48,"000"))</f>
        <v/>
      </c>
      <c r="B53" s="21"/>
      <c r="C53" s="21"/>
      <c r="D53" s="21"/>
      <c r="E53" s="21"/>
      <c r="F53" s="22"/>
      <c r="G53" s="21"/>
      <c r="H53" s="13"/>
      <c r="I53" s="13"/>
      <c r="J53" s="17"/>
      <c r="K53" s="9" t="str">
        <f>IF(J53="","",IFERROR(INDEX('Reference Values'!$B$8:$B$12,J53),"?"))</f>
        <v/>
      </c>
      <c r="L53" s="17"/>
      <c r="M53" s="9" t="str">
        <f>IF(L53="","",IFERROR(INDEX('Reference Values'!$B$8:$B$12,L53),"?"))</f>
        <v/>
      </c>
      <c r="N53" s="17"/>
      <c r="O53" s="9" t="str">
        <f>IF(N53="","",IFERROR(INDEX('Reference Values'!$B$8:$B$12,N53),"?"))</f>
        <v/>
      </c>
      <c r="P53" s="23"/>
      <c r="Q53" s="19" t="str">
        <f>IF(P53="","",IFERROR(INDEX('Reference Values'!$B$8:$B$12,P53),"?"))</f>
        <v/>
      </c>
      <c r="R53" s="23"/>
      <c r="S53" s="19" t="str">
        <f>IF(R53="","",IFERROR(INDEX('Reference Values'!$B$8:$B$12,R53),"?"))</f>
        <v/>
      </c>
      <c r="T53" s="23"/>
      <c r="U53" s="19" t="str">
        <f>IF(T53="","",IFERROR(INDEX('Reference Values'!$B$8:$B$12,T53),"?"))</f>
        <v/>
      </c>
      <c r="V53" s="13"/>
      <c r="W53" s="13"/>
      <c r="X53" s="13"/>
      <c r="Y53" s="24"/>
    </row>
    <row r="54" spans="1:25" ht="24" customHeight="1" x14ac:dyDescent="0.25">
      <c r="A54" s="6" t="str">
        <f>IF(B54="","","D"&amp;TEXT(49,"000"))</f>
        <v/>
      </c>
      <c r="B54" s="15"/>
      <c r="C54" s="15"/>
      <c r="D54" s="15"/>
      <c r="E54" s="15"/>
      <c r="F54" s="16"/>
      <c r="G54" s="15"/>
      <c r="H54" s="13"/>
      <c r="I54" s="13"/>
      <c r="J54" s="17"/>
      <c r="K54" s="9" t="str">
        <f>IF(J54="","",IFERROR(INDEX('Reference Values'!$B$8:$B$12,J54),"?"))</f>
        <v/>
      </c>
      <c r="L54" s="17"/>
      <c r="M54" s="9" t="str">
        <f>IF(L54="","",IFERROR(INDEX('Reference Values'!$B$8:$B$12,L54),"?"))</f>
        <v/>
      </c>
      <c r="N54" s="17"/>
      <c r="O54" s="9" t="str">
        <f>IF(N54="","",IFERROR(INDEX('Reference Values'!$B$8:$B$12,N54),"?"))</f>
        <v/>
      </c>
      <c r="P54" s="18"/>
      <c r="Q54" s="19" t="str">
        <f>IF(P54="","",IFERROR(INDEX('Reference Values'!$B$8:$B$12,P54),"?"))</f>
        <v/>
      </c>
      <c r="R54" s="18"/>
      <c r="S54" s="19" t="str">
        <f>IF(R54="","",IFERROR(INDEX('Reference Values'!$B$8:$B$12,R54),"?"))</f>
        <v/>
      </c>
      <c r="T54" s="18"/>
      <c r="U54" s="19" t="str">
        <f>IF(T54="","",IFERROR(INDEX('Reference Values'!$B$8:$B$12,T54),"?"))</f>
        <v/>
      </c>
      <c r="V54" s="13"/>
      <c r="W54" s="13"/>
      <c r="X54" s="13"/>
      <c r="Y54" s="20"/>
    </row>
    <row r="55" spans="1:25" ht="24" customHeight="1" x14ac:dyDescent="0.25">
      <c r="A55" s="10" t="str">
        <f>IF(B55="","","D"&amp;TEXT(50,"000"))</f>
        <v/>
      </c>
      <c r="B55" s="21"/>
      <c r="C55" s="21"/>
      <c r="D55" s="21"/>
      <c r="E55" s="21"/>
      <c r="F55" s="22"/>
      <c r="G55" s="21"/>
      <c r="H55" s="13"/>
      <c r="I55" s="13"/>
      <c r="J55" s="17"/>
      <c r="K55" s="9" t="str">
        <f>IF(J55="","",IFERROR(INDEX('Reference Values'!$B$8:$B$12,J55),"?"))</f>
        <v/>
      </c>
      <c r="L55" s="17"/>
      <c r="M55" s="9" t="str">
        <f>IF(L55="","",IFERROR(INDEX('Reference Values'!$B$8:$B$12,L55),"?"))</f>
        <v/>
      </c>
      <c r="N55" s="17"/>
      <c r="O55" s="9" t="str">
        <f>IF(N55="","",IFERROR(INDEX('Reference Values'!$B$8:$B$12,N55),"?"))</f>
        <v/>
      </c>
      <c r="P55" s="23"/>
      <c r="Q55" s="19" t="str">
        <f>IF(P55="","",IFERROR(INDEX('Reference Values'!$B$8:$B$12,P55),"?"))</f>
        <v/>
      </c>
      <c r="R55" s="23"/>
      <c r="S55" s="19" t="str">
        <f>IF(R55="","",IFERROR(INDEX('Reference Values'!$B$8:$B$12,R55),"?"))</f>
        <v/>
      </c>
      <c r="T55" s="23"/>
      <c r="U55" s="19" t="str">
        <f>IF(T55="","",IFERROR(INDEX('Reference Values'!$B$8:$B$12,T55),"?"))</f>
        <v/>
      </c>
      <c r="V55" s="13"/>
      <c r="W55" s="13"/>
      <c r="X55" s="13"/>
      <c r="Y55" s="24"/>
    </row>
    <row r="56" spans="1:25" ht="24" customHeight="1" x14ac:dyDescent="0.25">
      <c r="A56" s="6" t="str">
        <f>IF(B56="","","D"&amp;TEXT(51,"000"))</f>
        <v/>
      </c>
      <c r="B56" s="15"/>
      <c r="C56" s="15"/>
      <c r="D56" s="15"/>
      <c r="E56" s="15"/>
      <c r="F56" s="16"/>
      <c r="G56" s="15"/>
      <c r="H56" s="13"/>
      <c r="I56" s="13"/>
      <c r="J56" s="17"/>
      <c r="K56" s="9" t="str">
        <f>IF(J56="","",IFERROR(INDEX('Reference Values'!$B$8:$B$12,J56),"?"))</f>
        <v/>
      </c>
      <c r="L56" s="17"/>
      <c r="M56" s="9" t="str">
        <f>IF(L56="","",IFERROR(INDEX('Reference Values'!$B$8:$B$12,L56),"?"))</f>
        <v/>
      </c>
      <c r="N56" s="17"/>
      <c r="O56" s="9" t="str">
        <f>IF(N56="","",IFERROR(INDEX('Reference Values'!$B$8:$B$12,N56),"?"))</f>
        <v/>
      </c>
      <c r="P56" s="18"/>
      <c r="Q56" s="19" t="str">
        <f>IF(P56="","",IFERROR(INDEX('Reference Values'!$B$8:$B$12,P56),"?"))</f>
        <v/>
      </c>
      <c r="R56" s="18"/>
      <c r="S56" s="19" t="str">
        <f>IF(R56="","",IFERROR(INDEX('Reference Values'!$B$8:$B$12,R56),"?"))</f>
        <v/>
      </c>
      <c r="T56" s="18"/>
      <c r="U56" s="19" t="str">
        <f>IF(T56="","",IFERROR(INDEX('Reference Values'!$B$8:$B$12,T56),"?"))</f>
        <v/>
      </c>
      <c r="V56" s="13"/>
      <c r="W56" s="13"/>
      <c r="X56" s="13"/>
      <c r="Y56" s="20"/>
    </row>
    <row r="57" spans="1:25" ht="24" customHeight="1" x14ac:dyDescent="0.25">
      <c r="A57" s="10" t="str">
        <f>IF(B57="","","D"&amp;TEXT(52,"000"))</f>
        <v/>
      </c>
      <c r="B57" s="21"/>
      <c r="C57" s="21"/>
      <c r="D57" s="21"/>
      <c r="E57" s="21"/>
      <c r="F57" s="22"/>
      <c r="G57" s="21"/>
      <c r="H57" s="13"/>
      <c r="I57" s="13"/>
      <c r="J57" s="17"/>
      <c r="K57" s="9" t="str">
        <f>IF(J57="","",IFERROR(INDEX('Reference Values'!$B$8:$B$12,J57),"?"))</f>
        <v/>
      </c>
      <c r="L57" s="17"/>
      <c r="M57" s="9" t="str">
        <f>IF(L57="","",IFERROR(INDEX('Reference Values'!$B$8:$B$12,L57),"?"))</f>
        <v/>
      </c>
      <c r="N57" s="17"/>
      <c r="O57" s="9" t="str">
        <f>IF(N57="","",IFERROR(INDEX('Reference Values'!$B$8:$B$12,N57),"?"))</f>
        <v/>
      </c>
      <c r="P57" s="23"/>
      <c r="Q57" s="19" t="str">
        <f>IF(P57="","",IFERROR(INDEX('Reference Values'!$B$8:$B$12,P57),"?"))</f>
        <v/>
      </c>
      <c r="R57" s="23"/>
      <c r="S57" s="19" t="str">
        <f>IF(R57="","",IFERROR(INDEX('Reference Values'!$B$8:$B$12,R57),"?"))</f>
        <v/>
      </c>
      <c r="T57" s="23"/>
      <c r="U57" s="19" t="str">
        <f>IF(T57="","",IFERROR(INDEX('Reference Values'!$B$8:$B$12,T57),"?"))</f>
        <v/>
      </c>
      <c r="V57" s="13"/>
      <c r="W57" s="13"/>
      <c r="X57" s="13"/>
      <c r="Y57" s="24"/>
    </row>
    <row r="58" spans="1:25" ht="24" customHeight="1" x14ac:dyDescent="0.25">
      <c r="A58" s="6" t="str">
        <f>IF(B58="","","D"&amp;TEXT(53,"000"))</f>
        <v/>
      </c>
      <c r="B58" s="15"/>
      <c r="C58" s="15"/>
      <c r="D58" s="15"/>
      <c r="E58" s="15"/>
      <c r="F58" s="16"/>
      <c r="G58" s="15"/>
      <c r="H58" s="13"/>
      <c r="I58" s="13"/>
      <c r="J58" s="17"/>
      <c r="K58" s="9" t="str">
        <f>IF(J58="","",IFERROR(INDEX('Reference Values'!$B$8:$B$12,J58),"?"))</f>
        <v/>
      </c>
      <c r="L58" s="17"/>
      <c r="M58" s="9" t="str">
        <f>IF(L58="","",IFERROR(INDEX('Reference Values'!$B$8:$B$12,L58),"?"))</f>
        <v/>
      </c>
      <c r="N58" s="17"/>
      <c r="O58" s="9" t="str">
        <f>IF(N58="","",IFERROR(INDEX('Reference Values'!$B$8:$B$12,N58),"?"))</f>
        <v/>
      </c>
      <c r="P58" s="18"/>
      <c r="Q58" s="19" t="str">
        <f>IF(P58="","",IFERROR(INDEX('Reference Values'!$B$8:$B$12,P58),"?"))</f>
        <v/>
      </c>
      <c r="R58" s="18"/>
      <c r="S58" s="19" t="str">
        <f>IF(R58="","",IFERROR(INDEX('Reference Values'!$B$8:$B$12,R58),"?"))</f>
        <v/>
      </c>
      <c r="T58" s="18"/>
      <c r="U58" s="19" t="str">
        <f>IF(T58="","",IFERROR(INDEX('Reference Values'!$B$8:$B$12,T58),"?"))</f>
        <v/>
      </c>
      <c r="V58" s="13"/>
      <c r="W58" s="13"/>
      <c r="X58" s="13"/>
      <c r="Y58" s="20"/>
    </row>
    <row r="59" spans="1:25" ht="24" customHeight="1" x14ac:dyDescent="0.25">
      <c r="A59" s="10" t="str">
        <f>IF(B59="","","D"&amp;TEXT(54,"000"))</f>
        <v/>
      </c>
      <c r="B59" s="21"/>
      <c r="C59" s="21"/>
      <c r="D59" s="21"/>
      <c r="E59" s="21"/>
      <c r="F59" s="22"/>
      <c r="G59" s="21"/>
      <c r="H59" s="13"/>
      <c r="I59" s="13"/>
      <c r="J59" s="17"/>
      <c r="K59" s="9" t="str">
        <f>IF(J59="","",IFERROR(INDEX('Reference Values'!$B$8:$B$12,J59),"?"))</f>
        <v/>
      </c>
      <c r="L59" s="17"/>
      <c r="M59" s="9" t="str">
        <f>IF(L59="","",IFERROR(INDEX('Reference Values'!$B$8:$B$12,L59),"?"))</f>
        <v/>
      </c>
      <c r="N59" s="17"/>
      <c r="O59" s="9" t="str">
        <f>IF(N59="","",IFERROR(INDEX('Reference Values'!$B$8:$B$12,N59),"?"))</f>
        <v/>
      </c>
      <c r="P59" s="23"/>
      <c r="Q59" s="19" t="str">
        <f>IF(P59="","",IFERROR(INDEX('Reference Values'!$B$8:$B$12,P59),"?"))</f>
        <v/>
      </c>
      <c r="R59" s="23"/>
      <c r="S59" s="19" t="str">
        <f>IF(R59="","",IFERROR(INDEX('Reference Values'!$B$8:$B$12,R59),"?"))</f>
        <v/>
      </c>
      <c r="T59" s="23"/>
      <c r="U59" s="19" t="str">
        <f>IF(T59="","",IFERROR(INDEX('Reference Values'!$B$8:$B$12,T59),"?"))</f>
        <v/>
      </c>
      <c r="V59" s="13"/>
      <c r="W59" s="13"/>
      <c r="X59" s="13"/>
      <c r="Y59" s="24"/>
    </row>
    <row r="60" spans="1:25" ht="24" customHeight="1" x14ac:dyDescent="0.25">
      <c r="A60" s="6" t="str">
        <f>IF(B60="","","D"&amp;TEXT(55,"000"))</f>
        <v/>
      </c>
      <c r="B60" s="15"/>
      <c r="C60" s="15"/>
      <c r="D60" s="15"/>
      <c r="E60" s="15"/>
      <c r="F60" s="16"/>
      <c r="G60" s="15"/>
      <c r="H60" s="13"/>
      <c r="I60" s="13"/>
      <c r="J60" s="17"/>
      <c r="K60" s="9" t="str">
        <f>IF(J60="","",IFERROR(INDEX('Reference Values'!$B$8:$B$12,J60),"?"))</f>
        <v/>
      </c>
      <c r="L60" s="17"/>
      <c r="M60" s="9" t="str">
        <f>IF(L60="","",IFERROR(INDEX('Reference Values'!$B$8:$B$12,L60),"?"))</f>
        <v/>
      </c>
      <c r="N60" s="17"/>
      <c r="O60" s="9" t="str">
        <f>IF(N60="","",IFERROR(INDEX('Reference Values'!$B$8:$B$12,N60),"?"))</f>
        <v/>
      </c>
      <c r="P60" s="18"/>
      <c r="Q60" s="19" t="str">
        <f>IF(P60="","",IFERROR(INDEX('Reference Values'!$B$8:$B$12,P60),"?"))</f>
        <v/>
      </c>
      <c r="R60" s="18"/>
      <c r="S60" s="19" t="str">
        <f>IF(R60="","",IFERROR(INDEX('Reference Values'!$B$8:$B$12,R60),"?"))</f>
        <v/>
      </c>
      <c r="T60" s="18"/>
      <c r="U60" s="19" t="str">
        <f>IF(T60="","",IFERROR(INDEX('Reference Values'!$B$8:$B$12,T60),"?"))</f>
        <v/>
      </c>
      <c r="V60" s="13"/>
      <c r="W60" s="13"/>
      <c r="X60" s="13"/>
      <c r="Y60" s="20"/>
    </row>
    <row r="61" spans="1:25" ht="24" customHeight="1" x14ac:dyDescent="0.25">
      <c r="A61" s="10" t="str">
        <f>IF(B61="","","D"&amp;TEXT(56,"000"))</f>
        <v/>
      </c>
      <c r="B61" s="21"/>
      <c r="C61" s="21"/>
      <c r="D61" s="21"/>
      <c r="E61" s="21"/>
      <c r="F61" s="22"/>
      <c r="G61" s="21"/>
      <c r="H61" s="13"/>
      <c r="I61" s="13"/>
      <c r="J61" s="17"/>
      <c r="K61" s="9" t="str">
        <f>IF(J61="","",IFERROR(INDEX('Reference Values'!$B$8:$B$12,J61),"?"))</f>
        <v/>
      </c>
      <c r="L61" s="17"/>
      <c r="M61" s="9" t="str">
        <f>IF(L61="","",IFERROR(INDEX('Reference Values'!$B$8:$B$12,L61),"?"))</f>
        <v/>
      </c>
      <c r="N61" s="17"/>
      <c r="O61" s="9" t="str">
        <f>IF(N61="","",IFERROR(INDEX('Reference Values'!$B$8:$B$12,N61),"?"))</f>
        <v/>
      </c>
      <c r="P61" s="23"/>
      <c r="Q61" s="19" t="str">
        <f>IF(P61="","",IFERROR(INDEX('Reference Values'!$B$8:$B$12,P61),"?"))</f>
        <v/>
      </c>
      <c r="R61" s="23"/>
      <c r="S61" s="19" t="str">
        <f>IF(R61="","",IFERROR(INDEX('Reference Values'!$B$8:$B$12,R61),"?"))</f>
        <v/>
      </c>
      <c r="T61" s="23"/>
      <c r="U61" s="19" t="str">
        <f>IF(T61="","",IFERROR(INDEX('Reference Values'!$B$8:$B$12,T61),"?"))</f>
        <v/>
      </c>
      <c r="V61" s="13"/>
      <c r="W61" s="13"/>
      <c r="X61" s="13"/>
      <c r="Y61" s="24"/>
    </row>
    <row r="62" spans="1:25" ht="24" customHeight="1" x14ac:dyDescent="0.25">
      <c r="A62" s="6" t="str">
        <f>IF(B62="","","D"&amp;TEXT(57,"000"))</f>
        <v/>
      </c>
      <c r="B62" s="15"/>
      <c r="C62" s="15"/>
      <c r="D62" s="15"/>
      <c r="E62" s="15"/>
      <c r="F62" s="16"/>
      <c r="G62" s="15"/>
      <c r="H62" s="13"/>
      <c r="I62" s="13"/>
      <c r="J62" s="17"/>
      <c r="K62" s="9" t="str">
        <f>IF(J62="","",IFERROR(INDEX('Reference Values'!$B$8:$B$12,J62),"?"))</f>
        <v/>
      </c>
      <c r="L62" s="17"/>
      <c r="M62" s="9" t="str">
        <f>IF(L62="","",IFERROR(INDEX('Reference Values'!$B$8:$B$12,L62),"?"))</f>
        <v/>
      </c>
      <c r="N62" s="17"/>
      <c r="O62" s="9" t="str">
        <f>IF(N62="","",IFERROR(INDEX('Reference Values'!$B$8:$B$12,N62),"?"))</f>
        <v/>
      </c>
      <c r="P62" s="18"/>
      <c r="Q62" s="19" t="str">
        <f>IF(P62="","",IFERROR(INDEX('Reference Values'!$B$8:$B$12,P62),"?"))</f>
        <v/>
      </c>
      <c r="R62" s="18"/>
      <c r="S62" s="19" t="str">
        <f>IF(R62="","",IFERROR(INDEX('Reference Values'!$B$8:$B$12,R62),"?"))</f>
        <v/>
      </c>
      <c r="T62" s="18"/>
      <c r="U62" s="19" t="str">
        <f>IF(T62="","",IFERROR(INDEX('Reference Values'!$B$8:$B$12,T62),"?"))</f>
        <v/>
      </c>
      <c r="V62" s="13"/>
      <c r="W62" s="13"/>
      <c r="X62" s="13"/>
      <c r="Y62" s="20"/>
    </row>
    <row r="63" spans="1:25" ht="24" customHeight="1" x14ac:dyDescent="0.25">
      <c r="A63" s="10" t="str">
        <f>IF(B63="","","D"&amp;TEXT(58,"000"))</f>
        <v/>
      </c>
      <c r="B63" s="21"/>
      <c r="C63" s="21"/>
      <c r="D63" s="21"/>
      <c r="E63" s="21"/>
      <c r="F63" s="22"/>
      <c r="G63" s="21"/>
      <c r="H63" s="13"/>
      <c r="I63" s="13"/>
      <c r="J63" s="17"/>
      <c r="K63" s="9" t="str">
        <f>IF(J63="","",IFERROR(INDEX('Reference Values'!$B$8:$B$12,J63),"?"))</f>
        <v/>
      </c>
      <c r="L63" s="17"/>
      <c r="M63" s="9" t="str">
        <f>IF(L63="","",IFERROR(INDEX('Reference Values'!$B$8:$B$12,L63),"?"))</f>
        <v/>
      </c>
      <c r="N63" s="17"/>
      <c r="O63" s="9" t="str">
        <f>IF(N63="","",IFERROR(INDEX('Reference Values'!$B$8:$B$12,N63),"?"))</f>
        <v/>
      </c>
      <c r="P63" s="23"/>
      <c r="Q63" s="19" t="str">
        <f>IF(P63="","",IFERROR(INDEX('Reference Values'!$B$8:$B$12,P63),"?"))</f>
        <v/>
      </c>
      <c r="R63" s="23"/>
      <c r="S63" s="19" t="str">
        <f>IF(R63="","",IFERROR(INDEX('Reference Values'!$B$8:$B$12,R63),"?"))</f>
        <v/>
      </c>
      <c r="T63" s="23"/>
      <c r="U63" s="19" t="str">
        <f>IF(T63="","",IFERROR(INDEX('Reference Values'!$B$8:$B$12,T63),"?"))</f>
        <v/>
      </c>
      <c r="V63" s="13"/>
      <c r="W63" s="13"/>
      <c r="X63" s="13"/>
      <c r="Y63" s="24"/>
    </row>
    <row r="64" spans="1:25" ht="24" customHeight="1" x14ac:dyDescent="0.25">
      <c r="A64" s="6" t="str">
        <f>IF(B64="","","D"&amp;TEXT(59,"000"))</f>
        <v/>
      </c>
      <c r="B64" s="15"/>
      <c r="C64" s="15"/>
      <c r="D64" s="15"/>
      <c r="E64" s="15"/>
      <c r="F64" s="16"/>
      <c r="G64" s="15"/>
      <c r="H64" s="13"/>
      <c r="I64" s="13"/>
      <c r="J64" s="17"/>
      <c r="K64" s="9" t="str">
        <f>IF(J64="","",IFERROR(INDEX('Reference Values'!$B$8:$B$12,J64),"?"))</f>
        <v/>
      </c>
      <c r="L64" s="17"/>
      <c r="M64" s="9" t="str">
        <f>IF(L64="","",IFERROR(INDEX('Reference Values'!$B$8:$B$12,L64),"?"))</f>
        <v/>
      </c>
      <c r="N64" s="17"/>
      <c r="O64" s="9" t="str">
        <f>IF(N64="","",IFERROR(INDEX('Reference Values'!$B$8:$B$12,N64),"?"))</f>
        <v/>
      </c>
      <c r="P64" s="18"/>
      <c r="Q64" s="19" t="str">
        <f>IF(P64="","",IFERROR(INDEX('Reference Values'!$B$8:$B$12,P64),"?"))</f>
        <v/>
      </c>
      <c r="R64" s="18"/>
      <c r="S64" s="19" t="str">
        <f>IF(R64="","",IFERROR(INDEX('Reference Values'!$B$8:$B$12,R64),"?"))</f>
        <v/>
      </c>
      <c r="T64" s="18"/>
      <c r="U64" s="19" t="str">
        <f>IF(T64="","",IFERROR(INDEX('Reference Values'!$B$8:$B$12,T64),"?"))</f>
        <v/>
      </c>
      <c r="V64" s="13"/>
      <c r="W64" s="13"/>
      <c r="X64" s="13"/>
      <c r="Y64" s="20"/>
    </row>
    <row r="65" spans="1:25" ht="24" customHeight="1" x14ac:dyDescent="0.25">
      <c r="A65" s="10" t="str">
        <f>IF(B65="","","D"&amp;TEXT(60,"000"))</f>
        <v/>
      </c>
      <c r="B65" s="21"/>
      <c r="C65" s="21"/>
      <c r="D65" s="21"/>
      <c r="E65" s="21"/>
      <c r="F65" s="22"/>
      <c r="G65" s="21"/>
      <c r="H65" s="13"/>
      <c r="I65" s="13"/>
      <c r="J65" s="17"/>
      <c r="K65" s="9" t="str">
        <f>IF(J65="","",IFERROR(INDEX('Reference Values'!$B$8:$B$12,J65),"?"))</f>
        <v/>
      </c>
      <c r="L65" s="17"/>
      <c r="M65" s="9" t="str">
        <f>IF(L65="","",IFERROR(INDEX('Reference Values'!$B$8:$B$12,L65),"?"))</f>
        <v/>
      </c>
      <c r="N65" s="17"/>
      <c r="O65" s="9" t="str">
        <f>IF(N65="","",IFERROR(INDEX('Reference Values'!$B$8:$B$12,N65),"?"))</f>
        <v/>
      </c>
      <c r="P65" s="23"/>
      <c r="Q65" s="19" t="str">
        <f>IF(P65="","",IFERROR(INDEX('Reference Values'!$B$8:$B$12,P65),"?"))</f>
        <v/>
      </c>
      <c r="R65" s="23"/>
      <c r="S65" s="19" t="str">
        <f>IF(R65="","",IFERROR(INDEX('Reference Values'!$B$8:$B$12,R65),"?"))</f>
        <v/>
      </c>
      <c r="T65" s="23"/>
      <c r="U65" s="19" t="str">
        <f>IF(T65="","",IFERROR(INDEX('Reference Values'!$B$8:$B$12,T65),"?"))</f>
        <v/>
      </c>
      <c r="V65" s="13"/>
      <c r="W65" s="13"/>
      <c r="X65" s="13"/>
      <c r="Y65" s="24"/>
    </row>
    <row r="66" spans="1:25" ht="24" customHeight="1" x14ac:dyDescent="0.25">
      <c r="A66" s="6" t="str">
        <f>IF(B66="","","D"&amp;TEXT(61,"000"))</f>
        <v/>
      </c>
      <c r="B66" s="15"/>
      <c r="C66" s="15"/>
      <c r="D66" s="15"/>
      <c r="E66" s="15"/>
      <c r="F66" s="16"/>
      <c r="G66" s="15"/>
      <c r="H66" s="13"/>
      <c r="I66" s="13"/>
      <c r="J66" s="17"/>
      <c r="K66" s="9" t="str">
        <f>IF(J66="","",IFERROR(INDEX('Reference Values'!$B$8:$B$12,J66),"?"))</f>
        <v/>
      </c>
      <c r="L66" s="17"/>
      <c r="M66" s="9" t="str">
        <f>IF(L66="","",IFERROR(INDEX('Reference Values'!$B$8:$B$12,L66),"?"))</f>
        <v/>
      </c>
      <c r="N66" s="17"/>
      <c r="O66" s="9" t="str">
        <f>IF(N66="","",IFERROR(INDEX('Reference Values'!$B$8:$B$12,N66),"?"))</f>
        <v/>
      </c>
      <c r="P66" s="18"/>
      <c r="Q66" s="19" t="str">
        <f>IF(P66="","",IFERROR(INDEX('Reference Values'!$B$8:$B$12,P66),"?"))</f>
        <v/>
      </c>
      <c r="R66" s="18"/>
      <c r="S66" s="19" t="str">
        <f>IF(R66="","",IFERROR(INDEX('Reference Values'!$B$8:$B$12,R66),"?"))</f>
        <v/>
      </c>
      <c r="T66" s="18"/>
      <c r="U66" s="19" t="str">
        <f>IF(T66="","",IFERROR(INDEX('Reference Values'!$B$8:$B$12,T66),"?"))</f>
        <v/>
      </c>
      <c r="V66" s="13"/>
      <c r="W66" s="13"/>
      <c r="X66" s="13"/>
      <c r="Y66" s="20"/>
    </row>
    <row r="67" spans="1:25" ht="24" customHeight="1" x14ac:dyDescent="0.25">
      <c r="A67" s="10" t="str">
        <f>IF(B67="","","D"&amp;TEXT(62,"000"))</f>
        <v/>
      </c>
      <c r="B67" s="21"/>
      <c r="C67" s="21"/>
      <c r="D67" s="21"/>
      <c r="E67" s="21"/>
      <c r="F67" s="22"/>
      <c r="G67" s="21"/>
      <c r="H67" s="13"/>
      <c r="I67" s="13"/>
      <c r="J67" s="17"/>
      <c r="K67" s="9" t="str">
        <f>IF(J67="","",IFERROR(INDEX('Reference Values'!$B$8:$B$12,J67),"?"))</f>
        <v/>
      </c>
      <c r="L67" s="17"/>
      <c r="M67" s="9" t="str">
        <f>IF(L67="","",IFERROR(INDEX('Reference Values'!$B$8:$B$12,L67),"?"))</f>
        <v/>
      </c>
      <c r="N67" s="17"/>
      <c r="O67" s="9" t="str">
        <f>IF(N67="","",IFERROR(INDEX('Reference Values'!$B$8:$B$12,N67),"?"))</f>
        <v/>
      </c>
      <c r="P67" s="23"/>
      <c r="Q67" s="19" t="str">
        <f>IF(P67="","",IFERROR(INDEX('Reference Values'!$B$8:$B$12,P67),"?"))</f>
        <v/>
      </c>
      <c r="R67" s="23"/>
      <c r="S67" s="19" t="str">
        <f>IF(R67="","",IFERROR(INDEX('Reference Values'!$B$8:$B$12,R67),"?"))</f>
        <v/>
      </c>
      <c r="T67" s="23"/>
      <c r="U67" s="19" t="str">
        <f>IF(T67="","",IFERROR(INDEX('Reference Values'!$B$8:$B$12,T67),"?"))</f>
        <v/>
      </c>
      <c r="V67" s="13"/>
      <c r="W67" s="13"/>
      <c r="X67" s="13"/>
      <c r="Y67" s="24"/>
    </row>
    <row r="68" spans="1:25" ht="24" customHeight="1" x14ac:dyDescent="0.25">
      <c r="A68" s="6" t="str">
        <f>IF(B68="","","D"&amp;TEXT(63,"000"))</f>
        <v/>
      </c>
      <c r="B68" s="15"/>
      <c r="C68" s="15"/>
      <c r="D68" s="15"/>
      <c r="E68" s="15"/>
      <c r="F68" s="16"/>
      <c r="G68" s="15"/>
      <c r="H68" s="13"/>
      <c r="I68" s="13"/>
      <c r="J68" s="17"/>
      <c r="K68" s="9" t="str">
        <f>IF(J68="","",IFERROR(INDEX('Reference Values'!$B$8:$B$12,J68),"?"))</f>
        <v/>
      </c>
      <c r="L68" s="17"/>
      <c r="M68" s="9" t="str">
        <f>IF(L68="","",IFERROR(INDEX('Reference Values'!$B$8:$B$12,L68),"?"))</f>
        <v/>
      </c>
      <c r="N68" s="17"/>
      <c r="O68" s="9" t="str">
        <f>IF(N68="","",IFERROR(INDEX('Reference Values'!$B$8:$B$12,N68),"?"))</f>
        <v/>
      </c>
      <c r="P68" s="18"/>
      <c r="Q68" s="19" t="str">
        <f>IF(P68="","",IFERROR(INDEX('Reference Values'!$B$8:$B$12,P68),"?"))</f>
        <v/>
      </c>
      <c r="R68" s="18"/>
      <c r="S68" s="19" t="str">
        <f>IF(R68="","",IFERROR(INDEX('Reference Values'!$B$8:$B$12,R68),"?"))</f>
        <v/>
      </c>
      <c r="T68" s="18"/>
      <c r="U68" s="19" t="str">
        <f>IF(T68="","",IFERROR(INDEX('Reference Values'!$B$8:$B$12,T68),"?"))</f>
        <v/>
      </c>
      <c r="V68" s="13"/>
      <c r="W68" s="13"/>
      <c r="X68" s="13"/>
      <c r="Y68" s="20"/>
    </row>
    <row r="69" spans="1:25" ht="24" customHeight="1" x14ac:dyDescent="0.25">
      <c r="A69" s="10" t="str">
        <f>IF(B69="","","D"&amp;TEXT(64,"000"))</f>
        <v/>
      </c>
      <c r="B69" s="21"/>
      <c r="C69" s="21"/>
      <c r="D69" s="21"/>
      <c r="E69" s="21"/>
      <c r="F69" s="22"/>
      <c r="G69" s="21"/>
      <c r="H69" s="13"/>
      <c r="I69" s="13"/>
      <c r="J69" s="17"/>
      <c r="K69" s="9" t="str">
        <f>IF(J69="","",IFERROR(INDEX('Reference Values'!$B$8:$B$12,J69),"?"))</f>
        <v/>
      </c>
      <c r="L69" s="17"/>
      <c r="M69" s="9" t="str">
        <f>IF(L69="","",IFERROR(INDEX('Reference Values'!$B$8:$B$12,L69),"?"))</f>
        <v/>
      </c>
      <c r="N69" s="17"/>
      <c r="O69" s="9" t="str">
        <f>IF(N69="","",IFERROR(INDEX('Reference Values'!$B$8:$B$12,N69),"?"))</f>
        <v/>
      </c>
      <c r="P69" s="23"/>
      <c r="Q69" s="19" t="str">
        <f>IF(P69="","",IFERROR(INDEX('Reference Values'!$B$8:$B$12,P69),"?"))</f>
        <v/>
      </c>
      <c r="R69" s="23"/>
      <c r="S69" s="19" t="str">
        <f>IF(R69="","",IFERROR(INDEX('Reference Values'!$B$8:$B$12,R69),"?"))</f>
        <v/>
      </c>
      <c r="T69" s="23"/>
      <c r="U69" s="19" t="str">
        <f>IF(T69="","",IFERROR(INDEX('Reference Values'!$B$8:$B$12,T69),"?"))</f>
        <v/>
      </c>
      <c r="V69" s="13"/>
      <c r="W69" s="13"/>
      <c r="X69" s="13"/>
      <c r="Y69" s="24"/>
    </row>
    <row r="70" spans="1:25" ht="24" customHeight="1" x14ac:dyDescent="0.25">
      <c r="A70" s="6" t="str">
        <f>IF(B70="","","D"&amp;TEXT(65,"000"))</f>
        <v/>
      </c>
      <c r="B70" s="15"/>
      <c r="C70" s="15"/>
      <c r="D70" s="15"/>
      <c r="E70" s="15"/>
      <c r="F70" s="16"/>
      <c r="G70" s="15"/>
      <c r="H70" s="13"/>
      <c r="I70" s="13"/>
      <c r="J70" s="17"/>
      <c r="K70" s="9" t="str">
        <f>IF(J70="","",IFERROR(INDEX('Reference Values'!$B$8:$B$12,J70),"?"))</f>
        <v/>
      </c>
      <c r="L70" s="17"/>
      <c r="M70" s="9" t="str">
        <f>IF(L70="","",IFERROR(INDEX('Reference Values'!$B$8:$B$12,L70),"?"))</f>
        <v/>
      </c>
      <c r="N70" s="17"/>
      <c r="O70" s="9" t="str">
        <f>IF(N70="","",IFERROR(INDEX('Reference Values'!$B$8:$B$12,N70),"?"))</f>
        <v/>
      </c>
      <c r="P70" s="18"/>
      <c r="Q70" s="19" t="str">
        <f>IF(P70="","",IFERROR(INDEX('Reference Values'!$B$8:$B$12,P70),"?"))</f>
        <v/>
      </c>
      <c r="R70" s="18"/>
      <c r="S70" s="19" t="str">
        <f>IF(R70="","",IFERROR(INDEX('Reference Values'!$B$8:$B$12,R70),"?"))</f>
        <v/>
      </c>
      <c r="T70" s="18"/>
      <c r="U70" s="19" t="str">
        <f>IF(T70="","",IFERROR(INDEX('Reference Values'!$B$8:$B$12,T70),"?"))</f>
        <v/>
      </c>
      <c r="V70" s="13"/>
      <c r="W70" s="13"/>
      <c r="X70" s="13"/>
      <c r="Y70" s="20"/>
    </row>
    <row r="71" spans="1:25" ht="24" customHeight="1" x14ac:dyDescent="0.25">
      <c r="A71" s="10" t="str">
        <f>IF(B71="","","D"&amp;TEXT(66,"000"))</f>
        <v/>
      </c>
      <c r="B71" s="21"/>
      <c r="C71" s="21"/>
      <c r="D71" s="21"/>
      <c r="E71" s="21"/>
      <c r="F71" s="22"/>
      <c r="G71" s="21"/>
      <c r="H71" s="13"/>
      <c r="I71" s="13"/>
      <c r="J71" s="17"/>
      <c r="K71" s="9" t="str">
        <f>IF(J71="","",IFERROR(INDEX('Reference Values'!$B$8:$B$12,J71),"?"))</f>
        <v/>
      </c>
      <c r="L71" s="17"/>
      <c r="M71" s="9" t="str">
        <f>IF(L71="","",IFERROR(INDEX('Reference Values'!$B$8:$B$12,L71),"?"))</f>
        <v/>
      </c>
      <c r="N71" s="17"/>
      <c r="O71" s="9" t="str">
        <f>IF(N71="","",IFERROR(INDEX('Reference Values'!$B$8:$B$12,N71),"?"))</f>
        <v/>
      </c>
      <c r="P71" s="23"/>
      <c r="Q71" s="19" t="str">
        <f>IF(P71="","",IFERROR(INDEX('Reference Values'!$B$8:$B$12,P71),"?"))</f>
        <v/>
      </c>
      <c r="R71" s="23"/>
      <c r="S71" s="19" t="str">
        <f>IF(R71="","",IFERROR(INDEX('Reference Values'!$B$8:$B$12,R71),"?"))</f>
        <v/>
      </c>
      <c r="T71" s="23"/>
      <c r="U71" s="19" t="str">
        <f>IF(T71="","",IFERROR(INDEX('Reference Values'!$B$8:$B$12,T71),"?"))</f>
        <v/>
      </c>
      <c r="V71" s="13"/>
      <c r="W71" s="13"/>
      <c r="X71" s="13"/>
      <c r="Y71" s="24"/>
    </row>
    <row r="72" spans="1:25" ht="24" customHeight="1" x14ac:dyDescent="0.25">
      <c r="A72" s="6" t="str">
        <f>IF(B72="","","D"&amp;TEXT(67,"000"))</f>
        <v/>
      </c>
      <c r="B72" s="15"/>
      <c r="C72" s="15"/>
      <c r="D72" s="15"/>
      <c r="E72" s="15"/>
      <c r="F72" s="16"/>
      <c r="G72" s="15"/>
      <c r="H72" s="13"/>
      <c r="I72" s="13"/>
      <c r="J72" s="17"/>
      <c r="K72" s="9" t="str">
        <f>IF(J72="","",IFERROR(INDEX('Reference Values'!$B$8:$B$12,J72),"?"))</f>
        <v/>
      </c>
      <c r="L72" s="17"/>
      <c r="M72" s="9" t="str">
        <f>IF(L72="","",IFERROR(INDEX('Reference Values'!$B$8:$B$12,L72),"?"))</f>
        <v/>
      </c>
      <c r="N72" s="17"/>
      <c r="O72" s="9" t="str">
        <f>IF(N72="","",IFERROR(INDEX('Reference Values'!$B$8:$B$12,N72),"?"))</f>
        <v/>
      </c>
      <c r="P72" s="18"/>
      <c r="Q72" s="19" t="str">
        <f>IF(P72="","",IFERROR(INDEX('Reference Values'!$B$8:$B$12,P72),"?"))</f>
        <v/>
      </c>
      <c r="R72" s="18"/>
      <c r="S72" s="19" t="str">
        <f>IF(R72="","",IFERROR(INDEX('Reference Values'!$B$8:$B$12,R72),"?"))</f>
        <v/>
      </c>
      <c r="T72" s="18"/>
      <c r="U72" s="19" t="str">
        <f>IF(T72="","",IFERROR(INDEX('Reference Values'!$B$8:$B$12,T72),"?"))</f>
        <v/>
      </c>
      <c r="V72" s="13"/>
      <c r="W72" s="13"/>
      <c r="X72" s="13"/>
      <c r="Y72" s="20"/>
    </row>
    <row r="73" spans="1:25" ht="24" customHeight="1" x14ac:dyDescent="0.25">
      <c r="A73" s="10" t="str">
        <f>IF(B73="","","D"&amp;TEXT(68,"000"))</f>
        <v/>
      </c>
      <c r="B73" s="21"/>
      <c r="C73" s="21"/>
      <c r="D73" s="21"/>
      <c r="E73" s="21"/>
      <c r="F73" s="22"/>
      <c r="G73" s="21"/>
      <c r="H73" s="13"/>
      <c r="I73" s="13"/>
      <c r="J73" s="17"/>
      <c r="K73" s="9" t="str">
        <f>IF(J73="","",IFERROR(INDEX('Reference Values'!$B$8:$B$12,J73),"?"))</f>
        <v/>
      </c>
      <c r="L73" s="17"/>
      <c r="M73" s="9" t="str">
        <f>IF(L73="","",IFERROR(INDEX('Reference Values'!$B$8:$B$12,L73),"?"))</f>
        <v/>
      </c>
      <c r="N73" s="17"/>
      <c r="O73" s="9" t="str">
        <f>IF(N73="","",IFERROR(INDEX('Reference Values'!$B$8:$B$12,N73),"?"))</f>
        <v/>
      </c>
      <c r="P73" s="23"/>
      <c r="Q73" s="19" t="str">
        <f>IF(P73="","",IFERROR(INDEX('Reference Values'!$B$8:$B$12,P73),"?"))</f>
        <v/>
      </c>
      <c r="R73" s="23"/>
      <c r="S73" s="19" t="str">
        <f>IF(R73="","",IFERROR(INDEX('Reference Values'!$B$8:$B$12,R73),"?"))</f>
        <v/>
      </c>
      <c r="T73" s="23"/>
      <c r="U73" s="19" t="str">
        <f>IF(T73="","",IFERROR(INDEX('Reference Values'!$B$8:$B$12,T73),"?"))</f>
        <v/>
      </c>
      <c r="V73" s="13"/>
      <c r="W73" s="13"/>
      <c r="X73" s="13"/>
      <c r="Y73" s="24"/>
    </row>
    <row r="74" spans="1:25" ht="24" customHeight="1" x14ac:dyDescent="0.25">
      <c r="A74" s="6" t="str">
        <f>IF(B74="","","D"&amp;TEXT(69,"000"))</f>
        <v/>
      </c>
      <c r="B74" s="15"/>
      <c r="C74" s="15"/>
      <c r="D74" s="15"/>
      <c r="E74" s="15"/>
      <c r="F74" s="16"/>
      <c r="G74" s="15"/>
      <c r="H74" s="13"/>
      <c r="I74" s="13"/>
      <c r="J74" s="17"/>
      <c r="K74" s="9" t="str">
        <f>IF(J74="","",IFERROR(INDEX('Reference Values'!$B$8:$B$12,J74),"?"))</f>
        <v/>
      </c>
      <c r="L74" s="17"/>
      <c r="M74" s="9" t="str">
        <f>IF(L74="","",IFERROR(INDEX('Reference Values'!$B$8:$B$12,L74),"?"))</f>
        <v/>
      </c>
      <c r="N74" s="17"/>
      <c r="O74" s="9" t="str">
        <f>IF(N74="","",IFERROR(INDEX('Reference Values'!$B$8:$B$12,N74),"?"))</f>
        <v/>
      </c>
      <c r="P74" s="18"/>
      <c r="Q74" s="19" t="str">
        <f>IF(P74="","",IFERROR(INDEX('Reference Values'!$B$8:$B$12,P74),"?"))</f>
        <v/>
      </c>
      <c r="R74" s="18"/>
      <c r="S74" s="19" t="str">
        <f>IF(R74="","",IFERROR(INDEX('Reference Values'!$B$8:$B$12,R74),"?"))</f>
        <v/>
      </c>
      <c r="T74" s="18"/>
      <c r="U74" s="19" t="str">
        <f>IF(T74="","",IFERROR(INDEX('Reference Values'!$B$8:$B$12,T74),"?"))</f>
        <v/>
      </c>
      <c r="V74" s="13"/>
      <c r="W74" s="13"/>
      <c r="X74" s="13"/>
      <c r="Y74" s="20"/>
    </row>
    <row r="75" spans="1:25" ht="24" customHeight="1" x14ac:dyDescent="0.25">
      <c r="A75" s="10" t="str">
        <f>IF(B75="","","D"&amp;TEXT(70,"000"))</f>
        <v/>
      </c>
      <c r="B75" s="21"/>
      <c r="C75" s="21"/>
      <c r="D75" s="21"/>
      <c r="E75" s="21"/>
      <c r="F75" s="22"/>
      <c r="G75" s="21"/>
      <c r="H75" s="13"/>
      <c r="I75" s="13"/>
      <c r="J75" s="17"/>
      <c r="K75" s="9" t="str">
        <f>IF(J75="","",IFERROR(INDEX('Reference Values'!$B$8:$B$12,J75),"?"))</f>
        <v/>
      </c>
      <c r="L75" s="17"/>
      <c r="M75" s="9" t="str">
        <f>IF(L75="","",IFERROR(INDEX('Reference Values'!$B$8:$B$12,L75),"?"))</f>
        <v/>
      </c>
      <c r="N75" s="17"/>
      <c r="O75" s="9" t="str">
        <f>IF(N75="","",IFERROR(INDEX('Reference Values'!$B$8:$B$12,N75),"?"))</f>
        <v/>
      </c>
      <c r="P75" s="23"/>
      <c r="Q75" s="19" t="str">
        <f>IF(P75="","",IFERROR(INDEX('Reference Values'!$B$8:$B$12,P75),"?"))</f>
        <v/>
      </c>
      <c r="R75" s="23"/>
      <c r="S75" s="19" t="str">
        <f>IF(R75="","",IFERROR(INDEX('Reference Values'!$B$8:$B$12,R75),"?"))</f>
        <v/>
      </c>
      <c r="T75" s="23"/>
      <c r="U75" s="19" t="str">
        <f>IF(T75="","",IFERROR(INDEX('Reference Values'!$B$8:$B$12,T75),"?"))</f>
        <v/>
      </c>
      <c r="V75" s="13"/>
      <c r="W75" s="13"/>
      <c r="X75" s="13"/>
      <c r="Y75" s="24"/>
    </row>
    <row r="76" spans="1:25" ht="24" customHeight="1" x14ac:dyDescent="0.25">
      <c r="A76" s="6" t="str">
        <f>IF(B76="","","D"&amp;TEXT(71,"000"))</f>
        <v/>
      </c>
      <c r="B76" s="15"/>
      <c r="C76" s="15"/>
      <c r="D76" s="15"/>
      <c r="E76" s="15"/>
      <c r="F76" s="16"/>
      <c r="G76" s="15"/>
      <c r="H76" s="13"/>
      <c r="I76" s="13"/>
      <c r="J76" s="17"/>
      <c r="K76" s="9" t="str">
        <f>IF(J76="","",IFERROR(INDEX('Reference Values'!$B$8:$B$12,J76),"?"))</f>
        <v/>
      </c>
      <c r="L76" s="17"/>
      <c r="M76" s="9" t="str">
        <f>IF(L76="","",IFERROR(INDEX('Reference Values'!$B$8:$B$12,L76),"?"))</f>
        <v/>
      </c>
      <c r="N76" s="17"/>
      <c r="O76" s="9" t="str">
        <f>IF(N76="","",IFERROR(INDEX('Reference Values'!$B$8:$B$12,N76),"?"))</f>
        <v/>
      </c>
      <c r="P76" s="18"/>
      <c r="Q76" s="19" t="str">
        <f>IF(P76="","",IFERROR(INDEX('Reference Values'!$B$8:$B$12,P76),"?"))</f>
        <v/>
      </c>
      <c r="R76" s="18"/>
      <c r="S76" s="19" t="str">
        <f>IF(R76="","",IFERROR(INDEX('Reference Values'!$B$8:$B$12,R76),"?"))</f>
        <v/>
      </c>
      <c r="T76" s="18"/>
      <c r="U76" s="19" t="str">
        <f>IF(T76="","",IFERROR(INDEX('Reference Values'!$B$8:$B$12,T76),"?"))</f>
        <v/>
      </c>
      <c r="V76" s="13"/>
      <c r="W76" s="13"/>
      <c r="X76" s="13"/>
      <c r="Y76" s="20"/>
    </row>
    <row r="77" spans="1:25" ht="24" customHeight="1" x14ac:dyDescent="0.25">
      <c r="A77" s="10" t="str">
        <f>IF(B77="","","D"&amp;TEXT(72,"000"))</f>
        <v/>
      </c>
      <c r="B77" s="21"/>
      <c r="C77" s="21"/>
      <c r="D77" s="21"/>
      <c r="E77" s="21"/>
      <c r="F77" s="22"/>
      <c r="G77" s="21"/>
      <c r="H77" s="13"/>
      <c r="I77" s="13"/>
      <c r="J77" s="17"/>
      <c r="K77" s="9" t="str">
        <f>IF(J77="","",IFERROR(INDEX('Reference Values'!$B$8:$B$12,J77),"?"))</f>
        <v/>
      </c>
      <c r="L77" s="17"/>
      <c r="M77" s="9" t="str">
        <f>IF(L77="","",IFERROR(INDEX('Reference Values'!$B$8:$B$12,L77),"?"))</f>
        <v/>
      </c>
      <c r="N77" s="17"/>
      <c r="O77" s="9" t="str">
        <f>IF(N77="","",IFERROR(INDEX('Reference Values'!$B$8:$B$12,N77),"?"))</f>
        <v/>
      </c>
      <c r="P77" s="23"/>
      <c r="Q77" s="19" t="str">
        <f>IF(P77="","",IFERROR(INDEX('Reference Values'!$B$8:$B$12,P77),"?"))</f>
        <v/>
      </c>
      <c r="R77" s="23"/>
      <c r="S77" s="19" t="str">
        <f>IF(R77="","",IFERROR(INDEX('Reference Values'!$B$8:$B$12,R77),"?"))</f>
        <v/>
      </c>
      <c r="T77" s="23"/>
      <c r="U77" s="19" t="str">
        <f>IF(T77="","",IFERROR(INDEX('Reference Values'!$B$8:$B$12,T77),"?"))</f>
        <v/>
      </c>
      <c r="V77" s="13"/>
      <c r="W77" s="13"/>
      <c r="X77" s="13"/>
      <c r="Y77" s="24"/>
    </row>
    <row r="78" spans="1:25" ht="24" customHeight="1" x14ac:dyDescent="0.25">
      <c r="A78" s="6" t="str">
        <f>IF(B78="","","D"&amp;TEXT(73,"000"))</f>
        <v/>
      </c>
      <c r="B78" s="15"/>
      <c r="C78" s="15"/>
      <c r="D78" s="15"/>
      <c r="E78" s="15"/>
      <c r="F78" s="16"/>
      <c r="G78" s="15"/>
      <c r="H78" s="13"/>
      <c r="I78" s="13"/>
      <c r="J78" s="17"/>
      <c r="K78" s="9" t="str">
        <f>IF(J78="","",IFERROR(INDEX('Reference Values'!$B$8:$B$12,J78),"?"))</f>
        <v/>
      </c>
      <c r="L78" s="17"/>
      <c r="M78" s="9" t="str">
        <f>IF(L78="","",IFERROR(INDEX('Reference Values'!$B$8:$B$12,L78),"?"))</f>
        <v/>
      </c>
      <c r="N78" s="17"/>
      <c r="O78" s="9" t="str">
        <f>IF(N78="","",IFERROR(INDEX('Reference Values'!$B$8:$B$12,N78),"?"))</f>
        <v/>
      </c>
      <c r="P78" s="18"/>
      <c r="Q78" s="19" t="str">
        <f>IF(P78="","",IFERROR(INDEX('Reference Values'!$B$8:$B$12,P78),"?"))</f>
        <v/>
      </c>
      <c r="R78" s="18"/>
      <c r="S78" s="19" t="str">
        <f>IF(R78="","",IFERROR(INDEX('Reference Values'!$B$8:$B$12,R78),"?"))</f>
        <v/>
      </c>
      <c r="T78" s="18"/>
      <c r="U78" s="19" t="str">
        <f>IF(T78="","",IFERROR(INDEX('Reference Values'!$B$8:$B$12,T78),"?"))</f>
        <v/>
      </c>
      <c r="V78" s="13"/>
      <c r="W78" s="13"/>
      <c r="X78" s="13"/>
      <c r="Y78" s="20"/>
    </row>
    <row r="79" spans="1:25" ht="24" customHeight="1" x14ac:dyDescent="0.25">
      <c r="A79" s="10" t="str">
        <f>IF(B79="","","D"&amp;TEXT(74,"000"))</f>
        <v/>
      </c>
      <c r="B79" s="21"/>
      <c r="C79" s="21"/>
      <c r="D79" s="21"/>
      <c r="E79" s="21"/>
      <c r="F79" s="22"/>
      <c r="G79" s="21"/>
      <c r="H79" s="13"/>
      <c r="I79" s="13"/>
      <c r="J79" s="17"/>
      <c r="K79" s="9" t="str">
        <f>IF(J79="","",IFERROR(INDEX('Reference Values'!$B$8:$B$12,J79),"?"))</f>
        <v/>
      </c>
      <c r="L79" s="17"/>
      <c r="M79" s="9" t="str">
        <f>IF(L79="","",IFERROR(INDEX('Reference Values'!$B$8:$B$12,L79),"?"))</f>
        <v/>
      </c>
      <c r="N79" s="17"/>
      <c r="O79" s="9" t="str">
        <f>IF(N79="","",IFERROR(INDEX('Reference Values'!$B$8:$B$12,N79),"?"))</f>
        <v/>
      </c>
      <c r="P79" s="23"/>
      <c r="Q79" s="19" t="str">
        <f>IF(P79="","",IFERROR(INDEX('Reference Values'!$B$8:$B$12,P79),"?"))</f>
        <v/>
      </c>
      <c r="R79" s="23"/>
      <c r="S79" s="19" t="str">
        <f>IF(R79="","",IFERROR(INDEX('Reference Values'!$B$8:$B$12,R79),"?"))</f>
        <v/>
      </c>
      <c r="T79" s="23"/>
      <c r="U79" s="19" t="str">
        <f>IF(T79="","",IFERROR(INDEX('Reference Values'!$B$8:$B$12,T79),"?"))</f>
        <v/>
      </c>
      <c r="V79" s="13"/>
      <c r="W79" s="13"/>
      <c r="X79" s="13"/>
      <c r="Y79" s="24"/>
    </row>
    <row r="80" spans="1:25" ht="24" customHeight="1" x14ac:dyDescent="0.25">
      <c r="A80" s="6" t="str">
        <f>IF(B80="","","D"&amp;TEXT(75,"000"))</f>
        <v/>
      </c>
      <c r="B80" s="15"/>
      <c r="C80" s="15"/>
      <c r="D80" s="15"/>
      <c r="E80" s="15"/>
      <c r="F80" s="16"/>
      <c r="G80" s="15"/>
      <c r="H80" s="13"/>
      <c r="I80" s="13"/>
      <c r="J80" s="17"/>
      <c r="K80" s="9" t="str">
        <f>IF(J80="","",IFERROR(INDEX('Reference Values'!$B$8:$B$12,J80),"?"))</f>
        <v/>
      </c>
      <c r="L80" s="17"/>
      <c r="M80" s="9" t="str">
        <f>IF(L80="","",IFERROR(INDEX('Reference Values'!$B$8:$B$12,L80),"?"))</f>
        <v/>
      </c>
      <c r="N80" s="17"/>
      <c r="O80" s="9" t="str">
        <f>IF(N80="","",IFERROR(INDEX('Reference Values'!$B$8:$B$12,N80),"?"))</f>
        <v/>
      </c>
      <c r="P80" s="18"/>
      <c r="Q80" s="19" t="str">
        <f>IF(P80="","",IFERROR(INDEX('Reference Values'!$B$8:$B$12,P80),"?"))</f>
        <v/>
      </c>
      <c r="R80" s="18"/>
      <c r="S80" s="19" t="str">
        <f>IF(R80="","",IFERROR(INDEX('Reference Values'!$B$8:$B$12,R80),"?"))</f>
        <v/>
      </c>
      <c r="T80" s="18"/>
      <c r="U80" s="19" t="str">
        <f>IF(T80="","",IFERROR(INDEX('Reference Values'!$B$8:$B$12,T80),"?"))</f>
        <v/>
      </c>
      <c r="V80" s="13"/>
      <c r="W80" s="13"/>
      <c r="X80" s="13"/>
      <c r="Y80" s="20"/>
    </row>
    <row r="81" spans="1:25" ht="24" customHeight="1" x14ac:dyDescent="0.25">
      <c r="A81" s="10" t="str">
        <f>IF(B81="","","D"&amp;TEXT(76,"000"))</f>
        <v/>
      </c>
      <c r="B81" s="21"/>
      <c r="C81" s="21"/>
      <c r="D81" s="21"/>
      <c r="E81" s="21"/>
      <c r="F81" s="22"/>
      <c r="G81" s="21"/>
      <c r="H81" s="13"/>
      <c r="I81" s="13"/>
      <c r="J81" s="17"/>
      <c r="K81" s="9" t="str">
        <f>IF(J81="","",IFERROR(INDEX('Reference Values'!$B$8:$B$12,J81),"?"))</f>
        <v/>
      </c>
      <c r="L81" s="17"/>
      <c r="M81" s="9" t="str">
        <f>IF(L81="","",IFERROR(INDEX('Reference Values'!$B$8:$B$12,L81),"?"))</f>
        <v/>
      </c>
      <c r="N81" s="17"/>
      <c r="O81" s="9" t="str">
        <f>IF(N81="","",IFERROR(INDEX('Reference Values'!$B$8:$B$12,N81),"?"))</f>
        <v/>
      </c>
      <c r="P81" s="23"/>
      <c r="Q81" s="19" t="str">
        <f>IF(P81="","",IFERROR(INDEX('Reference Values'!$B$8:$B$12,P81),"?"))</f>
        <v/>
      </c>
      <c r="R81" s="23"/>
      <c r="S81" s="19" t="str">
        <f>IF(R81="","",IFERROR(INDEX('Reference Values'!$B$8:$B$12,R81),"?"))</f>
        <v/>
      </c>
      <c r="T81" s="23"/>
      <c r="U81" s="19" t="str">
        <f>IF(T81="","",IFERROR(INDEX('Reference Values'!$B$8:$B$12,T81),"?"))</f>
        <v/>
      </c>
      <c r="V81" s="13"/>
      <c r="W81" s="13"/>
      <c r="X81" s="13"/>
      <c r="Y81" s="24"/>
    </row>
    <row r="82" spans="1:25" ht="24" customHeight="1" x14ac:dyDescent="0.25">
      <c r="A82" s="6" t="str">
        <f>IF(B82="","","D"&amp;TEXT(77,"000"))</f>
        <v/>
      </c>
      <c r="B82" s="15"/>
      <c r="C82" s="15"/>
      <c r="D82" s="15"/>
      <c r="E82" s="15"/>
      <c r="F82" s="16"/>
      <c r="G82" s="15"/>
      <c r="H82" s="13"/>
      <c r="I82" s="13"/>
      <c r="J82" s="17"/>
      <c r="K82" s="9" t="str">
        <f>IF(J82="","",IFERROR(INDEX('Reference Values'!$B$8:$B$12,J82),"?"))</f>
        <v/>
      </c>
      <c r="L82" s="17"/>
      <c r="M82" s="9" t="str">
        <f>IF(L82="","",IFERROR(INDEX('Reference Values'!$B$8:$B$12,L82),"?"))</f>
        <v/>
      </c>
      <c r="N82" s="17"/>
      <c r="O82" s="9" t="str">
        <f>IF(N82="","",IFERROR(INDEX('Reference Values'!$B$8:$B$12,N82),"?"))</f>
        <v/>
      </c>
      <c r="P82" s="18"/>
      <c r="Q82" s="19" t="str">
        <f>IF(P82="","",IFERROR(INDEX('Reference Values'!$B$8:$B$12,P82),"?"))</f>
        <v/>
      </c>
      <c r="R82" s="18"/>
      <c r="S82" s="19" t="str">
        <f>IF(R82="","",IFERROR(INDEX('Reference Values'!$B$8:$B$12,R82),"?"))</f>
        <v/>
      </c>
      <c r="T82" s="18"/>
      <c r="U82" s="19" t="str">
        <f>IF(T82="","",IFERROR(INDEX('Reference Values'!$B$8:$B$12,T82),"?"))</f>
        <v/>
      </c>
      <c r="V82" s="13"/>
      <c r="W82" s="13"/>
      <c r="X82" s="13"/>
      <c r="Y82" s="20"/>
    </row>
    <row r="83" spans="1:25" ht="24" customHeight="1" x14ac:dyDescent="0.25">
      <c r="A83" s="10" t="str">
        <f>IF(B83="","","D"&amp;TEXT(78,"000"))</f>
        <v/>
      </c>
      <c r="B83" s="21"/>
      <c r="C83" s="21"/>
      <c r="D83" s="21"/>
      <c r="E83" s="21"/>
      <c r="F83" s="22"/>
      <c r="G83" s="21"/>
      <c r="H83" s="13"/>
      <c r="I83" s="13"/>
      <c r="J83" s="17"/>
      <c r="K83" s="9" t="str">
        <f>IF(J83="","",IFERROR(INDEX('Reference Values'!$B$8:$B$12,J83),"?"))</f>
        <v/>
      </c>
      <c r="L83" s="17"/>
      <c r="M83" s="9" t="str">
        <f>IF(L83="","",IFERROR(INDEX('Reference Values'!$B$8:$B$12,L83),"?"))</f>
        <v/>
      </c>
      <c r="N83" s="17"/>
      <c r="O83" s="9" t="str">
        <f>IF(N83="","",IFERROR(INDEX('Reference Values'!$B$8:$B$12,N83),"?"))</f>
        <v/>
      </c>
      <c r="P83" s="23"/>
      <c r="Q83" s="19" t="str">
        <f>IF(P83="","",IFERROR(INDEX('Reference Values'!$B$8:$B$12,P83),"?"))</f>
        <v/>
      </c>
      <c r="R83" s="23"/>
      <c r="S83" s="19" t="str">
        <f>IF(R83="","",IFERROR(INDEX('Reference Values'!$B$8:$B$12,R83),"?"))</f>
        <v/>
      </c>
      <c r="T83" s="23"/>
      <c r="U83" s="19" t="str">
        <f>IF(T83="","",IFERROR(INDEX('Reference Values'!$B$8:$B$12,T83),"?"))</f>
        <v/>
      </c>
      <c r="V83" s="13"/>
      <c r="W83" s="13"/>
      <c r="X83" s="13"/>
      <c r="Y83" s="24"/>
    </row>
    <row r="84" spans="1:25" ht="24" customHeight="1" x14ac:dyDescent="0.25">
      <c r="A84" s="6" t="str">
        <f>IF(B84="","","D"&amp;TEXT(79,"000"))</f>
        <v/>
      </c>
      <c r="B84" s="15"/>
      <c r="C84" s="15"/>
      <c r="D84" s="15"/>
      <c r="E84" s="15"/>
      <c r="F84" s="16"/>
      <c r="G84" s="15"/>
      <c r="H84" s="13"/>
      <c r="I84" s="13"/>
      <c r="J84" s="17"/>
      <c r="K84" s="9" t="str">
        <f>IF(J84="","",IFERROR(INDEX('Reference Values'!$B$8:$B$12,J84),"?"))</f>
        <v/>
      </c>
      <c r="L84" s="17"/>
      <c r="M84" s="9" t="str">
        <f>IF(L84="","",IFERROR(INDEX('Reference Values'!$B$8:$B$12,L84),"?"))</f>
        <v/>
      </c>
      <c r="N84" s="17"/>
      <c r="O84" s="9" t="str">
        <f>IF(N84="","",IFERROR(INDEX('Reference Values'!$B$8:$B$12,N84),"?"))</f>
        <v/>
      </c>
      <c r="P84" s="18"/>
      <c r="Q84" s="19" t="str">
        <f>IF(P84="","",IFERROR(INDEX('Reference Values'!$B$8:$B$12,P84),"?"))</f>
        <v/>
      </c>
      <c r="R84" s="18"/>
      <c r="S84" s="19" t="str">
        <f>IF(R84="","",IFERROR(INDEX('Reference Values'!$B$8:$B$12,R84),"?"))</f>
        <v/>
      </c>
      <c r="T84" s="18"/>
      <c r="U84" s="19" t="str">
        <f>IF(T84="","",IFERROR(INDEX('Reference Values'!$B$8:$B$12,T84),"?"))</f>
        <v/>
      </c>
      <c r="V84" s="13"/>
      <c r="W84" s="13"/>
      <c r="X84" s="13"/>
      <c r="Y84" s="20"/>
    </row>
    <row r="85" spans="1:25" ht="24" customHeight="1" x14ac:dyDescent="0.25">
      <c r="A85" s="10" t="str">
        <f>IF(B85="","","D"&amp;TEXT(80,"000"))</f>
        <v/>
      </c>
      <c r="B85" s="21"/>
      <c r="C85" s="21"/>
      <c r="D85" s="21"/>
      <c r="E85" s="21"/>
      <c r="F85" s="22"/>
      <c r="G85" s="21"/>
      <c r="H85" s="13"/>
      <c r="I85" s="13"/>
      <c r="J85" s="17"/>
      <c r="K85" s="9" t="str">
        <f>IF(J85="","",IFERROR(INDEX('Reference Values'!$B$8:$B$12,J85),"?"))</f>
        <v/>
      </c>
      <c r="L85" s="17"/>
      <c r="M85" s="9" t="str">
        <f>IF(L85="","",IFERROR(INDEX('Reference Values'!$B$8:$B$12,L85),"?"))</f>
        <v/>
      </c>
      <c r="N85" s="17"/>
      <c r="O85" s="9" t="str">
        <f>IF(N85="","",IFERROR(INDEX('Reference Values'!$B$8:$B$12,N85),"?"))</f>
        <v/>
      </c>
      <c r="P85" s="23"/>
      <c r="Q85" s="19" t="str">
        <f>IF(P85="","",IFERROR(INDEX('Reference Values'!$B$8:$B$12,P85),"?"))</f>
        <v/>
      </c>
      <c r="R85" s="23"/>
      <c r="S85" s="19" t="str">
        <f>IF(R85="","",IFERROR(INDEX('Reference Values'!$B$8:$B$12,R85),"?"))</f>
        <v/>
      </c>
      <c r="T85" s="23"/>
      <c r="U85" s="19" t="str">
        <f>IF(T85="","",IFERROR(INDEX('Reference Values'!$B$8:$B$12,T85),"?"))</f>
        <v/>
      </c>
      <c r="V85" s="13"/>
      <c r="W85" s="13"/>
      <c r="X85" s="13"/>
      <c r="Y85" s="24"/>
    </row>
    <row r="86" spans="1:25" ht="24" customHeight="1" x14ac:dyDescent="0.25">
      <c r="A86" s="6" t="str">
        <f>IF(B86="","","D"&amp;TEXT(81,"000"))</f>
        <v/>
      </c>
      <c r="B86" s="15"/>
      <c r="C86" s="15"/>
      <c r="D86" s="15"/>
      <c r="E86" s="15"/>
      <c r="F86" s="16"/>
      <c r="G86" s="15"/>
      <c r="H86" s="13"/>
      <c r="I86" s="13"/>
      <c r="J86" s="17"/>
      <c r="K86" s="9" t="str">
        <f>IF(J86="","",IFERROR(INDEX('Reference Values'!$B$8:$B$12,J86),"?"))</f>
        <v/>
      </c>
      <c r="L86" s="17"/>
      <c r="M86" s="9" t="str">
        <f>IF(L86="","",IFERROR(INDEX('Reference Values'!$B$8:$B$12,L86),"?"))</f>
        <v/>
      </c>
      <c r="N86" s="17"/>
      <c r="O86" s="9" t="str">
        <f>IF(N86="","",IFERROR(INDEX('Reference Values'!$B$8:$B$12,N86),"?"))</f>
        <v/>
      </c>
      <c r="P86" s="18"/>
      <c r="Q86" s="19" t="str">
        <f>IF(P86="","",IFERROR(INDEX('Reference Values'!$B$8:$B$12,P86),"?"))</f>
        <v/>
      </c>
      <c r="R86" s="18"/>
      <c r="S86" s="19" t="str">
        <f>IF(R86="","",IFERROR(INDEX('Reference Values'!$B$8:$B$12,R86),"?"))</f>
        <v/>
      </c>
      <c r="T86" s="18"/>
      <c r="U86" s="19" t="str">
        <f>IF(T86="","",IFERROR(INDEX('Reference Values'!$B$8:$B$12,T86),"?"))</f>
        <v/>
      </c>
      <c r="V86" s="13"/>
      <c r="W86" s="13"/>
      <c r="X86" s="13"/>
      <c r="Y86" s="20"/>
    </row>
    <row r="87" spans="1:25" ht="24" customHeight="1" x14ac:dyDescent="0.25">
      <c r="A87" s="10" t="str">
        <f>IF(B87="","","D"&amp;TEXT(82,"000"))</f>
        <v/>
      </c>
      <c r="B87" s="21"/>
      <c r="C87" s="21"/>
      <c r="D87" s="21"/>
      <c r="E87" s="21"/>
      <c r="F87" s="22"/>
      <c r="G87" s="21"/>
      <c r="H87" s="13"/>
      <c r="I87" s="13"/>
      <c r="J87" s="17"/>
      <c r="K87" s="9" t="str">
        <f>IF(J87="","",IFERROR(INDEX('Reference Values'!$B$8:$B$12,J87),"?"))</f>
        <v/>
      </c>
      <c r="L87" s="17"/>
      <c r="M87" s="9" t="str">
        <f>IF(L87="","",IFERROR(INDEX('Reference Values'!$B$8:$B$12,L87),"?"))</f>
        <v/>
      </c>
      <c r="N87" s="17"/>
      <c r="O87" s="9" t="str">
        <f>IF(N87="","",IFERROR(INDEX('Reference Values'!$B$8:$B$12,N87),"?"))</f>
        <v/>
      </c>
      <c r="P87" s="23"/>
      <c r="Q87" s="19" t="str">
        <f>IF(P87="","",IFERROR(INDEX('Reference Values'!$B$8:$B$12,P87),"?"))</f>
        <v/>
      </c>
      <c r="R87" s="23"/>
      <c r="S87" s="19" t="str">
        <f>IF(R87="","",IFERROR(INDEX('Reference Values'!$B$8:$B$12,R87),"?"))</f>
        <v/>
      </c>
      <c r="T87" s="23"/>
      <c r="U87" s="19" t="str">
        <f>IF(T87="","",IFERROR(INDEX('Reference Values'!$B$8:$B$12,T87),"?"))</f>
        <v/>
      </c>
      <c r="V87" s="13"/>
      <c r="W87" s="13"/>
      <c r="X87" s="13"/>
      <c r="Y87" s="24"/>
    </row>
    <row r="88" spans="1:25" ht="24" customHeight="1" x14ac:dyDescent="0.25">
      <c r="A88" s="6" t="str">
        <f>IF(B88="","","D"&amp;TEXT(83,"000"))</f>
        <v/>
      </c>
      <c r="B88" s="15"/>
      <c r="C88" s="15"/>
      <c r="D88" s="15"/>
      <c r="E88" s="15"/>
      <c r="F88" s="16"/>
      <c r="G88" s="15"/>
      <c r="H88" s="13"/>
      <c r="I88" s="13"/>
      <c r="J88" s="17"/>
      <c r="K88" s="9" t="str">
        <f>IF(J88="","",IFERROR(INDEX('Reference Values'!$B$8:$B$12,J88),"?"))</f>
        <v/>
      </c>
      <c r="L88" s="17"/>
      <c r="M88" s="9" t="str">
        <f>IF(L88="","",IFERROR(INDEX('Reference Values'!$B$8:$B$12,L88),"?"))</f>
        <v/>
      </c>
      <c r="N88" s="17"/>
      <c r="O88" s="9" t="str">
        <f>IF(N88="","",IFERROR(INDEX('Reference Values'!$B$8:$B$12,N88),"?"))</f>
        <v/>
      </c>
      <c r="P88" s="18"/>
      <c r="Q88" s="19" t="str">
        <f>IF(P88="","",IFERROR(INDEX('Reference Values'!$B$8:$B$12,P88),"?"))</f>
        <v/>
      </c>
      <c r="R88" s="18"/>
      <c r="S88" s="19" t="str">
        <f>IF(R88="","",IFERROR(INDEX('Reference Values'!$B$8:$B$12,R88),"?"))</f>
        <v/>
      </c>
      <c r="T88" s="18"/>
      <c r="U88" s="19" t="str">
        <f>IF(T88="","",IFERROR(INDEX('Reference Values'!$B$8:$B$12,T88),"?"))</f>
        <v/>
      </c>
      <c r="V88" s="13"/>
      <c r="W88" s="13"/>
      <c r="X88" s="13"/>
      <c r="Y88" s="20"/>
    </row>
    <row r="89" spans="1:25" ht="24" customHeight="1" x14ac:dyDescent="0.25">
      <c r="A89" s="10" t="str">
        <f>IF(B89="","","D"&amp;TEXT(84,"000"))</f>
        <v/>
      </c>
      <c r="B89" s="21"/>
      <c r="C89" s="21"/>
      <c r="D89" s="21"/>
      <c r="E89" s="21"/>
      <c r="F89" s="22"/>
      <c r="G89" s="21"/>
      <c r="H89" s="13"/>
      <c r="I89" s="13"/>
      <c r="J89" s="17"/>
      <c r="K89" s="9" t="str">
        <f>IF(J89="","",IFERROR(INDEX('Reference Values'!$B$8:$B$12,J89),"?"))</f>
        <v/>
      </c>
      <c r="L89" s="17"/>
      <c r="M89" s="9" t="str">
        <f>IF(L89="","",IFERROR(INDEX('Reference Values'!$B$8:$B$12,L89),"?"))</f>
        <v/>
      </c>
      <c r="N89" s="17"/>
      <c r="O89" s="9" t="str">
        <f>IF(N89="","",IFERROR(INDEX('Reference Values'!$B$8:$B$12,N89),"?"))</f>
        <v/>
      </c>
      <c r="P89" s="23"/>
      <c r="Q89" s="19" t="str">
        <f>IF(P89="","",IFERROR(INDEX('Reference Values'!$B$8:$B$12,P89),"?"))</f>
        <v/>
      </c>
      <c r="R89" s="23"/>
      <c r="S89" s="19" t="str">
        <f>IF(R89="","",IFERROR(INDEX('Reference Values'!$B$8:$B$12,R89),"?"))</f>
        <v/>
      </c>
      <c r="T89" s="23"/>
      <c r="U89" s="19" t="str">
        <f>IF(T89="","",IFERROR(INDEX('Reference Values'!$B$8:$B$12,T89),"?"))</f>
        <v/>
      </c>
      <c r="V89" s="13"/>
      <c r="W89" s="13"/>
      <c r="X89" s="13"/>
      <c r="Y89" s="24"/>
    </row>
    <row r="90" spans="1:25" ht="24" customHeight="1" x14ac:dyDescent="0.25">
      <c r="A90" s="6" t="str">
        <f>IF(B90="","","D"&amp;TEXT(85,"000"))</f>
        <v/>
      </c>
      <c r="B90" s="15"/>
      <c r="C90" s="15"/>
      <c r="D90" s="15"/>
      <c r="E90" s="15"/>
      <c r="F90" s="16"/>
      <c r="G90" s="15"/>
      <c r="H90" s="13"/>
      <c r="I90" s="13"/>
      <c r="J90" s="17"/>
      <c r="K90" s="9" t="str">
        <f>IF(J90="","",IFERROR(INDEX('Reference Values'!$B$8:$B$12,J90),"?"))</f>
        <v/>
      </c>
      <c r="L90" s="17"/>
      <c r="M90" s="9" t="str">
        <f>IF(L90="","",IFERROR(INDEX('Reference Values'!$B$8:$B$12,L90),"?"))</f>
        <v/>
      </c>
      <c r="N90" s="17"/>
      <c r="O90" s="9" t="str">
        <f>IF(N90="","",IFERROR(INDEX('Reference Values'!$B$8:$B$12,N90),"?"))</f>
        <v/>
      </c>
      <c r="P90" s="18"/>
      <c r="Q90" s="19" t="str">
        <f>IF(P90="","",IFERROR(INDEX('Reference Values'!$B$8:$B$12,P90),"?"))</f>
        <v/>
      </c>
      <c r="R90" s="18"/>
      <c r="S90" s="19" t="str">
        <f>IF(R90="","",IFERROR(INDEX('Reference Values'!$B$8:$B$12,R90),"?"))</f>
        <v/>
      </c>
      <c r="T90" s="18"/>
      <c r="U90" s="19" t="str">
        <f>IF(T90="","",IFERROR(INDEX('Reference Values'!$B$8:$B$12,T90),"?"))</f>
        <v/>
      </c>
      <c r="V90" s="13"/>
      <c r="W90" s="13"/>
      <c r="X90" s="13"/>
      <c r="Y90" s="20"/>
    </row>
    <row r="91" spans="1:25" ht="24" customHeight="1" x14ac:dyDescent="0.25">
      <c r="A91" s="10" t="str">
        <f>IF(B91="","","D"&amp;TEXT(86,"000"))</f>
        <v/>
      </c>
      <c r="B91" s="21"/>
      <c r="C91" s="21"/>
      <c r="D91" s="21"/>
      <c r="E91" s="21"/>
      <c r="F91" s="22"/>
      <c r="G91" s="21"/>
      <c r="H91" s="13"/>
      <c r="I91" s="13"/>
      <c r="J91" s="17"/>
      <c r="K91" s="9" t="str">
        <f>IF(J91="","",IFERROR(INDEX('Reference Values'!$B$8:$B$12,J91),"?"))</f>
        <v/>
      </c>
      <c r="L91" s="17"/>
      <c r="M91" s="9" t="str">
        <f>IF(L91="","",IFERROR(INDEX('Reference Values'!$B$8:$B$12,L91),"?"))</f>
        <v/>
      </c>
      <c r="N91" s="17"/>
      <c r="O91" s="9" t="str">
        <f>IF(N91="","",IFERROR(INDEX('Reference Values'!$B$8:$B$12,N91),"?"))</f>
        <v/>
      </c>
      <c r="P91" s="23"/>
      <c r="Q91" s="19" t="str">
        <f>IF(P91="","",IFERROR(INDEX('Reference Values'!$B$8:$B$12,P91),"?"))</f>
        <v/>
      </c>
      <c r="R91" s="23"/>
      <c r="S91" s="19" t="str">
        <f>IF(R91="","",IFERROR(INDEX('Reference Values'!$B$8:$B$12,R91),"?"))</f>
        <v/>
      </c>
      <c r="T91" s="23"/>
      <c r="U91" s="19" t="str">
        <f>IF(T91="","",IFERROR(INDEX('Reference Values'!$B$8:$B$12,T91),"?"))</f>
        <v/>
      </c>
      <c r="V91" s="13"/>
      <c r="W91" s="13"/>
      <c r="X91" s="13"/>
      <c r="Y91" s="24"/>
    </row>
    <row r="92" spans="1:25" ht="24" customHeight="1" x14ac:dyDescent="0.25">
      <c r="A92" s="6" t="str">
        <f>IF(B92="","","D"&amp;TEXT(87,"000"))</f>
        <v/>
      </c>
      <c r="B92" s="15"/>
      <c r="C92" s="15"/>
      <c r="D92" s="15"/>
      <c r="E92" s="15"/>
      <c r="F92" s="16"/>
      <c r="G92" s="15"/>
      <c r="H92" s="13"/>
      <c r="I92" s="13"/>
      <c r="J92" s="17"/>
      <c r="K92" s="9" t="str">
        <f>IF(J92="","",IFERROR(INDEX('Reference Values'!$B$8:$B$12,J92),"?"))</f>
        <v/>
      </c>
      <c r="L92" s="17"/>
      <c r="M92" s="9" t="str">
        <f>IF(L92="","",IFERROR(INDEX('Reference Values'!$B$8:$B$12,L92),"?"))</f>
        <v/>
      </c>
      <c r="N92" s="17"/>
      <c r="O92" s="9" t="str">
        <f>IF(N92="","",IFERROR(INDEX('Reference Values'!$B$8:$B$12,N92),"?"))</f>
        <v/>
      </c>
      <c r="P92" s="18"/>
      <c r="Q92" s="19" t="str">
        <f>IF(P92="","",IFERROR(INDEX('Reference Values'!$B$8:$B$12,P92),"?"))</f>
        <v/>
      </c>
      <c r="R92" s="18"/>
      <c r="S92" s="19" t="str">
        <f>IF(R92="","",IFERROR(INDEX('Reference Values'!$B$8:$B$12,R92),"?"))</f>
        <v/>
      </c>
      <c r="T92" s="18"/>
      <c r="U92" s="19" t="str">
        <f>IF(T92="","",IFERROR(INDEX('Reference Values'!$B$8:$B$12,T92),"?"))</f>
        <v/>
      </c>
      <c r="V92" s="13"/>
      <c r="W92" s="13"/>
      <c r="X92" s="13"/>
      <c r="Y92" s="20"/>
    </row>
    <row r="93" spans="1:25" ht="24" customHeight="1" x14ac:dyDescent="0.25">
      <c r="A93" s="10" t="str">
        <f>IF(B93="","","D"&amp;TEXT(88,"000"))</f>
        <v/>
      </c>
      <c r="B93" s="21"/>
      <c r="C93" s="21"/>
      <c r="D93" s="21"/>
      <c r="E93" s="21"/>
      <c r="F93" s="22"/>
      <c r="G93" s="21"/>
      <c r="H93" s="13"/>
      <c r="I93" s="13"/>
      <c r="J93" s="17"/>
      <c r="K93" s="9" t="str">
        <f>IF(J93="","",IFERROR(INDEX('Reference Values'!$B$8:$B$12,J93),"?"))</f>
        <v/>
      </c>
      <c r="L93" s="17"/>
      <c r="M93" s="9" t="str">
        <f>IF(L93="","",IFERROR(INDEX('Reference Values'!$B$8:$B$12,L93),"?"))</f>
        <v/>
      </c>
      <c r="N93" s="17"/>
      <c r="O93" s="9" t="str">
        <f>IF(N93="","",IFERROR(INDEX('Reference Values'!$B$8:$B$12,N93),"?"))</f>
        <v/>
      </c>
      <c r="P93" s="23"/>
      <c r="Q93" s="19" t="str">
        <f>IF(P93="","",IFERROR(INDEX('Reference Values'!$B$8:$B$12,P93),"?"))</f>
        <v/>
      </c>
      <c r="R93" s="23"/>
      <c r="S93" s="19" t="str">
        <f>IF(R93="","",IFERROR(INDEX('Reference Values'!$B$8:$B$12,R93),"?"))</f>
        <v/>
      </c>
      <c r="T93" s="23"/>
      <c r="U93" s="19" t="str">
        <f>IF(T93="","",IFERROR(INDEX('Reference Values'!$B$8:$B$12,T93),"?"))</f>
        <v/>
      </c>
      <c r="V93" s="13"/>
      <c r="W93" s="13"/>
      <c r="X93" s="13"/>
      <c r="Y93" s="24"/>
    </row>
    <row r="94" spans="1:25" ht="24" customHeight="1" x14ac:dyDescent="0.25">
      <c r="A94" s="6" t="str">
        <f>IF(B94="","","D"&amp;TEXT(89,"000"))</f>
        <v/>
      </c>
      <c r="B94" s="15"/>
      <c r="C94" s="15"/>
      <c r="D94" s="15"/>
      <c r="E94" s="15"/>
      <c r="F94" s="16"/>
      <c r="G94" s="15"/>
      <c r="H94" s="13"/>
      <c r="I94" s="13"/>
      <c r="J94" s="17"/>
      <c r="K94" s="9" t="str">
        <f>IF(J94="","",IFERROR(INDEX('Reference Values'!$B$8:$B$12,J94),"?"))</f>
        <v/>
      </c>
      <c r="L94" s="17"/>
      <c r="M94" s="9" t="str">
        <f>IF(L94="","",IFERROR(INDEX('Reference Values'!$B$8:$B$12,L94),"?"))</f>
        <v/>
      </c>
      <c r="N94" s="17"/>
      <c r="O94" s="9" t="str">
        <f>IF(N94="","",IFERROR(INDEX('Reference Values'!$B$8:$B$12,N94),"?"))</f>
        <v/>
      </c>
      <c r="P94" s="18"/>
      <c r="Q94" s="19" t="str">
        <f>IF(P94="","",IFERROR(INDEX('Reference Values'!$B$8:$B$12,P94),"?"))</f>
        <v/>
      </c>
      <c r="R94" s="18"/>
      <c r="S94" s="19" t="str">
        <f>IF(R94="","",IFERROR(INDEX('Reference Values'!$B$8:$B$12,R94),"?"))</f>
        <v/>
      </c>
      <c r="T94" s="18"/>
      <c r="U94" s="19" t="str">
        <f>IF(T94="","",IFERROR(INDEX('Reference Values'!$B$8:$B$12,T94),"?"))</f>
        <v/>
      </c>
      <c r="V94" s="13"/>
      <c r="W94" s="13"/>
      <c r="X94" s="13"/>
      <c r="Y94" s="20"/>
    </row>
    <row r="95" spans="1:25" ht="24" customHeight="1" x14ac:dyDescent="0.25">
      <c r="A95" s="10" t="str">
        <f>IF(B95="","","D"&amp;TEXT(90,"000"))</f>
        <v/>
      </c>
      <c r="B95" s="21"/>
      <c r="C95" s="21"/>
      <c r="D95" s="21"/>
      <c r="E95" s="21"/>
      <c r="F95" s="22"/>
      <c r="G95" s="21"/>
      <c r="H95" s="13"/>
      <c r="I95" s="13"/>
      <c r="J95" s="17"/>
      <c r="K95" s="9" t="str">
        <f>IF(J95="","",IFERROR(INDEX('Reference Values'!$B$8:$B$12,J95),"?"))</f>
        <v/>
      </c>
      <c r="L95" s="17"/>
      <c r="M95" s="9" t="str">
        <f>IF(L95="","",IFERROR(INDEX('Reference Values'!$B$8:$B$12,L95),"?"))</f>
        <v/>
      </c>
      <c r="N95" s="17"/>
      <c r="O95" s="9" t="str">
        <f>IF(N95="","",IFERROR(INDEX('Reference Values'!$B$8:$B$12,N95),"?"))</f>
        <v/>
      </c>
      <c r="P95" s="23"/>
      <c r="Q95" s="19" t="str">
        <f>IF(P95="","",IFERROR(INDEX('Reference Values'!$B$8:$B$12,P95),"?"))</f>
        <v/>
      </c>
      <c r="R95" s="23"/>
      <c r="S95" s="19" t="str">
        <f>IF(R95="","",IFERROR(INDEX('Reference Values'!$B$8:$B$12,R95),"?"))</f>
        <v/>
      </c>
      <c r="T95" s="23"/>
      <c r="U95" s="19" t="str">
        <f>IF(T95="","",IFERROR(INDEX('Reference Values'!$B$8:$B$12,T95),"?"))</f>
        <v/>
      </c>
      <c r="V95" s="13"/>
      <c r="W95" s="13"/>
      <c r="X95" s="13"/>
      <c r="Y95" s="24"/>
    </row>
    <row r="96" spans="1:25" ht="24" customHeight="1" x14ac:dyDescent="0.25">
      <c r="A96" s="6" t="str">
        <f>IF(B96="","","D"&amp;TEXT(91,"000"))</f>
        <v/>
      </c>
      <c r="B96" s="15"/>
      <c r="C96" s="15"/>
      <c r="D96" s="15"/>
      <c r="E96" s="15"/>
      <c r="F96" s="16"/>
      <c r="G96" s="15"/>
      <c r="H96" s="13"/>
      <c r="I96" s="13"/>
      <c r="J96" s="17"/>
      <c r="K96" s="9" t="str">
        <f>IF(J96="","",IFERROR(INDEX('Reference Values'!$B$8:$B$12,J96),"?"))</f>
        <v/>
      </c>
      <c r="L96" s="17"/>
      <c r="M96" s="9" t="str">
        <f>IF(L96="","",IFERROR(INDEX('Reference Values'!$B$8:$B$12,L96),"?"))</f>
        <v/>
      </c>
      <c r="N96" s="17"/>
      <c r="O96" s="9" t="str">
        <f>IF(N96="","",IFERROR(INDEX('Reference Values'!$B$8:$B$12,N96),"?"))</f>
        <v/>
      </c>
      <c r="P96" s="18"/>
      <c r="Q96" s="19" t="str">
        <f>IF(P96="","",IFERROR(INDEX('Reference Values'!$B$8:$B$12,P96),"?"))</f>
        <v/>
      </c>
      <c r="R96" s="18"/>
      <c r="S96" s="19" t="str">
        <f>IF(R96="","",IFERROR(INDEX('Reference Values'!$B$8:$B$12,R96),"?"))</f>
        <v/>
      </c>
      <c r="T96" s="18"/>
      <c r="U96" s="19" t="str">
        <f>IF(T96="","",IFERROR(INDEX('Reference Values'!$B$8:$B$12,T96),"?"))</f>
        <v/>
      </c>
      <c r="V96" s="13"/>
      <c r="W96" s="13"/>
      <c r="X96" s="13"/>
      <c r="Y96" s="20"/>
    </row>
    <row r="97" spans="1:25" ht="24" customHeight="1" x14ac:dyDescent="0.25">
      <c r="A97" s="10" t="str">
        <f>IF(B97="","","D"&amp;TEXT(92,"000"))</f>
        <v/>
      </c>
      <c r="B97" s="21"/>
      <c r="C97" s="21"/>
      <c r="D97" s="21"/>
      <c r="E97" s="21"/>
      <c r="F97" s="22"/>
      <c r="G97" s="21"/>
      <c r="H97" s="13"/>
      <c r="I97" s="13"/>
      <c r="J97" s="17"/>
      <c r="K97" s="9" t="str">
        <f>IF(J97="","",IFERROR(INDEX('Reference Values'!$B$8:$B$12,J97),"?"))</f>
        <v/>
      </c>
      <c r="L97" s="17"/>
      <c r="M97" s="9" t="str">
        <f>IF(L97="","",IFERROR(INDEX('Reference Values'!$B$8:$B$12,L97),"?"))</f>
        <v/>
      </c>
      <c r="N97" s="17"/>
      <c r="O97" s="9" t="str">
        <f>IF(N97="","",IFERROR(INDEX('Reference Values'!$B$8:$B$12,N97),"?"))</f>
        <v/>
      </c>
      <c r="P97" s="23"/>
      <c r="Q97" s="19" t="str">
        <f>IF(P97="","",IFERROR(INDEX('Reference Values'!$B$8:$B$12,P97),"?"))</f>
        <v/>
      </c>
      <c r="R97" s="23"/>
      <c r="S97" s="19" t="str">
        <f>IF(R97="","",IFERROR(INDEX('Reference Values'!$B$8:$B$12,R97),"?"))</f>
        <v/>
      </c>
      <c r="T97" s="23"/>
      <c r="U97" s="19" t="str">
        <f>IF(T97="","",IFERROR(INDEX('Reference Values'!$B$8:$B$12,T97),"?"))</f>
        <v/>
      </c>
      <c r="V97" s="13"/>
      <c r="W97" s="13"/>
      <c r="X97" s="13"/>
      <c r="Y97" s="24"/>
    </row>
    <row r="98" spans="1:25" ht="24" customHeight="1" x14ac:dyDescent="0.25">
      <c r="A98" s="6" t="str">
        <f>IF(B98="","","D"&amp;TEXT(93,"000"))</f>
        <v/>
      </c>
      <c r="B98" s="15"/>
      <c r="C98" s="15"/>
      <c r="D98" s="15"/>
      <c r="E98" s="15"/>
      <c r="F98" s="16"/>
      <c r="G98" s="15"/>
      <c r="H98" s="13"/>
      <c r="I98" s="13"/>
      <c r="J98" s="17"/>
      <c r="K98" s="9" t="str">
        <f>IF(J98="","",IFERROR(INDEX('Reference Values'!$B$8:$B$12,J98),"?"))</f>
        <v/>
      </c>
      <c r="L98" s="17"/>
      <c r="M98" s="9" t="str">
        <f>IF(L98="","",IFERROR(INDEX('Reference Values'!$B$8:$B$12,L98),"?"))</f>
        <v/>
      </c>
      <c r="N98" s="17"/>
      <c r="O98" s="9" t="str">
        <f>IF(N98="","",IFERROR(INDEX('Reference Values'!$B$8:$B$12,N98),"?"))</f>
        <v/>
      </c>
      <c r="P98" s="18"/>
      <c r="Q98" s="19" t="str">
        <f>IF(P98="","",IFERROR(INDEX('Reference Values'!$B$8:$B$12,P98),"?"))</f>
        <v/>
      </c>
      <c r="R98" s="18"/>
      <c r="S98" s="19" t="str">
        <f>IF(R98="","",IFERROR(INDEX('Reference Values'!$B$8:$B$12,R98),"?"))</f>
        <v/>
      </c>
      <c r="T98" s="18"/>
      <c r="U98" s="19" t="str">
        <f>IF(T98="","",IFERROR(INDEX('Reference Values'!$B$8:$B$12,T98),"?"))</f>
        <v/>
      </c>
      <c r="V98" s="13"/>
      <c r="W98" s="13"/>
      <c r="X98" s="13"/>
      <c r="Y98" s="20"/>
    </row>
    <row r="99" spans="1:25" ht="24" customHeight="1" x14ac:dyDescent="0.25">
      <c r="A99" s="10" t="str">
        <f>IF(B99="","","D"&amp;TEXT(94,"000"))</f>
        <v/>
      </c>
      <c r="B99" s="21"/>
      <c r="C99" s="21"/>
      <c r="D99" s="21"/>
      <c r="E99" s="21"/>
      <c r="F99" s="22"/>
      <c r="G99" s="21"/>
      <c r="H99" s="13"/>
      <c r="I99" s="13"/>
      <c r="J99" s="17"/>
      <c r="K99" s="9" t="str">
        <f>IF(J99="","",IFERROR(INDEX('Reference Values'!$B$8:$B$12,J99),"?"))</f>
        <v/>
      </c>
      <c r="L99" s="17"/>
      <c r="M99" s="9" t="str">
        <f>IF(L99="","",IFERROR(INDEX('Reference Values'!$B$8:$B$12,L99),"?"))</f>
        <v/>
      </c>
      <c r="N99" s="17"/>
      <c r="O99" s="9" t="str">
        <f>IF(N99="","",IFERROR(INDEX('Reference Values'!$B$8:$B$12,N99),"?"))</f>
        <v/>
      </c>
      <c r="P99" s="23"/>
      <c r="Q99" s="19" t="str">
        <f>IF(P99="","",IFERROR(INDEX('Reference Values'!$B$8:$B$12,P99),"?"))</f>
        <v/>
      </c>
      <c r="R99" s="23"/>
      <c r="S99" s="19" t="str">
        <f>IF(R99="","",IFERROR(INDEX('Reference Values'!$B$8:$B$12,R99),"?"))</f>
        <v/>
      </c>
      <c r="T99" s="23"/>
      <c r="U99" s="19" t="str">
        <f>IF(T99="","",IFERROR(INDEX('Reference Values'!$B$8:$B$12,T99),"?"))</f>
        <v/>
      </c>
      <c r="V99" s="13"/>
      <c r="W99" s="13"/>
      <c r="X99" s="13"/>
      <c r="Y99" s="24"/>
    </row>
    <row r="100" spans="1:25" ht="24" customHeight="1" x14ac:dyDescent="0.25">
      <c r="A100" s="6" t="str">
        <f>IF(B100="","","D"&amp;TEXT(95,"000"))</f>
        <v/>
      </c>
      <c r="B100" s="15"/>
      <c r="C100" s="15"/>
      <c r="D100" s="15"/>
      <c r="E100" s="15"/>
      <c r="F100" s="16"/>
      <c r="G100" s="15"/>
      <c r="H100" s="13"/>
      <c r="I100" s="13"/>
      <c r="J100" s="17"/>
      <c r="K100" s="9" t="str">
        <f>IF(J100="","",IFERROR(INDEX('Reference Values'!$B$8:$B$12,J100),"?"))</f>
        <v/>
      </c>
      <c r="L100" s="17"/>
      <c r="M100" s="9" t="str">
        <f>IF(L100="","",IFERROR(INDEX('Reference Values'!$B$8:$B$12,L100),"?"))</f>
        <v/>
      </c>
      <c r="N100" s="17"/>
      <c r="O100" s="9" t="str">
        <f>IF(N100="","",IFERROR(INDEX('Reference Values'!$B$8:$B$12,N100),"?"))</f>
        <v/>
      </c>
      <c r="P100" s="18"/>
      <c r="Q100" s="19" t="str">
        <f>IF(P100="","",IFERROR(INDEX('Reference Values'!$B$8:$B$12,P100),"?"))</f>
        <v/>
      </c>
      <c r="R100" s="18"/>
      <c r="S100" s="19" t="str">
        <f>IF(R100="","",IFERROR(INDEX('Reference Values'!$B$8:$B$12,R100),"?"))</f>
        <v/>
      </c>
      <c r="T100" s="18"/>
      <c r="U100" s="19" t="str">
        <f>IF(T100="","",IFERROR(INDEX('Reference Values'!$B$8:$B$12,T100),"?"))</f>
        <v/>
      </c>
      <c r="V100" s="13"/>
      <c r="W100" s="13"/>
      <c r="X100" s="13"/>
      <c r="Y100" s="20"/>
    </row>
    <row r="101" spans="1:25" ht="24" customHeight="1" x14ac:dyDescent="0.25">
      <c r="A101" s="10" t="str">
        <f>IF(B101="","","D"&amp;TEXT(96,"000"))</f>
        <v/>
      </c>
      <c r="B101" s="21"/>
      <c r="C101" s="21"/>
      <c r="D101" s="21"/>
      <c r="E101" s="21"/>
      <c r="F101" s="22"/>
      <c r="G101" s="21"/>
      <c r="H101" s="13"/>
      <c r="I101" s="13"/>
      <c r="J101" s="17"/>
      <c r="K101" s="9" t="str">
        <f>IF(J101="","",IFERROR(INDEX('Reference Values'!$B$8:$B$12,J101),"?"))</f>
        <v/>
      </c>
      <c r="L101" s="17"/>
      <c r="M101" s="9" t="str">
        <f>IF(L101="","",IFERROR(INDEX('Reference Values'!$B$8:$B$12,L101),"?"))</f>
        <v/>
      </c>
      <c r="N101" s="17"/>
      <c r="O101" s="9" t="str">
        <f>IF(N101="","",IFERROR(INDEX('Reference Values'!$B$8:$B$12,N101),"?"))</f>
        <v/>
      </c>
      <c r="P101" s="23"/>
      <c r="Q101" s="19" t="str">
        <f>IF(P101="","",IFERROR(INDEX('Reference Values'!$B$8:$B$12,P101),"?"))</f>
        <v/>
      </c>
      <c r="R101" s="23"/>
      <c r="S101" s="19" t="str">
        <f>IF(R101="","",IFERROR(INDEX('Reference Values'!$B$8:$B$12,R101),"?"))</f>
        <v/>
      </c>
      <c r="T101" s="23"/>
      <c r="U101" s="19" t="str">
        <f>IF(T101="","",IFERROR(INDEX('Reference Values'!$B$8:$B$12,T101),"?"))</f>
        <v/>
      </c>
      <c r="V101" s="13"/>
      <c r="W101" s="13"/>
      <c r="X101" s="13"/>
      <c r="Y101" s="24"/>
    </row>
    <row r="102" spans="1:25" ht="24" customHeight="1" x14ac:dyDescent="0.25">
      <c r="A102" s="6" t="str">
        <f>IF(B102="","","D"&amp;TEXT(97,"000"))</f>
        <v/>
      </c>
      <c r="B102" s="15"/>
      <c r="C102" s="15"/>
      <c r="D102" s="15"/>
      <c r="E102" s="15"/>
      <c r="F102" s="16"/>
      <c r="G102" s="15"/>
      <c r="H102" s="13"/>
      <c r="I102" s="13"/>
      <c r="J102" s="17"/>
      <c r="K102" s="9" t="str">
        <f>IF(J102="","",IFERROR(INDEX('Reference Values'!$B$8:$B$12,J102),"?"))</f>
        <v/>
      </c>
      <c r="L102" s="17"/>
      <c r="M102" s="9" t="str">
        <f>IF(L102="","",IFERROR(INDEX('Reference Values'!$B$8:$B$12,L102),"?"))</f>
        <v/>
      </c>
      <c r="N102" s="17"/>
      <c r="O102" s="9" t="str">
        <f>IF(N102="","",IFERROR(INDEX('Reference Values'!$B$8:$B$12,N102),"?"))</f>
        <v/>
      </c>
      <c r="P102" s="18"/>
      <c r="Q102" s="19" t="str">
        <f>IF(P102="","",IFERROR(INDEX('Reference Values'!$B$8:$B$12,P102),"?"))</f>
        <v/>
      </c>
      <c r="R102" s="18"/>
      <c r="S102" s="19" t="str">
        <f>IF(R102="","",IFERROR(INDEX('Reference Values'!$B$8:$B$12,R102),"?"))</f>
        <v/>
      </c>
      <c r="T102" s="18"/>
      <c r="U102" s="19" t="str">
        <f>IF(T102="","",IFERROR(INDEX('Reference Values'!$B$8:$B$12,T102),"?"))</f>
        <v/>
      </c>
      <c r="V102" s="13"/>
      <c r="W102" s="13"/>
      <c r="X102" s="13"/>
      <c r="Y102" s="20"/>
    </row>
    <row r="103" spans="1:25" ht="24" customHeight="1" x14ac:dyDescent="0.25">
      <c r="A103" s="10" t="str">
        <f>IF(B103="","","D"&amp;TEXT(98,"000"))</f>
        <v/>
      </c>
      <c r="B103" s="21"/>
      <c r="C103" s="21"/>
      <c r="D103" s="21"/>
      <c r="E103" s="21"/>
      <c r="F103" s="22"/>
      <c r="G103" s="21"/>
      <c r="H103" s="13"/>
      <c r="I103" s="13"/>
      <c r="J103" s="17"/>
      <c r="K103" s="9" t="str">
        <f>IF(J103="","",IFERROR(INDEX('Reference Values'!$B$8:$B$12,J103),"?"))</f>
        <v/>
      </c>
      <c r="L103" s="17"/>
      <c r="M103" s="9" t="str">
        <f>IF(L103="","",IFERROR(INDEX('Reference Values'!$B$8:$B$12,L103),"?"))</f>
        <v/>
      </c>
      <c r="N103" s="17"/>
      <c r="O103" s="9" t="str">
        <f>IF(N103="","",IFERROR(INDEX('Reference Values'!$B$8:$B$12,N103),"?"))</f>
        <v/>
      </c>
      <c r="P103" s="23"/>
      <c r="Q103" s="19" t="str">
        <f>IF(P103="","",IFERROR(INDEX('Reference Values'!$B$8:$B$12,P103),"?"))</f>
        <v/>
      </c>
      <c r="R103" s="23"/>
      <c r="S103" s="19" t="str">
        <f>IF(R103="","",IFERROR(INDEX('Reference Values'!$B$8:$B$12,R103),"?"))</f>
        <v/>
      </c>
      <c r="T103" s="23"/>
      <c r="U103" s="19" t="str">
        <f>IF(T103="","",IFERROR(INDEX('Reference Values'!$B$8:$B$12,T103),"?"))</f>
        <v/>
      </c>
      <c r="V103" s="13"/>
      <c r="W103" s="13"/>
      <c r="X103" s="13"/>
      <c r="Y103" s="24"/>
    </row>
    <row r="104" spans="1:25" ht="24" customHeight="1" x14ac:dyDescent="0.25">
      <c r="A104" s="6" t="str">
        <f>IF(B104="","","D"&amp;TEXT(99,"000"))</f>
        <v/>
      </c>
      <c r="B104" s="15"/>
      <c r="C104" s="15"/>
      <c r="D104" s="15"/>
      <c r="E104" s="15"/>
      <c r="F104" s="16"/>
      <c r="G104" s="15"/>
      <c r="H104" s="13"/>
      <c r="I104" s="13"/>
      <c r="J104" s="17"/>
      <c r="K104" s="9" t="str">
        <f>IF(J104="","",IFERROR(INDEX('Reference Values'!$B$8:$B$12,J104),"?"))</f>
        <v/>
      </c>
      <c r="L104" s="17"/>
      <c r="M104" s="9" t="str">
        <f>IF(L104="","",IFERROR(INDEX('Reference Values'!$B$8:$B$12,L104),"?"))</f>
        <v/>
      </c>
      <c r="N104" s="17"/>
      <c r="O104" s="9" t="str">
        <f>IF(N104="","",IFERROR(INDEX('Reference Values'!$B$8:$B$12,N104),"?"))</f>
        <v/>
      </c>
      <c r="P104" s="18"/>
      <c r="Q104" s="19" t="str">
        <f>IF(P104="","",IFERROR(INDEX('Reference Values'!$B$8:$B$12,P104),"?"))</f>
        <v/>
      </c>
      <c r="R104" s="18"/>
      <c r="S104" s="19" t="str">
        <f>IF(R104="","",IFERROR(INDEX('Reference Values'!$B$8:$B$12,R104),"?"))</f>
        <v/>
      </c>
      <c r="T104" s="18"/>
      <c r="U104" s="19" t="str">
        <f>IF(T104="","",IFERROR(INDEX('Reference Values'!$B$8:$B$12,T104),"?"))</f>
        <v/>
      </c>
      <c r="V104" s="13"/>
      <c r="W104" s="13"/>
      <c r="X104" s="13"/>
      <c r="Y104" s="20"/>
    </row>
    <row r="105" spans="1:25" ht="24" customHeight="1" x14ac:dyDescent="0.25">
      <c r="A105" s="10" t="str">
        <f>IF(B105="","","D"&amp;TEXT(100,"000"))</f>
        <v/>
      </c>
      <c r="B105" s="21"/>
      <c r="C105" s="21"/>
      <c r="D105" s="21"/>
      <c r="E105" s="21"/>
      <c r="F105" s="22"/>
      <c r="G105" s="21"/>
      <c r="H105" s="13"/>
      <c r="I105" s="13"/>
      <c r="J105" s="17"/>
      <c r="K105" s="9" t="str">
        <f>IF(J105="","",IFERROR(INDEX('Reference Values'!$B$8:$B$12,J105),"?"))</f>
        <v/>
      </c>
      <c r="L105" s="17"/>
      <c r="M105" s="9" t="str">
        <f>IF(L105="","",IFERROR(INDEX('Reference Values'!$B$8:$B$12,L105),"?"))</f>
        <v/>
      </c>
      <c r="N105" s="17"/>
      <c r="O105" s="9" t="str">
        <f>IF(N105="","",IFERROR(INDEX('Reference Values'!$B$8:$B$12,N105),"?"))</f>
        <v/>
      </c>
      <c r="P105" s="23"/>
      <c r="Q105" s="19" t="str">
        <f>IF(P105="","",IFERROR(INDEX('Reference Values'!$B$8:$B$12,P105),"?"))</f>
        <v/>
      </c>
      <c r="R105" s="23"/>
      <c r="S105" s="19" t="str">
        <f>IF(R105="","",IFERROR(INDEX('Reference Values'!$B$8:$B$12,R105),"?"))</f>
        <v/>
      </c>
      <c r="T105" s="23"/>
      <c r="U105" s="19" t="str">
        <f>IF(T105="","",IFERROR(INDEX('Reference Values'!$B$8:$B$12,T105),"?"))</f>
        <v/>
      </c>
      <c r="V105" s="13"/>
      <c r="W105" s="13"/>
      <c r="X105" s="13"/>
      <c r="Y105" s="24"/>
    </row>
  </sheetData>
  <sheetProtection sheet="1" sort="0" autoFilter="0"/>
  <autoFilter ref="A5:Y5" xr:uid="{00000000-0009-0000-0000-000004000000}"/>
  <mergeCells count="12">
    <mergeCell ref="A2:Y2"/>
    <mergeCell ref="J5:K5"/>
    <mergeCell ref="T5:U5"/>
    <mergeCell ref="A1:Y1"/>
    <mergeCell ref="V4:X4"/>
    <mergeCell ref="L5:M5"/>
    <mergeCell ref="P5:Q5"/>
    <mergeCell ref="N5:O5"/>
    <mergeCell ref="J4:O4"/>
    <mergeCell ref="R5:S5"/>
    <mergeCell ref="A3:Y3"/>
    <mergeCell ref="P4:U4"/>
  </mergeCells>
  <conditionalFormatting sqref="J6:J105">
    <cfRule type="expression" dxfId="60" priority="1">
      <formula>J6=1</formula>
    </cfRule>
    <cfRule type="expression" dxfId="59" priority="3">
      <formula>J6=2</formula>
    </cfRule>
    <cfRule type="expression" dxfId="58" priority="5">
      <formula>J6=3</formula>
    </cfRule>
    <cfRule type="expression" dxfId="57" priority="7">
      <formula>J6=4</formula>
    </cfRule>
    <cfRule type="expression" dxfId="56" priority="9">
      <formula>J6=5</formula>
    </cfRule>
  </conditionalFormatting>
  <conditionalFormatting sqref="K6:K105">
    <cfRule type="expression" dxfId="55" priority="2">
      <formula>J6=1</formula>
    </cfRule>
    <cfRule type="expression" dxfId="54" priority="4">
      <formula>J6=2</formula>
    </cfRule>
    <cfRule type="expression" dxfId="53" priority="6">
      <formula>J6=3</formula>
    </cfRule>
    <cfRule type="expression" dxfId="52" priority="8">
      <formula>J6=4</formula>
    </cfRule>
    <cfRule type="expression" dxfId="51" priority="10">
      <formula>J6=5</formula>
    </cfRule>
  </conditionalFormatting>
  <conditionalFormatting sqref="L6:L105">
    <cfRule type="expression" dxfId="50" priority="11">
      <formula>L6=1</formula>
    </cfRule>
    <cfRule type="expression" dxfId="49" priority="13">
      <formula>L6=2</formula>
    </cfRule>
    <cfRule type="expression" dxfId="48" priority="15">
      <formula>L6=3</formula>
    </cfRule>
    <cfRule type="expression" dxfId="47" priority="17">
      <formula>L6=4</formula>
    </cfRule>
    <cfRule type="expression" dxfId="46" priority="19">
      <formula>L6=5</formula>
    </cfRule>
  </conditionalFormatting>
  <conditionalFormatting sqref="M6:M105">
    <cfRule type="expression" dxfId="45" priority="12">
      <formula>L6=1</formula>
    </cfRule>
    <cfRule type="expression" dxfId="44" priority="14">
      <formula>L6=2</formula>
    </cfRule>
    <cfRule type="expression" dxfId="43" priority="16">
      <formula>L6=3</formula>
    </cfRule>
    <cfRule type="expression" dxfId="42" priority="18">
      <formula>L6=4</formula>
    </cfRule>
    <cfRule type="expression" dxfId="41" priority="20">
      <formula>L6=5</formula>
    </cfRule>
  </conditionalFormatting>
  <conditionalFormatting sqref="N6:N105">
    <cfRule type="expression" dxfId="40" priority="21">
      <formula>N6=1</formula>
    </cfRule>
    <cfRule type="expression" dxfId="39" priority="23">
      <formula>N6=2</formula>
    </cfRule>
    <cfRule type="expression" dxfId="38" priority="25">
      <formula>N6=3</formula>
    </cfRule>
    <cfRule type="expression" dxfId="37" priority="27">
      <formula>N6=4</formula>
    </cfRule>
    <cfRule type="expression" dxfId="36" priority="29">
      <formula>N6=5</formula>
    </cfRule>
  </conditionalFormatting>
  <conditionalFormatting sqref="O6:O105">
    <cfRule type="expression" dxfId="35" priority="22">
      <formula>N6=1</formula>
    </cfRule>
    <cfRule type="expression" dxfId="34" priority="24">
      <formula>N6=2</formula>
    </cfRule>
    <cfRule type="expression" dxfId="33" priority="26">
      <formula>N6=3</formula>
    </cfRule>
    <cfRule type="expression" dxfId="32" priority="28">
      <formula>N6=4</formula>
    </cfRule>
    <cfRule type="expression" dxfId="31" priority="30">
      <formula>N6=5</formula>
    </cfRule>
  </conditionalFormatting>
  <conditionalFormatting sqref="P6:P105">
    <cfRule type="expression" dxfId="30" priority="31">
      <formula>P6=1</formula>
    </cfRule>
    <cfRule type="expression" dxfId="29" priority="39">
      <formula>P6=5</formula>
    </cfRule>
    <cfRule type="expression" dxfId="28" priority="33">
      <formula>P6=2</formula>
    </cfRule>
    <cfRule type="expression" dxfId="27" priority="35">
      <formula>P6=3</formula>
    </cfRule>
    <cfRule type="expression" dxfId="26" priority="37">
      <formula>P6=4</formula>
    </cfRule>
  </conditionalFormatting>
  <conditionalFormatting sqref="Q6:Q105">
    <cfRule type="expression" dxfId="25" priority="36">
      <formula>P6=3</formula>
    </cfRule>
    <cfRule type="expression" dxfId="24" priority="34">
      <formula>P6=2</formula>
    </cfRule>
    <cfRule type="expression" dxfId="23" priority="38">
      <formula>P6=4</formula>
    </cfRule>
    <cfRule type="expression" dxfId="22" priority="32">
      <formula>P6=1</formula>
    </cfRule>
    <cfRule type="expression" dxfId="21" priority="40">
      <formula>P6=5</formula>
    </cfRule>
  </conditionalFormatting>
  <conditionalFormatting sqref="R6:R105">
    <cfRule type="expression" dxfId="20" priority="41">
      <formula>R6=1</formula>
    </cfRule>
    <cfRule type="expression" dxfId="19" priority="43">
      <formula>R6=2</formula>
    </cfRule>
    <cfRule type="expression" dxfId="18" priority="45">
      <formula>R6=3</formula>
    </cfRule>
    <cfRule type="expression" dxfId="17" priority="47">
      <formula>R6=4</formula>
    </cfRule>
    <cfRule type="expression" dxfId="16" priority="49">
      <formula>R6=5</formula>
    </cfRule>
  </conditionalFormatting>
  <conditionalFormatting sqref="S6:S105">
    <cfRule type="expression" dxfId="15" priority="42">
      <formula>R6=1</formula>
    </cfRule>
    <cfRule type="expression" dxfId="14" priority="44">
      <formula>R6=2</formula>
    </cfRule>
    <cfRule type="expression" dxfId="13" priority="46">
      <formula>R6=3</formula>
    </cfRule>
    <cfRule type="expression" dxfId="12" priority="48">
      <formula>R6=4</formula>
    </cfRule>
    <cfRule type="expression" dxfId="11" priority="50">
      <formula>R6=5</formula>
    </cfRule>
  </conditionalFormatting>
  <conditionalFormatting sqref="T6:T105">
    <cfRule type="expression" dxfId="10" priority="51">
      <formula>T6=1</formula>
    </cfRule>
    <cfRule type="expression" dxfId="9" priority="53">
      <formula>T6=2</formula>
    </cfRule>
    <cfRule type="expression" dxfId="8" priority="55">
      <formula>T6=3</formula>
    </cfRule>
    <cfRule type="expression" dxfId="7" priority="57">
      <formula>T6=4</formula>
    </cfRule>
    <cfRule type="expression" dxfId="6" priority="59">
      <formula>T6=5</formula>
    </cfRule>
  </conditionalFormatting>
  <conditionalFormatting sqref="U6:U105">
    <cfRule type="expression" dxfId="5" priority="52">
      <formula>T6=1</formula>
    </cfRule>
    <cfRule type="expression" dxfId="4" priority="54">
      <formula>T6=2</formula>
    </cfRule>
    <cfRule type="expression" dxfId="3" priority="56">
      <formula>T6=3</formula>
    </cfRule>
    <cfRule type="expression" dxfId="2" priority="58">
      <formula>T6=4</formula>
    </cfRule>
    <cfRule type="expression" dxfId="1" priority="60">
      <formula>T6=5</formula>
    </cfRule>
  </conditionalFormatting>
  <conditionalFormatting sqref="V6:X105">
    <cfRule type="expression" dxfId="0" priority="61">
      <formula>V6&lt;&gt;""</formula>
    </cfRule>
  </conditionalFormatting>
  <dataValidations count="1">
    <dataValidation type="list" allowBlank="1" sqref="J6:J105 T6:T105 R6:R105 P6:P105 N6:N105 L6:L105" xr:uid="{00000000-0002-0000-0400-000000000000}">
      <formula1>"1,2,3,4,5"</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dimension ref="A1:N222"/>
  <sheetViews>
    <sheetView showGridLines="0" workbookViewId="0">
      <pane xSplit="4" ySplit="3" topLeftCell="E4" activePane="bottomRight" state="frozen"/>
      <selection pane="topRight"/>
      <selection pane="bottomLeft"/>
      <selection pane="bottomRight"/>
    </sheetView>
  </sheetViews>
  <sheetFormatPr defaultRowHeight="15" x14ac:dyDescent="0.25"/>
  <cols>
    <col min="1" max="1" width="14" customWidth="1"/>
    <col min="2" max="2" width="60" customWidth="1"/>
    <col min="3" max="3" width="13" customWidth="1"/>
    <col min="4" max="4" width="18" customWidth="1"/>
    <col min="5" max="14" width="22" customWidth="1"/>
  </cols>
  <sheetData>
    <row r="1" spans="1:14" ht="33.950000000000003" customHeight="1" x14ac:dyDescent="0.25">
      <c r="A1" s="103" t="s">
        <v>5</v>
      </c>
      <c r="B1" s="85"/>
      <c r="C1" s="85"/>
      <c r="D1" s="85"/>
      <c r="E1" s="104"/>
      <c r="F1" s="85"/>
      <c r="G1" s="85"/>
      <c r="H1" s="85"/>
      <c r="I1" s="85"/>
      <c r="J1" s="85"/>
      <c r="K1" s="85"/>
      <c r="L1" s="85"/>
      <c r="M1" s="85"/>
      <c r="N1" s="85"/>
    </row>
    <row r="2" spans="1:14" ht="36" customHeight="1" x14ac:dyDescent="0.25">
      <c r="A2" s="5" t="s">
        <v>6</v>
      </c>
      <c r="B2" s="5" t="s">
        <v>7</v>
      </c>
      <c r="C2" s="5" t="s">
        <v>8</v>
      </c>
      <c r="D2" s="5" t="s">
        <v>9</v>
      </c>
      <c r="E2" s="26"/>
      <c r="F2" s="27"/>
      <c r="G2" s="27"/>
      <c r="H2" s="27"/>
      <c r="I2" s="27"/>
      <c r="J2" s="27"/>
      <c r="K2" s="27"/>
      <c r="L2" s="27"/>
      <c r="M2" s="27"/>
      <c r="N2" s="27"/>
    </row>
    <row r="3" spans="1:14" ht="27.95" customHeight="1" x14ac:dyDescent="0.25">
      <c r="A3" s="28"/>
      <c r="B3" s="28"/>
      <c r="C3" s="28"/>
      <c r="D3" s="28"/>
      <c r="E3" s="29"/>
      <c r="F3" s="30"/>
      <c r="G3" s="30"/>
      <c r="H3" s="30"/>
      <c r="I3" s="30"/>
      <c r="J3" s="30"/>
      <c r="K3" s="30"/>
      <c r="L3" s="30"/>
      <c r="M3" s="30"/>
      <c r="N3" s="30"/>
    </row>
    <row r="4" spans="1:14" ht="30" customHeight="1" x14ac:dyDescent="0.25">
      <c r="A4" s="31" t="s">
        <v>10</v>
      </c>
      <c r="B4" s="32" t="s">
        <v>11</v>
      </c>
      <c r="C4" s="31" t="s">
        <v>12</v>
      </c>
      <c r="D4" s="33"/>
      <c r="E4" s="34"/>
      <c r="F4" s="34"/>
      <c r="G4" s="34"/>
      <c r="H4" s="34"/>
      <c r="I4" s="34"/>
      <c r="J4" s="34"/>
      <c r="K4" s="34"/>
      <c r="L4" s="34"/>
      <c r="M4" s="34"/>
      <c r="N4" s="34"/>
    </row>
    <row r="5" spans="1:14" ht="30" customHeight="1" x14ac:dyDescent="0.25">
      <c r="A5" s="35" t="s">
        <v>13</v>
      </c>
      <c r="B5" s="36" t="s">
        <v>14</v>
      </c>
      <c r="C5" s="35" t="s">
        <v>15</v>
      </c>
      <c r="D5" s="37"/>
      <c r="E5" s="38"/>
      <c r="F5" s="38"/>
      <c r="G5" s="38"/>
      <c r="H5" s="38"/>
      <c r="I5" s="38"/>
      <c r="J5" s="38"/>
      <c r="K5" s="38"/>
      <c r="L5" s="38"/>
      <c r="M5" s="38"/>
      <c r="N5" s="38"/>
    </row>
    <row r="6" spans="1:14" ht="30" customHeight="1" x14ac:dyDescent="0.25">
      <c r="A6" s="39" t="s">
        <v>16</v>
      </c>
      <c r="B6" s="32" t="s">
        <v>17</v>
      </c>
      <c r="C6" s="39" t="s">
        <v>18</v>
      </c>
      <c r="D6" s="33"/>
      <c r="E6" s="34"/>
      <c r="F6" s="34"/>
      <c r="G6" s="34"/>
      <c r="H6" s="34"/>
      <c r="I6" s="34"/>
      <c r="J6" s="34"/>
      <c r="K6" s="34"/>
      <c r="L6" s="34"/>
      <c r="M6" s="34"/>
      <c r="N6" s="34"/>
    </row>
    <row r="7" spans="1:14" ht="30" customHeight="1" x14ac:dyDescent="0.25">
      <c r="A7" s="31" t="s">
        <v>19</v>
      </c>
      <c r="B7" s="36" t="s">
        <v>20</v>
      </c>
      <c r="C7" s="31" t="s">
        <v>12</v>
      </c>
      <c r="D7" s="37"/>
      <c r="E7" s="38"/>
      <c r="F7" s="38"/>
      <c r="G7" s="38"/>
      <c r="H7" s="38"/>
      <c r="I7" s="38"/>
      <c r="J7" s="38"/>
      <c r="K7" s="38"/>
      <c r="L7" s="38"/>
      <c r="M7" s="38"/>
      <c r="N7" s="38"/>
    </row>
    <row r="8" spans="1:14" ht="30" customHeight="1" x14ac:dyDescent="0.25">
      <c r="A8" s="31" t="s">
        <v>21</v>
      </c>
      <c r="B8" s="32" t="s">
        <v>22</v>
      </c>
      <c r="C8" s="31" t="s">
        <v>12</v>
      </c>
      <c r="D8" s="33"/>
      <c r="E8" s="34"/>
      <c r="F8" s="34"/>
      <c r="G8" s="34"/>
      <c r="H8" s="34"/>
      <c r="I8" s="34"/>
      <c r="J8" s="34"/>
      <c r="K8" s="34"/>
      <c r="L8" s="34"/>
      <c r="M8" s="34"/>
      <c r="N8" s="34"/>
    </row>
    <row r="9" spans="1:14" ht="30" customHeight="1" x14ac:dyDescent="0.25">
      <c r="A9" s="31" t="s">
        <v>23</v>
      </c>
      <c r="B9" s="36" t="s">
        <v>24</v>
      </c>
      <c r="C9" s="31" t="s">
        <v>12</v>
      </c>
      <c r="D9" s="37"/>
      <c r="E9" s="38"/>
      <c r="F9" s="38"/>
      <c r="G9" s="38"/>
      <c r="H9" s="38"/>
      <c r="I9" s="38"/>
      <c r="J9" s="38"/>
      <c r="K9" s="38"/>
      <c r="L9" s="38"/>
      <c r="M9" s="38"/>
      <c r="N9" s="38"/>
    </row>
    <row r="10" spans="1:14" ht="30" customHeight="1" x14ac:dyDescent="0.25">
      <c r="A10" s="35" t="s">
        <v>25</v>
      </c>
      <c r="B10" s="32" t="s">
        <v>26</v>
      </c>
      <c r="C10" s="35" t="s">
        <v>15</v>
      </c>
      <c r="D10" s="33"/>
      <c r="E10" s="34"/>
      <c r="F10" s="34"/>
      <c r="G10" s="34"/>
      <c r="H10" s="34"/>
      <c r="I10" s="34"/>
      <c r="J10" s="34"/>
      <c r="K10" s="34"/>
      <c r="L10" s="34"/>
      <c r="M10" s="34"/>
      <c r="N10" s="34"/>
    </row>
    <row r="11" spans="1:14" ht="30" customHeight="1" x14ac:dyDescent="0.25">
      <c r="A11" s="35" t="s">
        <v>27</v>
      </c>
      <c r="B11" s="36" t="s">
        <v>28</v>
      </c>
      <c r="C11" s="35" t="s">
        <v>15</v>
      </c>
      <c r="D11" s="37"/>
      <c r="E11" s="38"/>
      <c r="F11" s="38"/>
      <c r="G11" s="38"/>
      <c r="H11" s="38"/>
      <c r="I11" s="38"/>
      <c r="J11" s="38"/>
      <c r="K11" s="38"/>
      <c r="L11" s="38"/>
      <c r="M11" s="38"/>
      <c r="N11" s="38"/>
    </row>
    <row r="12" spans="1:14" ht="30" customHeight="1" x14ac:dyDescent="0.25">
      <c r="A12" s="31" t="s">
        <v>29</v>
      </c>
      <c r="B12" s="32" t="s">
        <v>30</v>
      </c>
      <c r="C12" s="31" t="s">
        <v>12</v>
      </c>
      <c r="D12" s="33"/>
      <c r="E12" s="34"/>
      <c r="F12" s="34"/>
      <c r="G12" s="34"/>
      <c r="H12" s="34"/>
      <c r="I12" s="34"/>
      <c r="J12" s="34"/>
      <c r="K12" s="34"/>
      <c r="L12" s="34"/>
      <c r="M12" s="34"/>
      <c r="N12" s="34"/>
    </row>
    <row r="13" spans="1:14" ht="30" customHeight="1" x14ac:dyDescent="0.25">
      <c r="A13" s="31" t="s">
        <v>31</v>
      </c>
      <c r="B13" s="36" t="s">
        <v>32</v>
      </c>
      <c r="C13" s="31" t="s">
        <v>12</v>
      </c>
      <c r="D13" s="37"/>
      <c r="E13" s="38"/>
      <c r="F13" s="38"/>
      <c r="G13" s="38"/>
      <c r="H13" s="38"/>
      <c r="I13" s="38"/>
      <c r="J13" s="38"/>
      <c r="K13" s="38"/>
      <c r="L13" s="38"/>
      <c r="M13" s="38"/>
      <c r="N13" s="38"/>
    </row>
    <row r="14" spans="1:14" ht="30" customHeight="1" x14ac:dyDescent="0.25">
      <c r="A14" s="31" t="s">
        <v>33</v>
      </c>
      <c r="B14" s="32" t="s">
        <v>34</v>
      </c>
      <c r="C14" s="31" t="s">
        <v>12</v>
      </c>
      <c r="D14" s="33"/>
      <c r="E14" s="34"/>
      <c r="F14" s="34"/>
      <c r="G14" s="34"/>
      <c r="H14" s="34"/>
      <c r="I14" s="34"/>
      <c r="J14" s="34"/>
      <c r="K14" s="34"/>
      <c r="L14" s="34"/>
      <c r="M14" s="34"/>
      <c r="N14" s="34"/>
    </row>
    <row r="15" spans="1:14" ht="30" customHeight="1" x14ac:dyDescent="0.25">
      <c r="A15" s="39" t="s">
        <v>35</v>
      </c>
      <c r="B15" s="36" t="s">
        <v>36</v>
      </c>
      <c r="C15" s="39" t="s">
        <v>18</v>
      </c>
      <c r="D15" s="37"/>
      <c r="E15" s="38"/>
      <c r="F15" s="38"/>
      <c r="G15" s="38"/>
      <c r="H15" s="38"/>
      <c r="I15" s="38"/>
      <c r="J15" s="38"/>
      <c r="K15" s="38"/>
      <c r="L15" s="38"/>
      <c r="M15" s="38"/>
      <c r="N15" s="38"/>
    </row>
    <row r="16" spans="1:14" ht="30" customHeight="1" x14ac:dyDescent="0.25">
      <c r="A16" s="31" t="s">
        <v>37</v>
      </c>
      <c r="B16" s="32" t="s">
        <v>38</v>
      </c>
      <c r="C16" s="31" t="s">
        <v>12</v>
      </c>
      <c r="D16" s="33"/>
      <c r="E16" s="34"/>
      <c r="F16" s="34"/>
      <c r="G16" s="34"/>
      <c r="H16" s="34"/>
      <c r="I16" s="34"/>
      <c r="J16" s="34"/>
      <c r="K16" s="34"/>
      <c r="L16" s="34"/>
      <c r="M16" s="34"/>
      <c r="N16" s="34"/>
    </row>
    <row r="17" spans="1:14" ht="30" customHeight="1" x14ac:dyDescent="0.25">
      <c r="A17" s="31" t="s">
        <v>39</v>
      </c>
      <c r="B17" s="36" t="s">
        <v>40</v>
      </c>
      <c r="C17" s="31" t="s">
        <v>12</v>
      </c>
      <c r="D17" s="37"/>
      <c r="E17" s="38"/>
      <c r="F17" s="38"/>
      <c r="G17" s="38"/>
      <c r="H17" s="38"/>
      <c r="I17" s="38"/>
      <c r="J17" s="38"/>
      <c r="K17" s="38"/>
      <c r="L17" s="38"/>
      <c r="M17" s="38"/>
      <c r="N17" s="38"/>
    </row>
    <row r="18" spans="1:14" ht="30" customHeight="1" x14ac:dyDescent="0.25">
      <c r="A18" s="31" t="s">
        <v>41</v>
      </c>
      <c r="B18" s="32" t="s">
        <v>42</v>
      </c>
      <c r="C18" s="31" t="s">
        <v>12</v>
      </c>
      <c r="D18" s="33"/>
      <c r="E18" s="34"/>
      <c r="F18" s="34"/>
      <c r="G18" s="34"/>
      <c r="H18" s="34"/>
      <c r="I18" s="34"/>
      <c r="J18" s="34"/>
      <c r="K18" s="34"/>
      <c r="L18" s="34"/>
      <c r="M18" s="34"/>
      <c r="N18" s="34"/>
    </row>
    <row r="19" spans="1:14" ht="30" customHeight="1" x14ac:dyDescent="0.25">
      <c r="A19" s="35" t="s">
        <v>43</v>
      </c>
      <c r="B19" s="36" t="s">
        <v>44</v>
      </c>
      <c r="C19" s="35" t="s">
        <v>15</v>
      </c>
      <c r="D19" s="37"/>
      <c r="E19" s="38"/>
      <c r="F19" s="38"/>
      <c r="G19" s="38"/>
      <c r="H19" s="38"/>
      <c r="I19" s="38"/>
      <c r="J19" s="38"/>
      <c r="K19" s="38"/>
      <c r="L19" s="38"/>
      <c r="M19" s="38"/>
      <c r="N19" s="38"/>
    </row>
    <row r="20" spans="1:14" ht="30" customHeight="1" x14ac:dyDescent="0.25">
      <c r="A20" s="31" t="s">
        <v>45</v>
      </c>
      <c r="B20" s="32" t="s">
        <v>46</v>
      </c>
      <c r="C20" s="31" t="s">
        <v>12</v>
      </c>
      <c r="D20" s="33" t="s">
        <v>47</v>
      </c>
      <c r="E20" s="34"/>
      <c r="F20" s="34"/>
      <c r="G20" s="34"/>
      <c r="H20" s="34"/>
      <c r="I20" s="34"/>
      <c r="J20" s="34"/>
      <c r="K20" s="34"/>
      <c r="L20" s="34"/>
      <c r="M20" s="34"/>
      <c r="N20" s="34"/>
    </row>
    <row r="21" spans="1:14" ht="30" customHeight="1" x14ac:dyDescent="0.25">
      <c r="A21" s="35" t="s">
        <v>48</v>
      </c>
      <c r="B21" s="36" t="s">
        <v>49</v>
      </c>
      <c r="C21" s="35" t="s">
        <v>15</v>
      </c>
      <c r="D21" s="37"/>
      <c r="E21" s="38"/>
      <c r="F21" s="38"/>
      <c r="G21" s="38"/>
      <c r="H21" s="38"/>
      <c r="I21" s="38"/>
      <c r="J21" s="38"/>
      <c r="K21" s="38"/>
      <c r="L21" s="38"/>
      <c r="M21" s="38"/>
      <c r="N21" s="38"/>
    </row>
    <row r="22" spans="1:14" ht="30" customHeight="1" x14ac:dyDescent="0.25">
      <c r="A22" s="31" t="s">
        <v>50</v>
      </c>
      <c r="B22" s="32" t="s">
        <v>51</v>
      </c>
      <c r="C22" s="31" t="s">
        <v>12</v>
      </c>
      <c r="D22" s="33"/>
      <c r="E22" s="34"/>
      <c r="F22" s="34"/>
      <c r="G22" s="34"/>
      <c r="H22" s="34"/>
      <c r="I22" s="34"/>
      <c r="J22" s="34"/>
      <c r="K22" s="34"/>
      <c r="L22" s="34"/>
      <c r="M22" s="34"/>
      <c r="N22" s="34"/>
    </row>
    <row r="23" spans="1:14" ht="30" customHeight="1" x14ac:dyDescent="0.25">
      <c r="A23" s="31" t="s">
        <v>52</v>
      </c>
      <c r="B23" s="36" t="s">
        <v>53</v>
      </c>
      <c r="C23" s="31" t="s">
        <v>12</v>
      </c>
      <c r="D23" s="37"/>
      <c r="E23" s="38"/>
      <c r="F23" s="38"/>
      <c r="G23" s="38"/>
      <c r="H23" s="38"/>
      <c r="I23" s="38"/>
      <c r="J23" s="38"/>
      <c r="K23" s="38"/>
      <c r="L23" s="38"/>
      <c r="M23" s="38"/>
      <c r="N23" s="38"/>
    </row>
    <row r="24" spans="1:14" ht="30" customHeight="1" x14ac:dyDescent="0.25">
      <c r="A24" s="39" t="s">
        <v>54</v>
      </c>
      <c r="B24" s="32" t="s">
        <v>55</v>
      </c>
      <c r="C24" s="39" t="s">
        <v>18</v>
      </c>
      <c r="D24" s="33"/>
      <c r="E24" s="34"/>
      <c r="F24" s="34"/>
      <c r="G24" s="34"/>
      <c r="H24" s="34"/>
      <c r="I24" s="34"/>
      <c r="J24" s="34"/>
      <c r="K24" s="34"/>
      <c r="L24" s="34"/>
      <c r="M24" s="34"/>
      <c r="N24" s="34"/>
    </row>
    <row r="25" spans="1:14" ht="30" customHeight="1" x14ac:dyDescent="0.25">
      <c r="A25" s="31" t="s">
        <v>56</v>
      </c>
      <c r="B25" s="36" t="s">
        <v>57</v>
      </c>
      <c r="C25" s="31" t="s">
        <v>12</v>
      </c>
      <c r="D25" s="37"/>
      <c r="E25" s="38"/>
      <c r="F25" s="38"/>
      <c r="G25" s="38"/>
      <c r="H25" s="38"/>
      <c r="I25" s="38"/>
      <c r="J25" s="38"/>
      <c r="K25" s="38"/>
      <c r="L25" s="38"/>
      <c r="M25" s="38"/>
      <c r="N25" s="38"/>
    </row>
    <row r="26" spans="1:14" ht="30" customHeight="1" x14ac:dyDescent="0.25">
      <c r="A26" s="39" t="s">
        <v>58</v>
      </c>
      <c r="B26" s="32" t="s">
        <v>59</v>
      </c>
      <c r="C26" s="39" t="s">
        <v>18</v>
      </c>
      <c r="D26" s="33"/>
      <c r="E26" s="34"/>
      <c r="F26" s="34"/>
      <c r="G26" s="34"/>
      <c r="H26" s="34"/>
      <c r="I26" s="34"/>
      <c r="J26" s="34"/>
      <c r="K26" s="34"/>
      <c r="L26" s="34"/>
      <c r="M26" s="34"/>
      <c r="N26" s="34"/>
    </row>
    <row r="27" spans="1:14" ht="30" customHeight="1" x14ac:dyDescent="0.25">
      <c r="A27" s="31" t="s">
        <v>60</v>
      </c>
      <c r="B27" s="36" t="s">
        <v>61</v>
      </c>
      <c r="C27" s="31" t="s">
        <v>12</v>
      </c>
      <c r="D27" s="37"/>
      <c r="E27" s="38"/>
      <c r="F27" s="38"/>
      <c r="G27" s="38"/>
      <c r="H27" s="38"/>
      <c r="I27" s="38"/>
      <c r="J27" s="38"/>
      <c r="K27" s="38"/>
      <c r="L27" s="38"/>
      <c r="M27" s="38"/>
      <c r="N27" s="38"/>
    </row>
    <row r="28" spans="1:14" ht="30" customHeight="1" x14ac:dyDescent="0.25">
      <c r="A28" s="35" t="s">
        <v>62</v>
      </c>
      <c r="B28" s="32" t="s">
        <v>63</v>
      </c>
      <c r="C28" s="35" t="s">
        <v>15</v>
      </c>
      <c r="D28" s="33"/>
      <c r="E28" s="34"/>
      <c r="F28" s="34"/>
      <c r="G28" s="34"/>
      <c r="H28" s="34"/>
      <c r="I28" s="34"/>
      <c r="J28" s="34"/>
      <c r="K28" s="34"/>
      <c r="L28" s="34"/>
      <c r="M28" s="34"/>
      <c r="N28" s="34"/>
    </row>
    <row r="29" spans="1:14" ht="30" customHeight="1" x14ac:dyDescent="0.25">
      <c r="A29" s="35" t="s">
        <v>64</v>
      </c>
      <c r="B29" s="36" t="s">
        <v>65</v>
      </c>
      <c r="C29" s="35" t="s">
        <v>15</v>
      </c>
      <c r="D29" s="37"/>
      <c r="E29" s="38"/>
      <c r="F29" s="38"/>
      <c r="G29" s="38"/>
      <c r="H29" s="38"/>
      <c r="I29" s="38"/>
      <c r="J29" s="38"/>
      <c r="K29" s="38"/>
      <c r="L29" s="38"/>
      <c r="M29" s="38"/>
      <c r="N29" s="38"/>
    </row>
    <row r="30" spans="1:14" ht="30" customHeight="1" x14ac:dyDescent="0.25">
      <c r="A30" s="35" t="s">
        <v>66</v>
      </c>
      <c r="B30" s="32" t="s">
        <v>67</v>
      </c>
      <c r="C30" s="35" t="s">
        <v>15</v>
      </c>
      <c r="D30" s="33"/>
      <c r="E30" s="34"/>
      <c r="F30" s="34"/>
      <c r="G30" s="34"/>
      <c r="H30" s="34"/>
      <c r="I30" s="34"/>
      <c r="J30" s="34"/>
      <c r="K30" s="34"/>
      <c r="L30" s="34"/>
      <c r="M30" s="34"/>
      <c r="N30" s="34"/>
    </row>
    <row r="31" spans="1:14" ht="30" customHeight="1" x14ac:dyDescent="0.25">
      <c r="A31" s="31" t="s">
        <v>68</v>
      </c>
      <c r="B31" s="36" t="s">
        <v>69</v>
      </c>
      <c r="C31" s="31" t="s">
        <v>12</v>
      </c>
      <c r="D31" s="37"/>
      <c r="E31" s="38"/>
      <c r="F31" s="38"/>
      <c r="G31" s="38"/>
      <c r="H31" s="38"/>
      <c r="I31" s="38"/>
      <c r="J31" s="38"/>
      <c r="K31" s="38"/>
      <c r="L31" s="38"/>
      <c r="M31" s="38"/>
      <c r="N31" s="38"/>
    </row>
    <row r="32" spans="1:14" ht="30" customHeight="1" x14ac:dyDescent="0.25">
      <c r="A32" s="35" t="s">
        <v>70</v>
      </c>
      <c r="B32" s="32" t="s">
        <v>71</v>
      </c>
      <c r="C32" s="35" t="s">
        <v>15</v>
      </c>
      <c r="D32" s="33"/>
      <c r="E32" s="34"/>
      <c r="F32" s="34"/>
      <c r="G32" s="34"/>
      <c r="H32" s="34"/>
      <c r="I32" s="34"/>
      <c r="J32" s="34"/>
      <c r="K32" s="34"/>
      <c r="L32" s="34"/>
      <c r="M32" s="34"/>
      <c r="N32" s="34"/>
    </row>
    <row r="33" spans="1:14" ht="30" customHeight="1" x14ac:dyDescent="0.25">
      <c r="A33" s="31" t="s">
        <v>72</v>
      </c>
      <c r="B33" s="36" t="s">
        <v>73</v>
      </c>
      <c r="C33" s="31" t="s">
        <v>12</v>
      </c>
      <c r="D33" s="37"/>
      <c r="E33" s="38"/>
      <c r="F33" s="38"/>
      <c r="G33" s="38"/>
      <c r="H33" s="38"/>
      <c r="I33" s="38"/>
      <c r="J33" s="38"/>
      <c r="K33" s="38"/>
      <c r="L33" s="38"/>
      <c r="M33" s="38"/>
      <c r="N33" s="38"/>
    </row>
    <row r="34" spans="1:14" ht="30" customHeight="1" x14ac:dyDescent="0.25">
      <c r="A34" s="35" t="s">
        <v>74</v>
      </c>
      <c r="B34" s="32" t="s">
        <v>75</v>
      </c>
      <c r="C34" s="35" t="s">
        <v>15</v>
      </c>
      <c r="D34" s="33" t="s">
        <v>47</v>
      </c>
      <c r="E34" s="34"/>
      <c r="F34" s="34"/>
      <c r="G34" s="34"/>
      <c r="H34" s="34"/>
      <c r="I34" s="34"/>
      <c r="J34" s="34"/>
      <c r="K34" s="34"/>
      <c r="L34" s="34"/>
      <c r="M34" s="34"/>
      <c r="N34" s="34"/>
    </row>
    <row r="35" spans="1:14" ht="30" customHeight="1" x14ac:dyDescent="0.25">
      <c r="A35" s="35" t="s">
        <v>76</v>
      </c>
      <c r="B35" s="36" t="s">
        <v>77</v>
      </c>
      <c r="C35" s="35" t="s">
        <v>15</v>
      </c>
      <c r="D35" s="37" t="s">
        <v>47</v>
      </c>
      <c r="E35" s="38"/>
      <c r="F35" s="38"/>
      <c r="G35" s="38"/>
      <c r="H35" s="38"/>
      <c r="I35" s="38"/>
      <c r="J35" s="38"/>
      <c r="K35" s="38"/>
      <c r="L35" s="38"/>
      <c r="M35" s="38"/>
      <c r="N35" s="38"/>
    </row>
    <row r="36" spans="1:14" ht="30" customHeight="1" x14ac:dyDescent="0.25">
      <c r="A36" s="35" t="s">
        <v>78</v>
      </c>
      <c r="B36" s="32" t="s">
        <v>79</v>
      </c>
      <c r="C36" s="35" t="s">
        <v>15</v>
      </c>
      <c r="D36" s="33"/>
      <c r="E36" s="34"/>
      <c r="F36" s="34"/>
      <c r="G36" s="34"/>
      <c r="H36" s="34"/>
      <c r="I36" s="34"/>
      <c r="J36" s="34"/>
      <c r="K36" s="34"/>
      <c r="L36" s="34"/>
      <c r="M36" s="34"/>
      <c r="N36" s="34"/>
    </row>
    <row r="37" spans="1:14" ht="30" customHeight="1" x14ac:dyDescent="0.25">
      <c r="A37" s="31" t="s">
        <v>80</v>
      </c>
      <c r="B37" s="36" t="s">
        <v>81</v>
      </c>
      <c r="C37" s="31" t="s">
        <v>12</v>
      </c>
      <c r="D37" s="37"/>
      <c r="E37" s="38"/>
      <c r="F37" s="38"/>
      <c r="G37" s="38"/>
      <c r="H37" s="38"/>
      <c r="I37" s="38"/>
      <c r="J37" s="38"/>
      <c r="K37" s="38"/>
      <c r="L37" s="38"/>
      <c r="M37" s="38"/>
      <c r="N37" s="38"/>
    </row>
    <row r="38" spans="1:14" ht="30" customHeight="1" x14ac:dyDescent="0.25">
      <c r="A38" s="35" t="s">
        <v>82</v>
      </c>
      <c r="B38" s="32" t="s">
        <v>83</v>
      </c>
      <c r="C38" s="35" t="s">
        <v>15</v>
      </c>
      <c r="D38" s="33"/>
      <c r="E38" s="34"/>
      <c r="F38" s="34"/>
      <c r="G38" s="34"/>
      <c r="H38" s="34"/>
      <c r="I38" s="34"/>
      <c r="J38" s="34"/>
      <c r="K38" s="34"/>
      <c r="L38" s="34"/>
      <c r="M38" s="34"/>
      <c r="N38" s="34"/>
    </row>
    <row r="39" spans="1:14" ht="30" customHeight="1" x14ac:dyDescent="0.25">
      <c r="A39" s="35" t="s">
        <v>84</v>
      </c>
      <c r="B39" s="36" t="s">
        <v>85</v>
      </c>
      <c r="C39" s="35" t="s">
        <v>15</v>
      </c>
      <c r="D39" s="37"/>
      <c r="E39" s="38"/>
      <c r="F39" s="38"/>
      <c r="G39" s="38"/>
      <c r="H39" s="38"/>
      <c r="I39" s="38"/>
      <c r="J39" s="38"/>
      <c r="K39" s="38"/>
      <c r="L39" s="38"/>
      <c r="M39" s="38"/>
      <c r="N39" s="38"/>
    </row>
    <row r="40" spans="1:14" ht="30" customHeight="1" x14ac:dyDescent="0.25">
      <c r="A40" s="35" t="s">
        <v>86</v>
      </c>
      <c r="B40" s="32" t="s">
        <v>87</v>
      </c>
      <c r="C40" s="35" t="s">
        <v>15</v>
      </c>
      <c r="D40" s="33"/>
      <c r="E40" s="34"/>
      <c r="F40" s="34"/>
      <c r="G40" s="34"/>
      <c r="H40" s="34"/>
      <c r="I40" s="34"/>
      <c r="J40" s="34"/>
      <c r="K40" s="34"/>
      <c r="L40" s="34"/>
      <c r="M40" s="34"/>
      <c r="N40" s="34"/>
    </row>
    <row r="41" spans="1:14" ht="30" customHeight="1" x14ac:dyDescent="0.25">
      <c r="A41" s="31" t="s">
        <v>88</v>
      </c>
      <c r="B41" s="36" t="s">
        <v>89</v>
      </c>
      <c r="C41" s="31" t="s">
        <v>12</v>
      </c>
      <c r="D41" s="37"/>
      <c r="E41" s="38"/>
      <c r="F41" s="38"/>
      <c r="G41" s="38"/>
      <c r="H41" s="38"/>
      <c r="I41" s="38"/>
      <c r="J41" s="38"/>
      <c r="K41" s="38"/>
      <c r="L41" s="38"/>
      <c r="M41" s="38"/>
      <c r="N41" s="38"/>
    </row>
    <row r="42" spans="1:14" ht="30" customHeight="1" x14ac:dyDescent="0.25">
      <c r="A42" s="35" t="s">
        <v>90</v>
      </c>
      <c r="B42" s="32" t="s">
        <v>91</v>
      </c>
      <c r="C42" s="35" t="s">
        <v>15</v>
      </c>
      <c r="D42" s="33"/>
      <c r="E42" s="34"/>
      <c r="F42" s="34"/>
      <c r="G42" s="34"/>
      <c r="H42" s="34"/>
      <c r="I42" s="34"/>
      <c r="J42" s="34"/>
      <c r="K42" s="34"/>
      <c r="L42" s="34"/>
      <c r="M42" s="34"/>
      <c r="N42" s="34"/>
    </row>
    <row r="43" spans="1:14" ht="30" customHeight="1" x14ac:dyDescent="0.25">
      <c r="A43" s="35" t="s">
        <v>92</v>
      </c>
      <c r="B43" s="36" t="s">
        <v>93</v>
      </c>
      <c r="C43" s="35" t="s">
        <v>15</v>
      </c>
      <c r="D43" s="37"/>
      <c r="E43" s="38"/>
      <c r="F43" s="38"/>
      <c r="G43" s="38"/>
      <c r="H43" s="38"/>
      <c r="I43" s="38"/>
      <c r="J43" s="38"/>
      <c r="K43" s="38"/>
      <c r="L43" s="38"/>
      <c r="M43" s="38"/>
      <c r="N43" s="38"/>
    </row>
    <row r="44" spans="1:14" ht="30" customHeight="1" x14ac:dyDescent="0.25">
      <c r="A44" s="39" t="s">
        <v>94</v>
      </c>
      <c r="B44" s="32" t="s">
        <v>95</v>
      </c>
      <c r="C44" s="39" t="s">
        <v>18</v>
      </c>
      <c r="D44" s="33"/>
      <c r="E44" s="34"/>
      <c r="F44" s="34"/>
      <c r="G44" s="34"/>
      <c r="H44" s="34"/>
      <c r="I44" s="34"/>
      <c r="J44" s="34"/>
      <c r="K44" s="34"/>
      <c r="L44" s="34"/>
      <c r="M44" s="34"/>
      <c r="N44" s="34"/>
    </row>
    <row r="45" spans="1:14" ht="30" customHeight="1" x14ac:dyDescent="0.25">
      <c r="A45" s="31" t="s">
        <v>96</v>
      </c>
      <c r="B45" s="36" t="s">
        <v>97</v>
      </c>
      <c r="C45" s="31" t="s">
        <v>12</v>
      </c>
      <c r="D45" s="37"/>
      <c r="E45" s="38"/>
      <c r="F45" s="38"/>
      <c r="G45" s="38"/>
      <c r="H45" s="38"/>
      <c r="I45" s="38"/>
      <c r="J45" s="38"/>
      <c r="K45" s="38"/>
      <c r="L45" s="38"/>
      <c r="M45" s="38"/>
      <c r="N45" s="38"/>
    </row>
    <row r="46" spans="1:14" ht="30" customHeight="1" x14ac:dyDescent="0.25">
      <c r="A46" s="31" t="s">
        <v>98</v>
      </c>
      <c r="B46" s="32" t="s">
        <v>99</v>
      </c>
      <c r="C46" s="31" t="s">
        <v>12</v>
      </c>
      <c r="D46" s="33"/>
      <c r="E46" s="34"/>
      <c r="F46" s="34"/>
      <c r="G46" s="34"/>
      <c r="H46" s="34"/>
      <c r="I46" s="34"/>
      <c r="J46" s="34"/>
      <c r="K46" s="34"/>
      <c r="L46" s="34"/>
      <c r="M46" s="34"/>
      <c r="N46" s="34"/>
    </row>
    <row r="47" spans="1:14" ht="30" customHeight="1" x14ac:dyDescent="0.25">
      <c r="A47" s="35" t="s">
        <v>100</v>
      </c>
      <c r="B47" s="36" t="s">
        <v>101</v>
      </c>
      <c r="C47" s="35" t="s">
        <v>15</v>
      </c>
      <c r="D47" s="37"/>
      <c r="E47" s="38"/>
      <c r="F47" s="38"/>
      <c r="G47" s="38"/>
      <c r="H47" s="38"/>
      <c r="I47" s="38"/>
      <c r="J47" s="38"/>
      <c r="K47" s="38"/>
      <c r="L47" s="38"/>
      <c r="M47" s="38"/>
      <c r="N47" s="38"/>
    </row>
    <row r="48" spans="1:14" ht="30" customHeight="1" x14ac:dyDescent="0.25">
      <c r="A48" s="39" t="s">
        <v>102</v>
      </c>
      <c r="B48" s="32" t="s">
        <v>103</v>
      </c>
      <c r="C48" s="39" t="s">
        <v>18</v>
      </c>
      <c r="D48" s="33"/>
      <c r="E48" s="34"/>
      <c r="F48" s="34"/>
      <c r="G48" s="34"/>
      <c r="H48" s="34"/>
      <c r="I48" s="34"/>
      <c r="J48" s="34"/>
      <c r="K48" s="34"/>
      <c r="L48" s="34"/>
      <c r="M48" s="34"/>
      <c r="N48" s="34"/>
    </row>
    <row r="49" spans="1:14" ht="30" customHeight="1" x14ac:dyDescent="0.25">
      <c r="A49" s="31" t="s">
        <v>104</v>
      </c>
      <c r="B49" s="36" t="s">
        <v>105</v>
      </c>
      <c r="C49" s="31" t="s">
        <v>12</v>
      </c>
      <c r="D49" s="37"/>
      <c r="E49" s="38"/>
      <c r="F49" s="38"/>
      <c r="G49" s="38"/>
      <c r="H49" s="38"/>
      <c r="I49" s="38"/>
      <c r="J49" s="38"/>
      <c r="K49" s="38"/>
      <c r="L49" s="38"/>
      <c r="M49" s="38"/>
      <c r="N49" s="38"/>
    </row>
    <row r="50" spans="1:14" ht="30" customHeight="1" x14ac:dyDescent="0.25">
      <c r="A50" s="31" t="s">
        <v>106</v>
      </c>
      <c r="B50" s="32" t="s">
        <v>107</v>
      </c>
      <c r="C50" s="31" t="s">
        <v>12</v>
      </c>
      <c r="D50" s="33"/>
      <c r="E50" s="34"/>
      <c r="F50" s="34"/>
      <c r="G50" s="34"/>
      <c r="H50" s="34"/>
      <c r="I50" s="34"/>
      <c r="J50" s="34"/>
      <c r="K50" s="34"/>
      <c r="L50" s="34"/>
      <c r="M50" s="34"/>
      <c r="N50" s="34"/>
    </row>
    <row r="51" spans="1:14" ht="30" customHeight="1" x14ac:dyDescent="0.25">
      <c r="A51" s="31" t="s">
        <v>108</v>
      </c>
      <c r="B51" s="36" t="s">
        <v>109</v>
      </c>
      <c r="C51" s="31" t="s">
        <v>12</v>
      </c>
      <c r="D51" s="37"/>
      <c r="E51" s="38"/>
      <c r="F51" s="38"/>
      <c r="G51" s="38"/>
      <c r="H51" s="38"/>
      <c r="I51" s="38"/>
      <c r="J51" s="38"/>
      <c r="K51" s="38"/>
      <c r="L51" s="38"/>
      <c r="M51" s="38"/>
      <c r="N51" s="38"/>
    </row>
    <row r="52" spans="1:14" ht="30" customHeight="1" x14ac:dyDescent="0.25">
      <c r="A52" s="35" t="s">
        <v>110</v>
      </c>
      <c r="B52" s="32" t="s">
        <v>111</v>
      </c>
      <c r="C52" s="35" t="s">
        <v>15</v>
      </c>
      <c r="D52" s="33"/>
      <c r="E52" s="34"/>
      <c r="F52" s="34"/>
      <c r="G52" s="34"/>
      <c r="H52" s="34"/>
      <c r="I52" s="34"/>
      <c r="J52" s="34"/>
      <c r="K52" s="34"/>
      <c r="L52" s="34"/>
      <c r="M52" s="34"/>
      <c r="N52" s="34"/>
    </row>
    <row r="53" spans="1:14" ht="30" customHeight="1" x14ac:dyDescent="0.25">
      <c r="A53" s="31" t="s">
        <v>112</v>
      </c>
      <c r="B53" s="36" t="s">
        <v>113</v>
      </c>
      <c r="C53" s="31" t="s">
        <v>12</v>
      </c>
      <c r="D53" s="37"/>
      <c r="E53" s="38"/>
      <c r="F53" s="38"/>
      <c r="G53" s="38"/>
      <c r="H53" s="38"/>
      <c r="I53" s="38"/>
      <c r="J53" s="38"/>
      <c r="K53" s="38"/>
      <c r="L53" s="38"/>
      <c r="M53" s="38"/>
      <c r="N53" s="38"/>
    </row>
    <row r="54" spans="1:14" ht="30" customHeight="1" x14ac:dyDescent="0.25">
      <c r="A54" s="35" t="s">
        <v>114</v>
      </c>
      <c r="B54" s="32" t="s">
        <v>115</v>
      </c>
      <c r="C54" s="35" t="s">
        <v>15</v>
      </c>
      <c r="D54" s="33" t="s">
        <v>47</v>
      </c>
      <c r="E54" s="34"/>
      <c r="F54" s="34"/>
      <c r="G54" s="34"/>
      <c r="H54" s="34"/>
      <c r="I54" s="34"/>
      <c r="J54" s="34"/>
      <c r="K54" s="34"/>
      <c r="L54" s="34"/>
      <c r="M54" s="34"/>
      <c r="N54" s="34"/>
    </row>
    <row r="55" spans="1:14" ht="30" customHeight="1" x14ac:dyDescent="0.25">
      <c r="A55" s="31" t="s">
        <v>116</v>
      </c>
      <c r="B55" s="36" t="s">
        <v>117</v>
      </c>
      <c r="C55" s="31" t="s">
        <v>12</v>
      </c>
      <c r="D55" s="37"/>
      <c r="E55" s="38"/>
      <c r="F55" s="38"/>
      <c r="G55" s="38"/>
      <c r="H55" s="38"/>
      <c r="I55" s="38"/>
      <c r="J55" s="38"/>
      <c r="K55" s="38"/>
      <c r="L55" s="38"/>
      <c r="M55" s="38"/>
      <c r="N55" s="38"/>
    </row>
    <row r="56" spans="1:14" ht="30" customHeight="1" x14ac:dyDescent="0.25">
      <c r="A56" s="35" t="s">
        <v>118</v>
      </c>
      <c r="B56" s="32" t="s">
        <v>119</v>
      </c>
      <c r="C56" s="35" t="s">
        <v>15</v>
      </c>
      <c r="D56" s="33"/>
      <c r="E56" s="34"/>
      <c r="F56" s="34"/>
      <c r="G56" s="34"/>
      <c r="H56" s="34"/>
      <c r="I56" s="34"/>
      <c r="J56" s="34"/>
      <c r="K56" s="34"/>
      <c r="L56" s="34"/>
      <c r="M56" s="34"/>
      <c r="N56" s="34"/>
    </row>
    <row r="57" spans="1:14" ht="30" customHeight="1" x14ac:dyDescent="0.25">
      <c r="A57" s="39" t="s">
        <v>120</v>
      </c>
      <c r="B57" s="36" t="s">
        <v>121</v>
      </c>
      <c r="C57" s="39" t="s">
        <v>18</v>
      </c>
      <c r="D57" s="37"/>
      <c r="E57" s="38"/>
      <c r="F57" s="38"/>
      <c r="G57" s="38"/>
      <c r="H57" s="38"/>
      <c r="I57" s="38"/>
      <c r="J57" s="38"/>
      <c r="K57" s="38"/>
      <c r="L57" s="38"/>
      <c r="M57" s="38"/>
      <c r="N57" s="38"/>
    </row>
    <row r="58" spans="1:14" ht="30" customHeight="1" x14ac:dyDescent="0.25">
      <c r="A58" s="39" t="s">
        <v>122</v>
      </c>
      <c r="B58" s="32" t="s">
        <v>123</v>
      </c>
      <c r="C58" s="39" t="s">
        <v>18</v>
      </c>
      <c r="D58" s="33"/>
      <c r="E58" s="34"/>
      <c r="F58" s="34"/>
      <c r="G58" s="34"/>
      <c r="H58" s="34"/>
      <c r="I58" s="34"/>
      <c r="J58" s="34"/>
      <c r="K58" s="34"/>
      <c r="L58" s="34"/>
      <c r="M58" s="34"/>
      <c r="N58" s="34"/>
    </row>
    <row r="59" spans="1:14" ht="30" customHeight="1" x14ac:dyDescent="0.25">
      <c r="A59" s="31" t="s">
        <v>124</v>
      </c>
      <c r="B59" s="36" t="s">
        <v>125</v>
      </c>
      <c r="C59" s="31" t="s">
        <v>12</v>
      </c>
      <c r="D59" s="37"/>
      <c r="E59" s="38"/>
      <c r="F59" s="38"/>
      <c r="G59" s="38"/>
      <c r="H59" s="38"/>
      <c r="I59" s="38"/>
      <c r="J59" s="38"/>
      <c r="K59" s="38"/>
      <c r="L59" s="38"/>
      <c r="M59" s="38"/>
      <c r="N59" s="38"/>
    </row>
    <row r="60" spans="1:14" ht="30" customHeight="1" x14ac:dyDescent="0.25">
      <c r="A60" s="39" t="s">
        <v>126</v>
      </c>
      <c r="B60" s="32" t="s">
        <v>127</v>
      </c>
      <c r="C60" s="39" t="s">
        <v>18</v>
      </c>
      <c r="D60" s="33" t="s">
        <v>47</v>
      </c>
      <c r="E60" s="34"/>
      <c r="F60" s="34"/>
      <c r="G60" s="34"/>
      <c r="H60" s="34"/>
      <c r="I60" s="34"/>
      <c r="J60" s="34"/>
      <c r="K60" s="34"/>
      <c r="L60" s="34"/>
      <c r="M60" s="34"/>
      <c r="N60" s="34"/>
    </row>
    <row r="61" spans="1:14" ht="30" customHeight="1" x14ac:dyDescent="0.25">
      <c r="A61" s="31" t="s">
        <v>128</v>
      </c>
      <c r="B61" s="36" t="s">
        <v>129</v>
      </c>
      <c r="C61" s="31" t="s">
        <v>12</v>
      </c>
      <c r="D61" s="37"/>
      <c r="E61" s="38"/>
      <c r="F61" s="38"/>
      <c r="G61" s="38"/>
      <c r="H61" s="38"/>
      <c r="I61" s="38"/>
      <c r="J61" s="38"/>
      <c r="K61" s="38"/>
      <c r="L61" s="38"/>
      <c r="M61" s="38"/>
      <c r="N61" s="38"/>
    </row>
    <row r="62" spans="1:14" ht="30" customHeight="1" x14ac:dyDescent="0.25">
      <c r="A62" s="31" t="s">
        <v>130</v>
      </c>
      <c r="B62" s="32" t="s">
        <v>131</v>
      </c>
      <c r="C62" s="31" t="s">
        <v>12</v>
      </c>
      <c r="D62" s="33"/>
      <c r="E62" s="34"/>
      <c r="F62" s="34"/>
      <c r="G62" s="34"/>
      <c r="H62" s="34"/>
      <c r="I62" s="34"/>
      <c r="J62" s="34"/>
      <c r="K62" s="34"/>
      <c r="L62" s="34"/>
      <c r="M62" s="34"/>
      <c r="N62" s="34"/>
    </row>
    <row r="63" spans="1:14" ht="30" customHeight="1" x14ac:dyDescent="0.25">
      <c r="A63" s="35" t="s">
        <v>132</v>
      </c>
      <c r="B63" s="36" t="s">
        <v>133</v>
      </c>
      <c r="C63" s="35" t="s">
        <v>15</v>
      </c>
      <c r="D63" s="37"/>
      <c r="E63" s="38"/>
      <c r="F63" s="38"/>
      <c r="G63" s="38"/>
      <c r="H63" s="38"/>
      <c r="I63" s="38"/>
      <c r="J63" s="38"/>
      <c r="K63" s="38"/>
      <c r="L63" s="38"/>
      <c r="M63" s="38"/>
      <c r="N63" s="38"/>
    </row>
    <row r="64" spans="1:14" ht="30" customHeight="1" x14ac:dyDescent="0.25">
      <c r="A64" s="31" t="s">
        <v>134</v>
      </c>
      <c r="B64" s="32" t="s">
        <v>135</v>
      </c>
      <c r="C64" s="31" t="s">
        <v>12</v>
      </c>
      <c r="D64" s="33"/>
      <c r="E64" s="34"/>
      <c r="F64" s="34"/>
      <c r="G64" s="34"/>
      <c r="H64" s="34"/>
      <c r="I64" s="34"/>
      <c r="J64" s="34"/>
      <c r="K64" s="34"/>
      <c r="L64" s="34"/>
      <c r="M64" s="34"/>
      <c r="N64" s="34"/>
    </row>
    <row r="65" spans="1:14" ht="30" customHeight="1" x14ac:dyDescent="0.25">
      <c r="A65" s="35" t="s">
        <v>136</v>
      </c>
      <c r="B65" s="36" t="s">
        <v>137</v>
      </c>
      <c r="C65" s="35" t="s">
        <v>15</v>
      </c>
      <c r="D65" s="37" t="s">
        <v>47</v>
      </c>
      <c r="E65" s="38"/>
      <c r="F65" s="38"/>
      <c r="G65" s="38"/>
      <c r="H65" s="38"/>
      <c r="I65" s="38"/>
      <c r="J65" s="38"/>
      <c r="K65" s="38"/>
      <c r="L65" s="38"/>
      <c r="M65" s="38"/>
      <c r="N65" s="38"/>
    </row>
    <row r="66" spans="1:14" ht="30" customHeight="1" x14ac:dyDescent="0.25">
      <c r="A66" s="31" t="s">
        <v>138</v>
      </c>
      <c r="B66" s="32" t="s">
        <v>139</v>
      </c>
      <c r="C66" s="31" t="s">
        <v>12</v>
      </c>
      <c r="D66" s="33"/>
      <c r="E66" s="34"/>
      <c r="F66" s="34"/>
      <c r="G66" s="34"/>
      <c r="H66" s="34"/>
      <c r="I66" s="34"/>
      <c r="J66" s="34"/>
      <c r="K66" s="34"/>
      <c r="L66" s="34"/>
      <c r="M66" s="34"/>
      <c r="N66" s="34"/>
    </row>
    <row r="67" spans="1:14" ht="30" customHeight="1" x14ac:dyDescent="0.25">
      <c r="A67" s="35" t="s">
        <v>140</v>
      </c>
      <c r="B67" s="36" t="s">
        <v>141</v>
      </c>
      <c r="C67" s="35" t="s">
        <v>15</v>
      </c>
      <c r="D67" s="37" t="s">
        <v>47</v>
      </c>
      <c r="E67" s="38"/>
      <c r="F67" s="38"/>
      <c r="G67" s="38"/>
      <c r="H67" s="38"/>
      <c r="I67" s="38"/>
      <c r="J67" s="38"/>
      <c r="K67" s="38"/>
      <c r="L67" s="38"/>
      <c r="M67" s="38"/>
      <c r="N67" s="38"/>
    </row>
    <row r="68" spans="1:14" ht="30" customHeight="1" x14ac:dyDescent="0.25">
      <c r="A68" s="35" t="s">
        <v>142</v>
      </c>
      <c r="B68" s="32" t="s">
        <v>143</v>
      </c>
      <c r="C68" s="35" t="s">
        <v>15</v>
      </c>
      <c r="D68" s="33" t="s">
        <v>47</v>
      </c>
      <c r="E68" s="34"/>
      <c r="F68" s="34"/>
      <c r="G68" s="34"/>
      <c r="H68" s="34"/>
      <c r="I68" s="34"/>
      <c r="J68" s="34"/>
      <c r="K68" s="34"/>
      <c r="L68" s="34"/>
      <c r="M68" s="34"/>
      <c r="N68" s="34"/>
    </row>
    <row r="69" spans="1:14" ht="30" customHeight="1" x14ac:dyDescent="0.25">
      <c r="A69" s="31" t="s">
        <v>144</v>
      </c>
      <c r="B69" s="36" t="s">
        <v>145</v>
      </c>
      <c r="C69" s="31" t="s">
        <v>12</v>
      </c>
      <c r="D69" s="37"/>
      <c r="E69" s="38"/>
      <c r="F69" s="38"/>
      <c r="G69" s="38"/>
      <c r="H69" s="38"/>
      <c r="I69" s="38"/>
      <c r="J69" s="38"/>
      <c r="K69" s="38"/>
      <c r="L69" s="38"/>
      <c r="M69" s="38"/>
      <c r="N69" s="38"/>
    </row>
    <row r="70" spans="1:14" ht="30" customHeight="1" x14ac:dyDescent="0.25">
      <c r="A70" s="31" t="s">
        <v>146</v>
      </c>
      <c r="B70" s="32" t="s">
        <v>147</v>
      </c>
      <c r="C70" s="31" t="s">
        <v>12</v>
      </c>
      <c r="D70" s="33"/>
      <c r="E70" s="34"/>
      <c r="F70" s="34"/>
      <c r="G70" s="34"/>
      <c r="H70" s="34"/>
      <c r="I70" s="34"/>
      <c r="J70" s="34"/>
      <c r="K70" s="34"/>
      <c r="L70" s="34"/>
      <c r="M70" s="34"/>
      <c r="N70" s="34"/>
    </row>
    <row r="71" spans="1:14" ht="30" customHeight="1" x14ac:dyDescent="0.25">
      <c r="A71" s="35" t="s">
        <v>148</v>
      </c>
      <c r="B71" s="36" t="s">
        <v>149</v>
      </c>
      <c r="C71" s="35" t="s">
        <v>15</v>
      </c>
      <c r="D71" s="37"/>
      <c r="E71" s="38"/>
      <c r="F71" s="38"/>
      <c r="G71" s="38"/>
      <c r="H71" s="38"/>
      <c r="I71" s="38"/>
      <c r="J71" s="38"/>
      <c r="K71" s="38"/>
      <c r="L71" s="38"/>
      <c r="M71" s="38"/>
      <c r="N71" s="38"/>
    </row>
    <row r="72" spans="1:14" ht="30" customHeight="1" x14ac:dyDescent="0.25">
      <c r="A72" s="39" t="s">
        <v>150</v>
      </c>
      <c r="B72" s="32" t="s">
        <v>151</v>
      </c>
      <c r="C72" s="39" t="s">
        <v>18</v>
      </c>
      <c r="D72" s="33"/>
      <c r="E72" s="34"/>
      <c r="F72" s="34"/>
      <c r="G72" s="34"/>
      <c r="H72" s="34"/>
      <c r="I72" s="34"/>
      <c r="J72" s="34"/>
      <c r="K72" s="34"/>
      <c r="L72" s="34"/>
      <c r="M72" s="34"/>
      <c r="N72" s="34"/>
    </row>
    <row r="73" spans="1:14" ht="30" customHeight="1" x14ac:dyDescent="0.25">
      <c r="A73" s="31" t="s">
        <v>152</v>
      </c>
      <c r="B73" s="36" t="s">
        <v>153</v>
      </c>
      <c r="C73" s="31" t="s">
        <v>12</v>
      </c>
      <c r="D73" s="37"/>
      <c r="E73" s="38"/>
      <c r="F73" s="38"/>
      <c r="G73" s="38"/>
      <c r="H73" s="38"/>
      <c r="I73" s="38"/>
      <c r="J73" s="38"/>
      <c r="K73" s="38"/>
      <c r="L73" s="38"/>
      <c r="M73" s="38"/>
      <c r="N73" s="38"/>
    </row>
    <row r="74" spans="1:14" ht="30" customHeight="1" x14ac:dyDescent="0.25">
      <c r="A74" s="31" t="s">
        <v>154</v>
      </c>
      <c r="B74" s="32" t="s">
        <v>155</v>
      </c>
      <c r="C74" s="31" t="s">
        <v>12</v>
      </c>
      <c r="D74" s="33"/>
      <c r="E74" s="34"/>
      <c r="F74" s="34"/>
      <c r="G74" s="34"/>
      <c r="H74" s="34"/>
      <c r="I74" s="34"/>
      <c r="J74" s="34"/>
      <c r="K74" s="34"/>
      <c r="L74" s="34"/>
      <c r="M74" s="34"/>
      <c r="N74" s="34"/>
    </row>
    <row r="75" spans="1:14" ht="30" customHeight="1" x14ac:dyDescent="0.25">
      <c r="A75" s="35" t="s">
        <v>156</v>
      </c>
      <c r="B75" s="36" t="s">
        <v>157</v>
      </c>
      <c r="C75" s="35" t="s">
        <v>15</v>
      </c>
      <c r="D75" s="37"/>
      <c r="E75" s="38"/>
      <c r="F75" s="38"/>
      <c r="G75" s="38"/>
      <c r="H75" s="38"/>
      <c r="I75" s="38"/>
      <c r="J75" s="38"/>
      <c r="K75" s="38"/>
      <c r="L75" s="38"/>
      <c r="M75" s="38"/>
      <c r="N75" s="38"/>
    </row>
    <row r="76" spans="1:14" ht="30" customHeight="1" x14ac:dyDescent="0.25">
      <c r="A76" s="31" t="s">
        <v>158</v>
      </c>
      <c r="B76" s="32" t="s">
        <v>159</v>
      </c>
      <c r="C76" s="31" t="s">
        <v>12</v>
      </c>
      <c r="D76" s="33"/>
      <c r="E76" s="34"/>
      <c r="F76" s="34"/>
      <c r="G76" s="34"/>
      <c r="H76" s="34"/>
      <c r="I76" s="34"/>
      <c r="J76" s="34"/>
      <c r="K76" s="34"/>
      <c r="L76" s="34"/>
      <c r="M76" s="34"/>
      <c r="N76" s="34"/>
    </row>
    <row r="77" spans="1:14" ht="30" customHeight="1" x14ac:dyDescent="0.25">
      <c r="A77" s="31" t="s">
        <v>160</v>
      </c>
      <c r="B77" s="36" t="s">
        <v>161</v>
      </c>
      <c r="C77" s="31" t="s">
        <v>12</v>
      </c>
      <c r="D77" s="37"/>
      <c r="E77" s="38"/>
      <c r="F77" s="38"/>
      <c r="G77" s="38"/>
      <c r="H77" s="38"/>
      <c r="I77" s="38"/>
      <c r="J77" s="38"/>
      <c r="K77" s="38"/>
      <c r="L77" s="38"/>
      <c r="M77" s="38"/>
      <c r="N77" s="38"/>
    </row>
    <row r="78" spans="1:14" ht="30" customHeight="1" x14ac:dyDescent="0.25">
      <c r="A78" s="31" t="s">
        <v>162</v>
      </c>
      <c r="B78" s="32" t="s">
        <v>163</v>
      </c>
      <c r="C78" s="31" t="s">
        <v>12</v>
      </c>
      <c r="D78" s="33"/>
      <c r="E78" s="34"/>
      <c r="F78" s="34"/>
      <c r="G78" s="34"/>
      <c r="H78" s="34"/>
      <c r="I78" s="34"/>
      <c r="J78" s="34"/>
      <c r="K78" s="34"/>
      <c r="L78" s="34"/>
      <c r="M78" s="34"/>
      <c r="N78" s="34"/>
    </row>
    <row r="79" spans="1:14" ht="30" customHeight="1" x14ac:dyDescent="0.25">
      <c r="A79" s="35" t="s">
        <v>164</v>
      </c>
      <c r="B79" s="36" t="s">
        <v>165</v>
      </c>
      <c r="C79" s="35" t="s">
        <v>15</v>
      </c>
      <c r="D79" s="37"/>
      <c r="E79" s="38"/>
      <c r="F79" s="38"/>
      <c r="G79" s="38"/>
      <c r="H79" s="38"/>
      <c r="I79" s="38"/>
      <c r="J79" s="38"/>
      <c r="K79" s="38"/>
      <c r="L79" s="38"/>
      <c r="M79" s="38"/>
      <c r="N79" s="38"/>
    </row>
    <row r="80" spans="1:14" ht="30" customHeight="1" x14ac:dyDescent="0.25">
      <c r="A80" s="31" t="s">
        <v>166</v>
      </c>
      <c r="B80" s="32" t="s">
        <v>167</v>
      </c>
      <c r="C80" s="31" t="s">
        <v>12</v>
      </c>
      <c r="D80" s="33"/>
      <c r="E80" s="34"/>
      <c r="F80" s="34"/>
      <c r="G80" s="34"/>
      <c r="H80" s="34"/>
      <c r="I80" s="34"/>
      <c r="J80" s="34"/>
      <c r="K80" s="34"/>
      <c r="L80" s="34"/>
      <c r="M80" s="34"/>
      <c r="N80" s="34"/>
    </row>
    <row r="81" spans="1:14" ht="30" customHeight="1" x14ac:dyDescent="0.25">
      <c r="A81" s="39" t="s">
        <v>168</v>
      </c>
      <c r="B81" s="36" t="s">
        <v>169</v>
      </c>
      <c r="C81" s="39" t="s">
        <v>18</v>
      </c>
      <c r="D81" s="37"/>
      <c r="E81" s="38"/>
      <c r="F81" s="38"/>
      <c r="G81" s="38"/>
      <c r="H81" s="38"/>
      <c r="I81" s="38"/>
      <c r="J81" s="38"/>
      <c r="K81" s="38"/>
      <c r="L81" s="38"/>
      <c r="M81" s="38"/>
      <c r="N81" s="38"/>
    </row>
    <row r="82" spans="1:14" ht="30" customHeight="1" x14ac:dyDescent="0.25">
      <c r="A82" s="31" t="s">
        <v>170</v>
      </c>
      <c r="B82" s="32" t="s">
        <v>171</v>
      </c>
      <c r="C82" s="31" t="s">
        <v>12</v>
      </c>
      <c r="D82" s="33"/>
      <c r="E82" s="34"/>
      <c r="F82" s="34"/>
      <c r="G82" s="34"/>
      <c r="H82" s="34"/>
      <c r="I82" s="34"/>
      <c r="J82" s="34"/>
      <c r="K82" s="34"/>
      <c r="L82" s="34"/>
      <c r="M82" s="34"/>
      <c r="N82" s="34"/>
    </row>
    <row r="83" spans="1:14" ht="30" customHeight="1" x14ac:dyDescent="0.25">
      <c r="A83" s="35" t="s">
        <v>172</v>
      </c>
      <c r="B83" s="36" t="s">
        <v>173</v>
      </c>
      <c r="C83" s="35" t="s">
        <v>15</v>
      </c>
      <c r="D83" s="37"/>
      <c r="E83" s="38"/>
      <c r="F83" s="38"/>
      <c r="G83" s="38"/>
      <c r="H83" s="38"/>
      <c r="I83" s="38"/>
      <c r="J83" s="38"/>
      <c r="K83" s="38"/>
      <c r="L83" s="38"/>
      <c r="M83" s="38"/>
      <c r="N83" s="38"/>
    </row>
    <row r="84" spans="1:14" ht="30" customHeight="1" x14ac:dyDescent="0.25">
      <c r="A84" s="31" t="s">
        <v>174</v>
      </c>
      <c r="B84" s="32" t="s">
        <v>175</v>
      </c>
      <c r="C84" s="31" t="s">
        <v>12</v>
      </c>
      <c r="D84" s="33"/>
      <c r="E84" s="34"/>
      <c r="F84" s="34"/>
      <c r="G84" s="34"/>
      <c r="H84" s="34"/>
      <c r="I84" s="34"/>
      <c r="J84" s="34"/>
      <c r="K84" s="34"/>
      <c r="L84" s="34"/>
      <c r="M84" s="34"/>
      <c r="N84" s="34"/>
    </row>
    <row r="85" spans="1:14" ht="30" customHeight="1" x14ac:dyDescent="0.25">
      <c r="A85" s="31" t="s">
        <v>176</v>
      </c>
      <c r="B85" s="36" t="s">
        <v>177</v>
      </c>
      <c r="C85" s="31" t="s">
        <v>12</v>
      </c>
      <c r="D85" s="37" t="s">
        <v>47</v>
      </c>
      <c r="E85" s="38"/>
      <c r="F85" s="38"/>
      <c r="G85" s="38"/>
      <c r="H85" s="38"/>
      <c r="I85" s="38"/>
      <c r="J85" s="38"/>
      <c r="K85" s="38"/>
      <c r="L85" s="38"/>
      <c r="M85" s="38"/>
      <c r="N85" s="38"/>
    </row>
    <row r="86" spans="1:14" ht="30" customHeight="1" x14ac:dyDescent="0.25">
      <c r="A86" s="35" t="s">
        <v>178</v>
      </c>
      <c r="B86" s="32" t="s">
        <v>179</v>
      </c>
      <c r="C86" s="35" t="s">
        <v>15</v>
      </c>
      <c r="D86" s="33"/>
      <c r="E86" s="34"/>
      <c r="F86" s="34"/>
      <c r="G86" s="34"/>
      <c r="H86" s="34"/>
      <c r="I86" s="34"/>
      <c r="J86" s="34"/>
      <c r="K86" s="34"/>
      <c r="L86" s="34"/>
      <c r="M86" s="34"/>
      <c r="N86" s="34"/>
    </row>
    <row r="87" spans="1:14" ht="30" customHeight="1" x14ac:dyDescent="0.25">
      <c r="A87" s="31" t="s">
        <v>180</v>
      </c>
      <c r="B87" s="36" t="s">
        <v>181</v>
      </c>
      <c r="C87" s="31" t="s">
        <v>12</v>
      </c>
      <c r="D87" s="37"/>
      <c r="E87" s="38"/>
      <c r="F87" s="38"/>
      <c r="G87" s="38"/>
      <c r="H87" s="38"/>
      <c r="I87" s="38"/>
      <c r="J87" s="38"/>
      <c r="K87" s="38"/>
      <c r="L87" s="38"/>
      <c r="M87" s="38"/>
      <c r="N87" s="38"/>
    </row>
    <row r="88" spans="1:14" ht="30" customHeight="1" x14ac:dyDescent="0.25">
      <c r="A88" s="39" t="s">
        <v>182</v>
      </c>
      <c r="B88" s="32" t="s">
        <v>183</v>
      </c>
      <c r="C88" s="39" t="s">
        <v>18</v>
      </c>
      <c r="D88" s="33"/>
      <c r="E88" s="34"/>
      <c r="F88" s="34"/>
      <c r="G88" s="34"/>
      <c r="H88" s="34"/>
      <c r="I88" s="34"/>
      <c r="J88" s="34"/>
      <c r="K88" s="34"/>
      <c r="L88" s="34"/>
      <c r="M88" s="34"/>
      <c r="N88" s="34"/>
    </row>
    <row r="89" spans="1:14" ht="30" customHeight="1" x14ac:dyDescent="0.25">
      <c r="A89" s="31" t="s">
        <v>184</v>
      </c>
      <c r="B89" s="36" t="s">
        <v>185</v>
      </c>
      <c r="C89" s="31" t="s">
        <v>12</v>
      </c>
      <c r="D89" s="37"/>
      <c r="E89" s="38"/>
      <c r="F89" s="38"/>
      <c r="G89" s="38"/>
      <c r="H89" s="38"/>
      <c r="I89" s="38"/>
      <c r="J89" s="38"/>
      <c r="K89" s="38"/>
      <c r="L89" s="38"/>
      <c r="M89" s="38"/>
      <c r="N89" s="38"/>
    </row>
    <row r="90" spans="1:14" ht="30" customHeight="1" x14ac:dyDescent="0.25">
      <c r="A90" s="31" t="s">
        <v>186</v>
      </c>
      <c r="B90" s="32" t="s">
        <v>187</v>
      </c>
      <c r="C90" s="31" t="s">
        <v>12</v>
      </c>
      <c r="D90" s="33"/>
      <c r="E90" s="34"/>
      <c r="F90" s="34"/>
      <c r="G90" s="34"/>
      <c r="H90" s="34"/>
      <c r="I90" s="34"/>
      <c r="J90" s="34"/>
      <c r="K90" s="34"/>
      <c r="L90" s="34"/>
      <c r="M90" s="34"/>
      <c r="N90" s="34"/>
    </row>
    <row r="91" spans="1:14" ht="30" customHeight="1" x14ac:dyDescent="0.25">
      <c r="A91" s="31" t="s">
        <v>188</v>
      </c>
      <c r="B91" s="36" t="s">
        <v>189</v>
      </c>
      <c r="C91" s="31" t="s">
        <v>12</v>
      </c>
      <c r="D91" s="37"/>
      <c r="E91" s="38"/>
      <c r="F91" s="38"/>
      <c r="G91" s="38"/>
      <c r="H91" s="38"/>
      <c r="I91" s="38"/>
      <c r="J91" s="38"/>
      <c r="K91" s="38"/>
      <c r="L91" s="38"/>
      <c r="M91" s="38"/>
      <c r="N91" s="38"/>
    </row>
    <row r="92" spans="1:14" ht="30" customHeight="1" x14ac:dyDescent="0.25">
      <c r="A92" s="31" t="s">
        <v>190</v>
      </c>
      <c r="B92" s="32" t="s">
        <v>191</v>
      </c>
      <c r="C92" s="31" t="s">
        <v>12</v>
      </c>
      <c r="D92" s="33"/>
      <c r="E92" s="34"/>
      <c r="F92" s="34"/>
      <c r="G92" s="34"/>
      <c r="H92" s="34"/>
      <c r="I92" s="34"/>
      <c r="J92" s="34"/>
      <c r="K92" s="34"/>
      <c r="L92" s="34"/>
      <c r="M92" s="34"/>
      <c r="N92" s="34"/>
    </row>
    <row r="93" spans="1:14" ht="30" customHeight="1" x14ac:dyDescent="0.25">
      <c r="A93" s="31" t="s">
        <v>192</v>
      </c>
      <c r="B93" s="36" t="s">
        <v>193</v>
      </c>
      <c r="C93" s="31" t="s">
        <v>12</v>
      </c>
      <c r="D93" s="37"/>
      <c r="E93" s="38"/>
      <c r="F93" s="38"/>
      <c r="G93" s="38"/>
      <c r="H93" s="38"/>
      <c r="I93" s="38"/>
      <c r="J93" s="38"/>
      <c r="K93" s="38"/>
      <c r="L93" s="38"/>
      <c r="M93" s="38"/>
      <c r="N93" s="38"/>
    </row>
    <row r="94" spans="1:14" ht="30" customHeight="1" x14ac:dyDescent="0.25">
      <c r="A94" s="35" t="s">
        <v>194</v>
      </c>
      <c r="B94" s="32" t="s">
        <v>195</v>
      </c>
      <c r="C94" s="35" t="s">
        <v>15</v>
      </c>
      <c r="D94" s="33"/>
      <c r="E94" s="34"/>
      <c r="F94" s="34"/>
      <c r="G94" s="34"/>
      <c r="H94" s="34"/>
      <c r="I94" s="34"/>
      <c r="J94" s="34"/>
      <c r="K94" s="34"/>
      <c r="L94" s="34"/>
      <c r="M94" s="34"/>
      <c r="N94" s="34"/>
    </row>
    <row r="95" spans="1:14" ht="30" customHeight="1" x14ac:dyDescent="0.25">
      <c r="A95" s="35" t="s">
        <v>196</v>
      </c>
      <c r="B95" s="36" t="s">
        <v>197</v>
      </c>
      <c r="C95" s="35" t="s">
        <v>15</v>
      </c>
      <c r="D95" s="37"/>
      <c r="E95" s="38"/>
      <c r="F95" s="38"/>
      <c r="G95" s="38"/>
      <c r="H95" s="38"/>
      <c r="I95" s="38"/>
      <c r="J95" s="38"/>
      <c r="K95" s="38"/>
      <c r="L95" s="38"/>
      <c r="M95" s="38"/>
      <c r="N95" s="38"/>
    </row>
    <row r="96" spans="1:14" ht="30" customHeight="1" x14ac:dyDescent="0.25">
      <c r="A96" s="35" t="s">
        <v>198</v>
      </c>
      <c r="B96" s="32" t="s">
        <v>199</v>
      </c>
      <c r="C96" s="35" t="s">
        <v>15</v>
      </c>
      <c r="D96" s="33"/>
      <c r="E96" s="34"/>
      <c r="F96" s="34"/>
      <c r="G96" s="34"/>
      <c r="H96" s="34"/>
      <c r="I96" s="34"/>
      <c r="J96" s="34"/>
      <c r="K96" s="34"/>
      <c r="L96" s="34"/>
      <c r="M96" s="34"/>
      <c r="N96" s="34"/>
    </row>
    <row r="97" spans="1:14" ht="30" customHeight="1" x14ac:dyDescent="0.25">
      <c r="A97" s="31" t="s">
        <v>200</v>
      </c>
      <c r="B97" s="36" t="s">
        <v>201</v>
      </c>
      <c r="C97" s="31" t="s">
        <v>12</v>
      </c>
      <c r="D97" s="37"/>
      <c r="E97" s="38"/>
      <c r="F97" s="38"/>
      <c r="G97" s="38"/>
      <c r="H97" s="38"/>
      <c r="I97" s="38"/>
      <c r="J97" s="38"/>
      <c r="K97" s="38"/>
      <c r="L97" s="38"/>
      <c r="M97" s="38"/>
      <c r="N97" s="38"/>
    </row>
    <row r="98" spans="1:14" ht="30" customHeight="1" x14ac:dyDescent="0.25">
      <c r="A98" s="35" t="s">
        <v>202</v>
      </c>
      <c r="B98" s="32" t="s">
        <v>203</v>
      </c>
      <c r="C98" s="35" t="s">
        <v>15</v>
      </c>
      <c r="D98" s="33"/>
      <c r="E98" s="34"/>
      <c r="F98" s="34"/>
      <c r="G98" s="34"/>
      <c r="H98" s="34"/>
      <c r="I98" s="34"/>
      <c r="J98" s="34"/>
      <c r="K98" s="34"/>
      <c r="L98" s="34"/>
      <c r="M98" s="34"/>
      <c r="N98" s="34"/>
    </row>
    <row r="99" spans="1:14" ht="30" customHeight="1" x14ac:dyDescent="0.25">
      <c r="A99" s="39" t="s">
        <v>204</v>
      </c>
      <c r="B99" s="36" t="s">
        <v>205</v>
      </c>
      <c r="C99" s="39" t="s">
        <v>18</v>
      </c>
      <c r="D99" s="37" t="s">
        <v>47</v>
      </c>
      <c r="E99" s="38"/>
      <c r="F99" s="38"/>
      <c r="G99" s="38"/>
      <c r="H99" s="38"/>
      <c r="I99" s="38"/>
      <c r="J99" s="38"/>
      <c r="K99" s="38"/>
      <c r="L99" s="38"/>
      <c r="M99" s="38"/>
      <c r="N99" s="38"/>
    </row>
    <row r="100" spans="1:14" ht="30" customHeight="1" x14ac:dyDescent="0.25">
      <c r="A100" s="31" t="s">
        <v>206</v>
      </c>
      <c r="B100" s="32" t="s">
        <v>207</v>
      </c>
      <c r="C100" s="31" t="s">
        <v>12</v>
      </c>
      <c r="D100" s="33"/>
      <c r="E100" s="34"/>
      <c r="F100" s="34"/>
      <c r="G100" s="34"/>
      <c r="H100" s="34"/>
      <c r="I100" s="34"/>
      <c r="J100" s="34"/>
      <c r="K100" s="34"/>
      <c r="L100" s="34"/>
      <c r="M100" s="34"/>
      <c r="N100" s="34"/>
    </row>
    <row r="101" spans="1:14" ht="30" customHeight="1" x14ac:dyDescent="0.25">
      <c r="A101" s="35" t="s">
        <v>208</v>
      </c>
      <c r="B101" s="36" t="s">
        <v>209</v>
      </c>
      <c r="C101" s="35" t="s">
        <v>15</v>
      </c>
      <c r="D101" s="37"/>
      <c r="E101" s="38"/>
      <c r="F101" s="38"/>
      <c r="G101" s="38"/>
      <c r="H101" s="38"/>
      <c r="I101" s="38"/>
      <c r="J101" s="38"/>
      <c r="K101" s="38"/>
      <c r="L101" s="38"/>
      <c r="M101" s="38"/>
      <c r="N101" s="38"/>
    </row>
    <row r="102" spans="1:14" ht="30" customHeight="1" x14ac:dyDescent="0.25">
      <c r="A102" s="35" t="s">
        <v>210</v>
      </c>
      <c r="B102" s="32" t="s">
        <v>211</v>
      </c>
      <c r="C102" s="35" t="s">
        <v>15</v>
      </c>
      <c r="D102" s="33"/>
      <c r="E102" s="34"/>
      <c r="F102" s="34"/>
      <c r="G102" s="34"/>
      <c r="H102" s="34"/>
      <c r="I102" s="34"/>
      <c r="J102" s="34"/>
      <c r="K102" s="34"/>
      <c r="L102" s="34"/>
      <c r="M102" s="34"/>
      <c r="N102" s="34"/>
    </row>
    <row r="103" spans="1:14" ht="30" customHeight="1" x14ac:dyDescent="0.25">
      <c r="A103" s="35" t="s">
        <v>212</v>
      </c>
      <c r="B103" s="36" t="s">
        <v>213</v>
      </c>
      <c r="C103" s="35" t="s">
        <v>15</v>
      </c>
      <c r="D103" s="37"/>
      <c r="E103" s="38"/>
      <c r="F103" s="38"/>
      <c r="G103" s="38"/>
      <c r="H103" s="38"/>
      <c r="I103" s="38"/>
      <c r="J103" s="38"/>
      <c r="K103" s="38"/>
      <c r="L103" s="38"/>
      <c r="M103" s="38"/>
      <c r="N103" s="38"/>
    </row>
    <row r="104" spans="1:14" ht="30" customHeight="1" x14ac:dyDescent="0.25">
      <c r="A104" s="31" t="s">
        <v>214</v>
      </c>
      <c r="B104" s="32" t="s">
        <v>215</v>
      </c>
      <c r="C104" s="31" t="s">
        <v>12</v>
      </c>
      <c r="D104" s="33"/>
      <c r="E104" s="34"/>
      <c r="F104" s="34"/>
      <c r="G104" s="34"/>
      <c r="H104" s="34"/>
      <c r="I104" s="34"/>
      <c r="J104" s="34"/>
      <c r="K104" s="34"/>
      <c r="L104" s="34"/>
      <c r="M104" s="34"/>
      <c r="N104" s="34"/>
    </row>
    <row r="105" spans="1:14" ht="30" customHeight="1" x14ac:dyDescent="0.25">
      <c r="A105" s="35" t="s">
        <v>216</v>
      </c>
      <c r="B105" s="36" t="s">
        <v>217</v>
      </c>
      <c r="C105" s="35" t="s">
        <v>15</v>
      </c>
      <c r="D105" s="37"/>
      <c r="E105" s="38"/>
      <c r="F105" s="38"/>
      <c r="G105" s="38"/>
      <c r="H105" s="38"/>
      <c r="I105" s="38"/>
      <c r="J105" s="38"/>
      <c r="K105" s="38"/>
      <c r="L105" s="38"/>
      <c r="M105" s="38"/>
      <c r="N105" s="38"/>
    </row>
    <row r="106" spans="1:14" ht="30" customHeight="1" x14ac:dyDescent="0.25">
      <c r="A106" s="39" t="s">
        <v>218</v>
      </c>
      <c r="B106" s="32" t="s">
        <v>219</v>
      </c>
      <c r="C106" s="39" t="s">
        <v>18</v>
      </c>
      <c r="D106" s="33"/>
      <c r="E106" s="34"/>
      <c r="F106" s="34"/>
      <c r="G106" s="34"/>
      <c r="H106" s="34"/>
      <c r="I106" s="34"/>
      <c r="J106" s="34"/>
      <c r="K106" s="34"/>
      <c r="L106" s="34"/>
      <c r="M106" s="34"/>
      <c r="N106" s="34"/>
    </row>
    <row r="107" spans="1:14" ht="30" customHeight="1" x14ac:dyDescent="0.25">
      <c r="A107" s="39" t="s">
        <v>220</v>
      </c>
      <c r="B107" s="36" t="s">
        <v>221</v>
      </c>
      <c r="C107" s="39" t="s">
        <v>18</v>
      </c>
      <c r="D107" s="37" t="s">
        <v>47</v>
      </c>
      <c r="E107" s="38"/>
      <c r="F107" s="38"/>
      <c r="G107" s="38"/>
      <c r="H107" s="38"/>
      <c r="I107" s="38"/>
      <c r="J107" s="38"/>
      <c r="K107" s="38"/>
      <c r="L107" s="38"/>
      <c r="M107" s="38"/>
      <c r="N107" s="38"/>
    </row>
    <row r="108" spans="1:14" ht="30" customHeight="1" x14ac:dyDescent="0.25">
      <c r="A108" s="31" t="s">
        <v>222</v>
      </c>
      <c r="B108" s="32" t="s">
        <v>223</v>
      </c>
      <c r="C108" s="31" t="s">
        <v>12</v>
      </c>
      <c r="D108" s="33" t="s">
        <v>47</v>
      </c>
      <c r="E108" s="34"/>
      <c r="F108" s="34"/>
      <c r="G108" s="34"/>
      <c r="H108" s="34"/>
      <c r="I108" s="34"/>
      <c r="J108" s="34"/>
      <c r="K108" s="34"/>
      <c r="L108" s="34"/>
      <c r="M108" s="34"/>
      <c r="N108" s="34"/>
    </row>
    <row r="109" spans="1:14" ht="30" customHeight="1" x14ac:dyDescent="0.25">
      <c r="A109" s="35" t="s">
        <v>224</v>
      </c>
      <c r="B109" s="36" t="s">
        <v>225</v>
      </c>
      <c r="C109" s="35" t="s">
        <v>15</v>
      </c>
      <c r="D109" s="37"/>
      <c r="E109" s="38"/>
      <c r="F109" s="38"/>
      <c r="G109" s="38"/>
      <c r="H109" s="38"/>
      <c r="I109" s="38"/>
      <c r="J109" s="38"/>
      <c r="K109" s="38"/>
      <c r="L109" s="38"/>
      <c r="M109" s="38"/>
      <c r="N109" s="38"/>
    </row>
    <row r="110" spans="1:14" ht="30" customHeight="1" x14ac:dyDescent="0.25">
      <c r="A110" s="35" t="s">
        <v>226</v>
      </c>
      <c r="B110" s="32" t="s">
        <v>227</v>
      </c>
      <c r="C110" s="35" t="s">
        <v>15</v>
      </c>
      <c r="D110" s="33"/>
      <c r="E110" s="34"/>
      <c r="F110" s="34"/>
      <c r="G110" s="34"/>
      <c r="H110" s="34"/>
      <c r="I110" s="34"/>
      <c r="J110" s="34"/>
      <c r="K110" s="34"/>
      <c r="L110" s="34"/>
      <c r="M110" s="34"/>
      <c r="N110" s="34"/>
    </row>
    <row r="111" spans="1:14" ht="30" customHeight="1" x14ac:dyDescent="0.25">
      <c r="A111" s="35" t="s">
        <v>228</v>
      </c>
      <c r="B111" s="36" t="s">
        <v>229</v>
      </c>
      <c r="C111" s="35" t="s">
        <v>15</v>
      </c>
      <c r="D111" s="37"/>
      <c r="E111" s="38"/>
      <c r="F111" s="38"/>
      <c r="G111" s="38"/>
      <c r="H111" s="38"/>
      <c r="I111" s="38"/>
      <c r="J111" s="38"/>
      <c r="K111" s="38"/>
      <c r="L111" s="38"/>
      <c r="M111" s="38"/>
      <c r="N111" s="38"/>
    </row>
    <row r="112" spans="1:14" ht="30" customHeight="1" x14ac:dyDescent="0.25">
      <c r="A112" s="39" t="s">
        <v>230</v>
      </c>
      <c r="B112" s="32" t="s">
        <v>231</v>
      </c>
      <c r="C112" s="39" t="s">
        <v>18</v>
      </c>
      <c r="D112" s="33" t="s">
        <v>47</v>
      </c>
      <c r="E112" s="34"/>
      <c r="F112" s="34"/>
      <c r="G112" s="34"/>
      <c r="H112" s="34"/>
      <c r="I112" s="34"/>
      <c r="J112" s="34"/>
      <c r="K112" s="34"/>
      <c r="L112" s="34"/>
      <c r="M112" s="34"/>
      <c r="N112" s="34"/>
    </row>
    <row r="113" spans="1:14" ht="30" customHeight="1" x14ac:dyDescent="0.25">
      <c r="A113" s="39" t="s">
        <v>232</v>
      </c>
      <c r="B113" s="36" t="s">
        <v>233</v>
      </c>
      <c r="C113" s="39" t="s">
        <v>18</v>
      </c>
      <c r="D113" s="37" t="s">
        <v>47</v>
      </c>
      <c r="E113" s="38"/>
      <c r="F113" s="38"/>
      <c r="G113" s="38"/>
      <c r="H113" s="38"/>
      <c r="I113" s="38"/>
      <c r="J113" s="38"/>
      <c r="K113" s="38"/>
      <c r="L113" s="38"/>
      <c r="M113" s="38"/>
      <c r="N113" s="38"/>
    </row>
    <row r="114" spans="1:14" ht="30" customHeight="1" x14ac:dyDescent="0.25">
      <c r="A114" s="39" t="s">
        <v>234</v>
      </c>
      <c r="B114" s="32" t="s">
        <v>235</v>
      </c>
      <c r="C114" s="39" t="s">
        <v>18</v>
      </c>
      <c r="D114" s="33" t="s">
        <v>47</v>
      </c>
      <c r="E114" s="34"/>
      <c r="F114" s="34"/>
      <c r="G114" s="34"/>
      <c r="H114" s="34"/>
      <c r="I114" s="34"/>
      <c r="J114" s="34"/>
      <c r="K114" s="34"/>
      <c r="L114" s="34"/>
      <c r="M114" s="34"/>
      <c r="N114" s="34"/>
    </row>
    <row r="115" spans="1:14" ht="30" customHeight="1" x14ac:dyDescent="0.25">
      <c r="A115" s="39" t="s">
        <v>236</v>
      </c>
      <c r="B115" s="36" t="s">
        <v>237</v>
      </c>
      <c r="C115" s="39" t="s">
        <v>18</v>
      </c>
      <c r="D115" s="37" t="s">
        <v>47</v>
      </c>
      <c r="E115" s="38"/>
      <c r="F115" s="38"/>
      <c r="G115" s="38"/>
      <c r="H115" s="38"/>
      <c r="I115" s="38"/>
      <c r="J115" s="38"/>
      <c r="K115" s="38"/>
      <c r="L115" s="38"/>
      <c r="M115" s="38"/>
      <c r="N115" s="38"/>
    </row>
    <row r="116" spans="1:14" ht="30" customHeight="1" x14ac:dyDescent="0.25">
      <c r="A116" s="31" t="s">
        <v>238</v>
      </c>
      <c r="B116" s="32" t="s">
        <v>239</v>
      </c>
      <c r="C116" s="31" t="s">
        <v>12</v>
      </c>
      <c r="D116" s="33"/>
      <c r="E116" s="34"/>
      <c r="F116" s="34"/>
      <c r="G116" s="34"/>
      <c r="H116" s="34"/>
      <c r="I116" s="34"/>
      <c r="J116" s="34"/>
      <c r="K116" s="34"/>
      <c r="L116" s="34"/>
      <c r="M116" s="34"/>
      <c r="N116" s="34"/>
    </row>
    <row r="117" spans="1:14" ht="30" customHeight="1" x14ac:dyDescent="0.25">
      <c r="A117" s="31" t="s">
        <v>240</v>
      </c>
      <c r="B117" s="36" t="s">
        <v>241</v>
      </c>
      <c r="C117" s="31" t="s">
        <v>12</v>
      </c>
      <c r="D117" s="37"/>
      <c r="E117" s="38"/>
      <c r="F117" s="38"/>
      <c r="G117" s="38"/>
      <c r="H117" s="38"/>
      <c r="I117" s="38"/>
      <c r="J117" s="38"/>
      <c r="K117" s="38"/>
      <c r="L117" s="38"/>
      <c r="M117" s="38"/>
      <c r="N117" s="38"/>
    </row>
    <row r="118" spans="1:14" ht="30" customHeight="1" x14ac:dyDescent="0.25">
      <c r="A118" s="31" t="s">
        <v>242</v>
      </c>
      <c r="B118" s="32" t="s">
        <v>243</v>
      </c>
      <c r="C118" s="31" t="s">
        <v>12</v>
      </c>
      <c r="D118" s="33"/>
      <c r="E118" s="34"/>
      <c r="F118" s="34"/>
      <c r="G118" s="34"/>
      <c r="H118" s="34"/>
      <c r="I118" s="34"/>
      <c r="J118" s="34"/>
      <c r="K118" s="34"/>
      <c r="L118" s="34"/>
      <c r="M118" s="34"/>
      <c r="N118" s="34"/>
    </row>
    <row r="119" spans="1:14" ht="30" customHeight="1" x14ac:dyDescent="0.25">
      <c r="A119" s="35" t="s">
        <v>244</v>
      </c>
      <c r="B119" s="36" t="s">
        <v>245</v>
      </c>
      <c r="C119" s="35" t="s">
        <v>15</v>
      </c>
      <c r="D119" s="37"/>
      <c r="E119" s="38"/>
      <c r="F119" s="38"/>
      <c r="G119" s="38"/>
      <c r="H119" s="38"/>
      <c r="I119" s="38"/>
      <c r="J119" s="38"/>
      <c r="K119" s="38"/>
      <c r="L119" s="38"/>
      <c r="M119" s="38"/>
      <c r="N119" s="38"/>
    </row>
    <row r="120" spans="1:14" ht="30" customHeight="1" x14ac:dyDescent="0.25">
      <c r="A120" s="35" t="s">
        <v>246</v>
      </c>
      <c r="B120" s="32" t="s">
        <v>247</v>
      </c>
      <c r="C120" s="35" t="s">
        <v>15</v>
      </c>
      <c r="D120" s="33"/>
      <c r="E120" s="34"/>
      <c r="F120" s="34"/>
      <c r="G120" s="34"/>
      <c r="H120" s="34"/>
      <c r="I120" s="34"/>
      <c r="J120" s="34"/>
      <c r="K120" s="34"/>
      <c r="L120" s="34"/>
      <c r="M120" s="34"/>
      <c r="N120" s="34"/>
    </row>
    <row r="121" spans="1:14" ht="30" customHeight="1" x14ac:dyDescent="0.25">
      <c r="A121" s="39" t="s">
        <v>248</v>
      </c>
      <c r="B121" s="36" t="s">
        <v>249</v>
      </c>
      <c r="C121" s="39" t="s">
        <v>18</v>
      </c>
      <c r="D121" s="37"/>
      <c r="E121" s="38"/>
      <c r="F121" s="38"/>
      <c r="G121" s="38"/>
      <c r="H121" s="38"/>
      <c r="I121" s="38"/>
      <c r="J121" s="38"/>
      <c r="K121" s="38"/>
      <c r="L121" s="38"/>
      <c r="M121" s="38"/>
      <c r="N121" s="38"/>
    </row>
    <row r="122" spans="1:14" ht="30" customHeight="1" x14ac:dyDescent="0.25">
      <c r="A122" s="31" t="s">
        <v>250</v>
      </c>
      <c r="B122" s="32" t="s">
        <v>251</v>
      </c>
      <c r="C122" s="31" t="s">
        <v>12</v>
      </c>
      <c r="D122" s="33"/>
      <c r="E122" s="34"/>
      <c r="F122" s="34"/>
      <c r="G122" s="34"/>
      <c r="H122" s="34"/>
      <c r="I122" s="34"/>
      <c r="J122" s="34"/>
      <c r="K122" s="34"/>
      <c r="L122" s="34"/>
      <c r="M122" s="34"/>
      <c r="N122" s="34"/>
    </row>
    <row r="123" spans="1:14" ht="30" customHeight="1" x14ac:dyDescent="0.25">
      <c r="A123" s="35" t="s">
        <v>252</v>
      </c>
      <c r="B123" s="36" t="s">
        <v>253</v>
      </c>
      <c r="C123" s="35" t="s">
        <v>15</v>
      </c>
      <c r="D123" s="37"/>
      <c r="E123" s="38"/>
      <c r="F123" s="38"/>
      <c r="G123" s="38"/>
      <c r="H123" s="38"/>
      <c r="I123" s="38"/>
      <c r="J123" s="38"/>
      <c r="K123" s="38"/>
      <c r="L123" s="38"/>
      <c r="M123" s="38"/>
      <c r="N123" s="38"/>
    </row>
    <row r="124" spans="1:14" ht="30" customHeight="1" x14ac:dyDescent="0.25">
      <c r="A124" s="35" t="s">
        <v>254</v>
      </c>
      <c r="B124" s="32" t="s">
        <v>255</v>
      </c>
      <c r="C124" s="35" t="s">
        <v>15</v>
      </c>
      <c r="D124" s="33"/>
      <c r="E124" s="34"/>
      <c r="F124" s="34"/>
      <c r="G124" s="34"/>
      <c r="H124" s="34"/>
      <c r="I124" s="34"/>
      <c r="J124" s="34"/>
      <c r="K124" s="34"/>
      <c r="L124" s="34"/>
      <c r="M124" s="34"/>
      <c r="N124" s="34"/>
    </row>
    <row r="125" spans="1:14" ht="30" customHeight="1" x14ac:dyDescent="0.25">
      <c r="A125" s="39" t="s">
        <v>256</v>
      </c>
      <c r="B125" s="36" t="s">
        <v>257</v>
      </c>
      <c r="C125" s="39" t="s">
        <v>18</v>
      </c>
      <c r="D125" s="37"/>
      <c r="E125" s="38"/>
      <c r="F125" s="38"/>
      <c r="G125" s="38"/>
      <c r="H125" s="38"/>
      <c r="I125" s="38"/>
      <c r="J125" s="38"/>
      <c r="K125" s="38"/>
      <c r="L125" s="38"/>
      <c r="M125" s="38"/>
      <c r="N125" s="38"/>
    </row>
    <row r="126" spans="1:14" ht="30" customHeight="1" x14ac:dyDescent="0.25">
      <c r="A126" s="31" t="s">
        <v>258</v>
      </c>
      <c r="B126" s="32" t="s">
        <v>259</v>
      </c>
      <c r="C126" s="31" t="s">
        <v>12</v>
      </c>
      <c r="D126" s="33"/>
      <c r="E126" s="34"/>
      <c r="F126" s="34"/>
      <c r="G126" s="34"/>
      <c r="H126" s="34"/>
      <c r="I126" s="34"/>
      <c r="J126" s="34"/>
      <c r="K126" s="34"/>
      <c r="L126" s="34"/>
      <c r="M126" s="34"/>
      <c r="N126" s="34"/>
    </row>
    <row r="127" spans="1:14" ht="30" customHeight="1" x14ac:dyDescent="0.25">
      <c r="A127" s="31" t="s">
        <v>260</v>
      </c>
      <c r="B127" s="36" t="s">
        <v>261</v>
      </c>
      <c r="C127" s="31" t="s">
        <v>12</v>
      </c>
      <c r="D127" s="37"/>
      <c r="E127" s="38"/>
      <c r="F127" s="38"/>
      <c r="G127" s="38"/>
      <c r="H127" s="38"/>
      <c r="I127" s="38"/>
      <c r="J127" s="38"/>
      <c r="K127" s="38"/>
      <c r="L127" s="38"/>
      <c r="M127" s="38"/>
      <c r="N127" s="38"/>
    </row>
    <row r="128" spans="1:14" ht="30" customHeight="1" x14ac:dyDescent="0.25">
      <c r="A128" s="35" t="s">
        <v>262</v>
      </c>
      <c r="B128" s="32" t="s">
        <v>263</v>
      </c>
      <c r="C128" s="35" t="s">
        <v>15</v>
      </c>
      <c r="D128" s="33"/>
      <c r="E128" s="34"/>
      <c r="F128" s="34"/>
      <c r="G128" s="34"/>
      <c r="H128" s="34"/>
      <c r="I128" s="34"/>
      <c r="J128" s="34"/>
      <c r="K128" s="34"/>
      <c r="L128" s="34"/>
      <c r="M128" s="34"/>
      <c r="N128" s="34"/>
    </row>
    <row r="129" spans="1:14" ht="30" customHeight="1" x14ac:dyDescent="0.25">
      <c r="A129" s="31" t="s">
        <v>264</v>
      </c>
      <c r="B129" s="36" t="s">
        <v>265</v>
      </c>
      <c r="C129" s="31" t="s">
        <v>12</v>
      </c>
      <c r="D129" s="37"/>
      <c r="E129" s="38"/>
      <c r="F129" s="38"/>
      <c r="G129" s="38"/>
      <c r="H129" s="38"/>
      <c r="I129" s="38"/>
      <c r="J129" s="38"/>
      <c r="K129" s="38"/>
      <c r="L129" s="38"/>
      <c r="M129" s="38"/>
      <c r="N129" s="38"/>
    </row>
    <row r="130" spans="1:14" ht="30" customHeight="1" x14ac:dyDescent="0.25">
      <c r="A130" s="31" t="s">
        <v>266</v>
      </c>
      <c r="B130" s="32" t="s">
        <v>267</v>
      </c>
      <c r="C130" s="31" t="s">
        <v>12</v>
      </c>
      <c r="D130" s="33"/>
      <c r="E130" s="34"/>
      <c r="F130" s="34"/>
      <c r="G130" s="34"/>
      <c r="H130" s="34"/>
      <c r="I130" s="34"/>
      <c r="J130" s="34"/>
      <c r="K130" s="34"/>
      <c r="L130" s="34"/>
      <c r="M130" s="34"/>
      <c r="N130" s="34"/>
    </row>
    <row r="131" spans="1:14" ht="30" customHeight="1" x14ac:dyDescent="0.25">
      <c r="A131" s="31" t="s">
        <v>268</v>
      </c>
      <c r="B131" s="36" t="s">
        <v>269</v>
      </c>
      <c r="C131" s="31" t="s">
        <v>12</v>
      </c>
      <c r="D131" s="37"/>
      <c r="E131" s="38"/>
      <c r="F131" s="38"/>
      <c r="G131" s="38"/>
      <c r="H131" s="38"/>
      <c r="I131" s="38"/>
      <c r="J131" s="38"/>
      <c r="K131" s="38"/>
      <c r="L131" s="38"/>
      <c r="M131" s="38"/>
      <c r="N131" s="38"/>
    </row>
    <row r="132" spans="1:14" ht="30" customHeight="1" x14ac:dyDescent="0.25">
      <c r="A132" s="31" t="s">
        <v>270</v>
      </c>
      <c r="B132" s="32" t="s">
        <v>271</v>
      </c>
      <c r="C132" s="31" t="s">
        <v>12</v>
      </c>
      <c r="D132" s="33"/>
      <c r="E132" s="34"/>
      <c r="F132" s="34"/>
      <c r="G132" s="34"/>
      <c r="H132" s="34"/>
      <c r="I132" s="34"/>
      <c r="J132" s="34"/>
      <c r="K132" s="34"/>
      <c r="L132" s="34"/>
      <c r="M132" s="34"/>
      <c r="N132" s="34"/>
    </row>
    <row r="133" spans="1:14" ht="30" customHeight="1" x14ac:dyDescent="0.25">
      <c r="A133" s="35" t="s">
        <v>272</v>
      </c>
      <c r="B133" s="36" t="s">
        <v>273</v>
      </c>
      <c r="C133" s="35" t="s">
        <v>15</v>
      </c>
      <c r="D133" s="37"/>
      <c r="E133" s="38"/>
      <c r="F133" s="38"/>
      <c r="G133" s="38"/>
      <c r="H133" s="38"/>
      <c r="I133" s="38"/>
      <c r="J133" s="38"/>
      <c r="K133" s="38"/>
      <c r="L133" s="38"/>
      <c r="M133" s="38"/>
      <c r="N133" s="38"/>
    </row>
    <row r="134" spans="1:14" ht="30" customHeight="1" x14ac:dyDescent="0.25">
      <c r="A134" s="35" t="s">
        <v>274</v>
      </c>
      <c r="B134" s="32" t="s">
        <v>275</v>
      </c>
      <c r="C134" s="35" t="s">
        <v>15</v>
      </c>
      <c r="D134" s="33"/>
      <c r="E134" s="34"/>
      <c r="F134" s="34"/>
      <c r="G134" s="34"/>
      <c r="H134" s="34"/>
      <c r="I134" s="34"/>
      <c r="J134" s="34"/>
      <c r="K134" s="34"/>
      <c r="L134" s="34"/>
      <c r="M134" s="34"/>
      <c r="N134" s="34"/>
    </row>
    <row r="135" spans="1:14" ht="30" customHeight="1" x14ac:dyDescent="0.25">
      <c r="A135" s="31" t="s">
        <v>276</v>
      </c>
      <c r="B135" s="36" t="s">
        <v>277</v>
      </c>
      <c r="C135" s="31" t="s">
        <v>12</v>
      </c>
      <c r="D135" s="37"/>
      <c r="E135" s="38"/>
      <c r="F135" s="38"/>
      <c r="G135" s="38"/>
      <c r="H135" s="38"/>
      <c r="I135" s="38"/>
      <c r="J135" s="38"/>
      <c r="K135" s="38"/>
      <c r="L135" s="38"/>
      <c r="M135" s="38"/>
      <c r="N135" s="38"/>
    </row>
    <row r="136" spans="1:14" ht="30" customHeight="1" x14ac:dyDescent="0.25">
      <c r="A136" s="31" t="s">
        <v>278</v>
      </c>
      <c r="B136" s="32" t="s">
        <v>279</v>
      </c>
      <c r="C136" s="31" t="s">
        <v>12</v>
      </c>
      <c r="D136" s="33"/>
      <c r="E136" s="34"/>
      <c r="F136" s="34"/>
      <c r="G136" s="34"/>
      <c r="H136" s="34"/>
      <c r="I136" s="34"/>
      <c r="J136" s="34"/>
      <c r="K136" s="34"/>
      <c r="L136" s="34"/>
      <c r="M136" s="34"/>
      <c r="N136" s="34"/>
    </row>
    <row r="137" spans="1:14" ht="30" customHeight="1" x14ac:dyDescent="0.25">
      <c r="A137" s="35" t="s">
        <v>280</v>
      </c>
      <c r="B137" s="36" t="s">
        <v>281</v>
      </c>
      <c r="C137" s="35" t="s">
        <v>15</v>
      </c>
      <c r="D137" s="37"/>
      <c r="E137" s="38"/>
      <c r="F137" s="38"/>
      <c r="G137" s="38"/>
      <c r="H137" s="38"/>
      <c r="I137" s="38"/>
      <c r="J137" s="38"/>
      <c r="K137" s="38"/>
      <c r="L137" s="38"/>
      <c r="M137" s="38"/>
      <c r="N137" s="38"/>
    </row>
    <row r="138" spans="1:14" ht="30" customHeight="1" x14ac:dyDescent="0.25">
      <c r="A138" s="39" t="s">
        <v>282</v>
      </c>
      <c r="B138" s="32" t="s">
        <v>283</v>
      </c>
      <c r="C138" s="39" t="s">
        <v>18</v>
      </c>
      <c r="D138" s="33"/>
      <c r="E138" s="34"/>
      <c r="F138" s="34"/>
      <c r="G138" s="34"/>
      <c r="H138" s="34"/>
      <c r="I138" s="34"/>
      <c r="J138" s="34"/>
      <c r="K138" s="34"/>
      <c r="L138" s="34"/>
      <c r="M138" s="34"/>
      <c r="N138" s="34"/>
    </row>
    <row r="139" spans="1:14" ht="30" customHeight="1" x14ac:dyDescent="0.25">
      <c r="A139" s="35" t="s">
        <v>284</v>
      </c>
      <c r="B139" s="36" t="s">
        <v>285</v>
      </c>
      <c r="C139" s="35" t="s">
        <v>15</v>
      </c>
      <c r="D139" s="37" t="s">
        <v>47</v>
      </c>
      <c r="E139" s="38"/>
      <c r="F139" s="38"/>
      <c r="G139" s="38"/>
      <c r="H139" s="38"/>
      <c r="I139" s="38"/>
      <c r="J139" s="38"/>
      <c r="K139" s="38"/>
      <c r="L139" s="38"/>
      <c r="M139" s="38"/>
      <c r="N139" s="38"/>
    </row>
    <row r="140" spans="1:14" ht="30" customHeight="1" x14ac:dyDescent="0.25">
      <c r="A140" s="35" t="s">
        <v>286</v>
      </c>
      <c r="B140" s="32" t="s">
        <v>287</v>
      </c>
      <c r="C140" s="35" t="s">
        <v>15</v>
      </c>
      <c r="D140" s="33"/>
      <c r="E140" s="34"/>
      <c r="F140" s="34"/>
      <c r="G140" s="34"/>
      <c r="H140" s="34"/>
      <c r="I140" s="34"/>
      <c r="J140" s="34"/>
      <c r="K140" s="34"/>
      <c r="L140" s="34"/>
      <c r="M140" s="34"/>
      <c r="N140" s="34"/>
    </row>
    <row r="141" spans="1:14" ht="30" customHeight="1" x14ac:dyDescent="0.25">
      <c r="A141" s="35" t="s">
        <v>288</v>
      </c>
      <c r="B141" s="36" t="s">
        <v>289</v>
      </c>
      <c r="C141" s="35" t="s">
        <v>15</v>
      </c>
      <c r="D141" s="37"/>
      <c r="E141" s="38"/>
      <c r="F141" s="38"/>
      <c r="G141" s="38"/>
      <c r="H141" s="38"/>
      <c r="I141" s="38"/>
      <c r="J141" s="38"/>
      <c r="K141" s="38"/>
      <c r="L141" s="38"/>
      <c r="M141" s="38"/>
      <c r="N141" s="38"/>
    </row>
    <row r="142" spans="1:14" ht="30" customHeight="1" x14ac:dyDescent="0.25">
      <c r="A142" s="39" t="s">
        <v>290</v>
      </c>
      <c r="B142" s="32" t="s">
        <v>291</v>
      </c>
      <c r="C142" s="39" t="s">
        <v>18</v>
      </c>
      <c r="D142" s="33" t="s">
        <v>47</v>
      </c>
      <c r="E142" s="34"/>
      <c r="F142" s="34"/>
      <c r="G142" s="34"/>
      <c r="H142" s="34"/>
      <c r="I142" s="34"/>
      <c r="J142" s="34"/>
      <c r="K142" s="34"/>
      <c r="L142" s="34"/>
      <c r="M142" s="34"/>
      <c r="N142" s="34"/>
    </row>
    <row r="143" spans="1:14" ht="30" customHeight="1" x14ac:dyDescent="0.25">
      <c r="A143" s="31" t="s">
        <v>292</v>
      </c>
      <c r="B143" s="36" t="s">
        <v>293</v>
      </c>
      <c r="C143" s="31" t="s">
        <v>12</v>
      </c>
      <c r="D143" s="37"/>
      <c r="E143" s="38"/>
      <c r="F143" s="38"/>
      <c r="G143" s="38"/>
      <c r="H143" s="38"/>
      <c r="I143" s="38"/>
      <c r="J143" s="38"/>
      <c r="K143" s="38"/>
      <c r="L143" s="38"/>
      <c r="M143" s="38"/>
      <c r="N143" s="38"/>
    </row>
    <row r="144" spans="1:14" ht="30" customHeight="1" x14ac:dyDescent="0.25">
      <c r="A144" s="31" t="s">
        <v>294</v>
      </c>
      <c r="B144" s="32" t="s">
        <v>295</v>
      </c>
      <c r="C144" s="31" t="s">
        <v>12</v>
      </c>
      <c r="D144" s="33"/>
      <c r="E144" s="34"/>
      <c r="F144" s="34"/>
      <c r="G144" s="34"/>
      <c r="H144" s="34"/>
      <c r="I144" s="34"/>
      <c r="J144" s="34"/>
      <c r="K144" s="34"/>
      <c r="L144" s="34"/>
      <c r="M144" s="34"/>
      <c r="N144" s="34"/>
    </row>
    <row r="145" spans="1:14" ht="30" customHeight="1" x14ac:dyDescent="0.25">
      <c r="A145" s="35" t="s">
        <v>296</v>
      </c>
      <c r="B145" s="36" t="s">
        <v>297</v>
      </c>
      <c r="C145" s="35" t="s">
        <v>15</v>
      </c>
      <c r="D145" s="37"/>
      <c r="E145" s="38"/>
      <c r="F145" s="38"/>
      <c r="G145" s="38"/>
      <c r="H145" s="38"/>
      <c r="I145" s="38"/>
      <c r="J145" s="38"/>
      <c r="K145" s="38"/>
      <c r="L145" s="38"/>
      <c r="M145" s="38"/>
      <c r="N145" s="38"/>
    </row>
    <row r="146" spans="1:14" ht="30" customHeight="1" x14ac:dyDescent="0.25">
      <c r="A146" s="35" t="s">
        <v>298</v>
      </c>
      <c r="B146" s="32" t="s">
        <v>299</v>
      </c>
      <c r="C146" s="35" t="s">
        <v>15</v>
      </c>
      <c r="D146" s="33"/>
      <c r="E146" s="34"/>
      <c r="F146" s="34"/>
      <c r="G146" s="34"/>
      <c r="H146" s="34"/>
      <c r="I146" s="34"/>
      <c r="J146" s="34"/>
      <c r="K146" s="34"/>
      <c r="L146" s="34"/>
      <c r="M146" s="34"/>
      <c r="N146" s="34"/>
    </row>
    <row r="147" spans="1:14" ht="30" customHeight="1" x14ac:dyDescent="0.25">
      <c r="A147" s="31" t="s">
        <v>300</v>
      </c>
      <c r="B147" s="36" t="s">
        <v>301</v>
      </c>
      <c r="C147" s="31" t="s">
        <v>12</v>
      </c>
      <c r="D147" s="37" t="s">
        <v>47</v>
      </c>
      <c r="E147" s="38"/>
      <c r="F147" s="38"/>
      <c r="G147" s="38"/>
      <c r="H147" s="38"/>
      <c r="I147" s="38"/>
      <c r="J147" s="38"/>
      <c r="K147" s="38"/>
      <c r="L147" s="38"/>
      <c r="M147" s="38"/>
      <c r="N147" s="38"/>
    </row>
    <row r="148" spans="1:14" ht="30" customHeight="1" x14ac:dyDescent="0.25">
      <c r="A148" s="35" t="s">
        <v>302</v>
      </c>
      <c r="B148" s="32" t="s">
        <v>303</v>
      </c>
      <c r="C148" s="35" t="s">
        <v>15</v>
      </c>
      <c r="D148" s="33"/>
      <c r="E148" s="34"/>
      <c r="F148" s="34"/>
      <c r="G148" s="34"/>
      <c r="H148" s="34"/>
      <c r="I148" s="34"/>
      <c r="J148" s="34"/>
      <c r="K148" s="34"/>
      <c r="L148" s="34"/>
      <c r="M148" s="34"/>
      <c r="N148" s="34"/>
    </row>
    <row r="149" spans="1:14" ht="30" customHeight="1" x14ac:dyDescent="0.25">
      <c r="A149" s="35" t="s">
        <v>304</v>
      </c>
      <c r="B149" s="36" t="s">
        <v>305</v>
      </c>
      <c r="C149" s="35" t="s">
        <v>15</v>
      </c>
      <c r="D149" s="37"/>
      <c r="E149" s="38"/>
      <c r="F149" s="38"/>
      <c r="G149" s="38"/>
      <c r="H149" s="38"/>
      <c r="I149" s="38"/>
      <c r="J149" s="38"/>
      <c r="K149" s="38"/>
      <c r="L149" s="38"/>
      <c r="M149" s="38"/>
      <c r="N149" s="38"/>
    </row>
    <row r="150" spans="1:14" ht="30" customHeight="1" x14ac:dyDescent="0.25">
      <c r="A150" s="35" t="s">
        <v>306</v>
      </c>
      <c r="B150" s="32" t="s">
        <v>307</v>
      </c>
      <c r="C150" s="35" t="s">
        <v>15</v>
      </c>
      <c r="D150" s="33"/>
      <c r="E150" s="34"/>
      <c r="F150" s="34"/>
      <c r="G150" s="34"/>
      <c r="H150" s="34"/>
      <c r="I150" s="34"/>
      <c r="J150" s="34"/>
      <c r="K150" s="34"/>
      <c r="L150" s="34"/>
      <c r="M150" s="34"/>
      <c r="N150" s="34"/>
    </row>
    <row r="151" spans="1:14" ht="30" customHeight="1" x14ac:dyDescent="0.25">
      <c r="A151" s="35" t="s">
        <v>308</v>
      </c>
      <c r="B151" s="36" t="s">
        <v>309</v>
      </c>
      <c r="C151" s="35" t="s">
        <v>15</v>
      </c>
      <c r="D151" s="37"/>
      <c r="E151" s="38"/>
      <c r="F151" s="38"/>
      <c r="G151" s="38"/>
      <c r="H151" s="38"/>
      <c r="I151" s="38"/>
      <c r="J151" s="38"/>
      <c r="K151" s="38"/>
      <c r="L151" s="38"/>
      <c r="M151" s="38"/>
      <c r="N151" s="38"/>
    </row>
    <row r="152" spans="1:14" ht="30" customHeight="1" x14ac:dyDescent="0.25">
      <c r="A152" s="31" t="s">
        <v>310</v>
      </c>
      <c r="B152" s="32" t="s">
        <v>311</v>
      </c>
      <c r="C152" s="31" t="s">
        <v>12</v>
      </c>
      <c r="D152" s="33"/>
      <c r="E152" s="34"/>
      <c r="F152" s="34"/>
      <c r="G152" s="34"/>
      <c r="H152" s="34"/>
      <c r="I152" s="34"/>
      <c r="J152" s="34"/>
      <c r="K152" s="34"/>
      <c r="L152" s="34"/>
      <c r="M152" s="34"/>
      <c r="N152" s="34"/>
    </row>
    <row r="153" spans="1:14" ht="30" customHeight="1" x14ac:dyDescent="0.25">
      <c r="A153" s="31" t="s">
        <v>312</v>
      </c>
      <c r="B153" s="36" t="s">
        <v>313</v>
      </c>
      <c r="C153" s="31" t="s">
        <v>12</v>
      </c>
      <c r="D153" s="37"/>
      <c r="E153" s="38"/>
      <c r="F153" s="38"/>
      <c r="G153" s="38"/>
      <c r="H153" s="38"/>
      <c r="I153" s="38"/>
      <c r="J153" s="38"/>
      <c r="K153" s="38"/>
      <c r="L153" s="38"/>
      <c r="M153" s="38"/>
      <c r="N153" s="38"/>
    </row>
    <row r="154" spans="1:14" ht="30" customHeight="1" x14ac:dyDescent="0.25">
      <c r="A154" s="39" t="s">
        <v>314</v>
      </c>
      <c r="B154" s="32" t="s">
        <v>315</v>
      </c>
      <c r="C154" s="39" t="s">
        <v>18</v>
      </c>
      <c r="D154" s="33" t="s">
        <v>47</v>
      </c>
      <c r="E154" s="34"/>
      <c r="F154" s="34"/>
      <c r="G154" s="34"/>
      <c r="H154" s="34"/>
      <c r="I154" s="34"/>
      <c r="J154" s="34"/>
      <c r="K154" s="34"/>
      <c r="L154" s="34"/>
      <c r="M154" s="34"/>
      <c r="N154" s="34"/>
    </row>
    <row r="155" spans="1:14" ht="30" customHeight="1" x14ac:dyDescent="0.25">
      <c r="A155" s="31" t="s">
        <v>316</v>
      </c>
      <c r="B155" s="36" t="s">
        <v>317</v>
      </c>
      <c r="C155" s="31" t="s">
        <v>12</v>
      </c>
      <c r="D155" s="37"/>
      <c r="E155" s="38"/>
      <c r="F155" s="38"/>
      <c r="G155" s="38"/>
      <c r="H155" s="38"/>
      <c r="I155" s="38"/>
      <c r="J155" s="38"/>
      <c r="K155" s="38"/>
      <c r="L155" s="38"/>
      <c r="M155" s="38"/>
      <c r="N155" s="38"/>
    </row>
    <row r="156" spans="1:14" ht="30" customHeight="1" x14ac:dyDescent="0.25">
      <c r="A156" s="31" t="s">
        <v>318</v>
      </c>
      <c r="B156" s="32" t="s">
        <v>319</v>
      </c>
      <c r="C156" s="31" t="s">
        <v>12</v>
      </c>
      <c r="D156" s="33"/>
      <c r="E156" s="34"/>
      <c r="F156" s="34"/>
      <c r="G156" s="34"/>
      <c r="H156" s="34"/>
      <c r="I156" s="34"/>
      <c r="J156" s="34"/>
      <c r="K156" s="34"/>
      <c r="L156" s="34"/>
      <c r="M156" s="34"/>
      <c r="N156" s="34"/>
    </row>
    <row r="157" spans="1:14" ht="30" customHeight="1" x14ac:dyDescent="0.25">
      <c r="A157" s="35" t="s">
        <v>320</v>
      </c>
      <c r="B157" s="36" t="s">
        <v>321</v>
      </c>
      <c r="C157" s="35" t="s">
        <v>15</v>
      </c>
      <c r="D157" s="37"/>
      <c r="E157" s="38"/>
      <c r="F157" s="38"/>
      <c r="G157" s="38"/>
      <c r="H157" s="38"/>
      <c r="I157" s="38"/>
      <c r="J157" s="38"/>
      <c r="K157" s="38"/>
      <c r="L157" s="38"/>
      <c r="M157" s="38"/>
      <c r="N157" s="38"/>
    </row>
    <row r="158" spans="1:14" ht="30" customHeight="1" x14ac:dyDescent="0.25">
      <c r="A158" s="35" t="s">
        <v>322</v>
      </c>
      <c r="B158" s="32" t="s">
        <v>323</v>
      </c>
      <c r="C158" s="35" t="s">
        <v>15</v>
      </c>
      <c r="D158" s="33"/>
      <c r="E158" s="34"/>
      <c r="F158" s="34"/>
      <c r="G158" s="34"/>
      <c r="H158" s="34"/>
      <c r="I158" s="34"/>
      <c r="J158" s="34"/>
      <c r="K158" s="34"/>
      <c r="L158" s="34"/>
      <c r="M158" s="34"/>
      <c r="N158" s="34"/>
    </row>
    <row r="159" spans="1:14" ht="30" customHeight="1" x14ac:dyDescent="0.25">
      <c r="A159" s="39" t="s">
        <v>324</v>
      </c>
      <c r="B159" s="36" t="s">
        <v>325</v>
      </c>
      <c r="C159" s="39" t="s">
        <v>18</v>
      </c>
      <c r="D159" s="37"/>
      <c r="E159" s="38"/>
      <c r="F159" s="38"/>
      <c r="G159" s="38"/>
      <c r="H159" s="38"/>
      <c r="I159" s="38"/>
      <c r="J159" s="38"/>
      <c r="K159" s="38"/>
      <c r="L159" s="38"/>
      <c r="M159" s="38"/>
      <c r="N159" s="38"/>
    </row>
    <row r="160" spans="1:14" ht="30" customHeight="1" x14ac:dyDescent="0.25">
      <c r="A160" s="31" t="s">
        <v>326</v>
      </c>
      <c r="B160" s="32" t="s">
        <v>327</v>
      </c>
      <c r="C160" s="31" t="s">
        <v>12</v>
      </c>
      <c r="D160" s="33"/>
      <c r="E160" s="34"/>
      <c r="F160" s="34"/>
      <c r="G160" s="34"/>
      <c r="H160" s="34"/>
      <c r="I160" s="34"/>
      <c r="J160" s="34"/>
      <c r="K160" s="34"/>
      <c r="L160" s="34"/>
      <c r="M160" s="34"/>
      <c r="N160" s="34"/>
    </row>
    <row r="161" spans="1:14" ht="30" customHeight="1" x14ac:dyDescent="0.25">
      <c r="A161" s="31" t="s">
        <v>328</v>
      </c>
      <c r="B161" s="36" t="s">
        <v>329</v>
      </c>
      <c r="C161" s="31" t="s">
        <v>12</v>
      </c>
      <c r="D161" s="37"/>
      <c r="E161" s="38"/>
      <c r="F161" s="38"/>
      <c r="G161" s="38"/>
      <c r="H161" s="38"/>
      <c r="I161" s="38"/>
      <c r="J161" s="38"/>
      <c r="K161" s="38"/>
      <c r="L161" s="38"/>
      <c r="M161" s="38"/>
      <c r="N161" s="38"/>
    </row>
    <row r="162" spans="1:14" ht="30" customHeight="1" x14ac:dyDescent="0.25">
      <c r="A162" s="31" t="s">
        <v>330</v>
      </c>
      <c r="B162" s="32" t="s">
        <v>331</v>
      </c>
      <c r="C162" s="31" t="s">
        <v>12</v>
      </c>
      <c r="D162" s="33"/>
      <c r="E162" s="34"/>
      <c r="F162" s="34"/>
      <c r="G162" s="34"/>
      <c r="H162" s="34"/>
      <c r="I162" s="34"/>
      <c r="J162" s="34"/>
      <c r="K162" s="34"/>
      <c r="L162" s="34"/>
      <c r="M162" s="34"/>
      <c r="N162" s="34"/>
    </row>
    <row r="163" spans="1:14" ht="30" customHeight="1" x14ac:dyDescent="0.25">
      <c r="A163" s="35" t="s">
        <v>332</v>
      </c>
      <c r="B163" s="36" t="s">
        <v>333</v>
      </c>
      <c r="C163" s="35" t="s">
        <v>15</v>
      </c>
      <c r="D163" s="37"/>
      <c r="E163" s="38"/>
      <c r="F163" s="38"/>
      <c r="G163" s="38"/>
      <c r="H163" s="38"/>
      <c r="I163" s="38"/>
      <c r="J163" s="38"/>
      <c r="K163" s="38"/>
      <c r="L163" s="38"/>
      <c r="M163" s="38"/>
      <c r="N163" s="38"/>
    </row>
    <row r="164" spans="1:14" ht="30" customHeight="1" x14ac:dyDescent="0.25">
      <c r="A164" s="35" t="s">
        <v>334</v>
      </c>
      <c r="B164" s="32" t="s">
        <v>335</v>
      </c>
      <c r="C164" s="35" t="s">
        <v>15</v>
      </c>
      <c r="D164" s="33"/>
      <c r="E164" s="34"/>
      <c r="F164" s="34"/>
      <c r="G164" s="34"/>
      <c r="H164" s="34"/>
      <c r="I164" s="34"/>
      <c r="J164" s="34"/>
      <c r="K164" s="34"/>
      <c r="L164" s="34"/>
      <c r="M164" s="34"/>
      <c r="N164" s="34"/>
    </row>
    <row r="165" spans="1:14" ht="30" customHeight="1" x14ac:dyDescent="0.25">
      <c r="A165" s="39" t="s">
        <v>336</v>
      </c>
      <c r="B165" s="36" t="s">
        <v>337</v>
      </c>
      <c r="C165" s="39" t="s">
        <v>18</v>
      </c>
      <c r="D165" s="37" t="s">
        <v>47</v>
      </c>
      <c r="E165" s="38"/>
      <c r="F165" s="38"/>
      <c r="G165" s="38"/>
      <c r="H165" s="38"/>
      <c r="I165" s="38"/>
      <c r="J165" s="38"/>
      <c r="K165" s="38"/>
      <c r="L165" s="38"/>
      <c r="M165" s="38"/>
      <c r="N165" s="38"/>
    </row>
    <row r="166" spans="1:14" ht="30" customHeight="1" x14ac:dyDescent="0.25">
      <c r="A166" s="39" t="s">
        <v>338</v>
      </c>
      <c r="B166" s="32" t="s">
        <v>339</v>
      </c>
      <c r="C166" s="39" t="s">
        <v>18</v>
      </c>
      <c r="D166" s="33" t="s">
        <v>47</v>
      </c>
      <c r="E166" s="34"/>
      <c r="F166" s="34"/>
      <c r="G166" s="34"/>
      <c r="H166" s="34"/>
      <c r="I166" s="34"/>
      <c r="J166" s="34"/>
      <c r="K166" s="34"/>
      <c r="L166" s="34"/>
      <c r="M166" s="34"/>
      <c r="N166" s="34"/>
    </row>
    <row r="167" spans="1:14" ht="30" customHeight="1" x14ac:dyDescent="0.25">
      <c r="A167" s="31" t="s">
        <v>340</v>
      </c>
      <c r="B167" s="36" t="s">
        <v>341</v>
      </c>
      <c r="C167" s="31" t="s">
        <v>12</v>
      </c>
      <c r="D167" s="37" t="s">
        <v>47</v>
      </c>
      <c r="E167" s="38"/>
      <c r="F167" s="38"/>
      <c r="G167" s="38"/>
      <c r="H167" s="38"/>
      <c r="I167" s="38"/>
      <c r="J167" s="38"/>
      <c r="K167" s="38"/>
      <c r="L167" s="38"/>
      <c r="M167" s="38"/>
      <c r="N167" s="38"/>
    </row>
    <row r="168" spans="1:14" ht="30" customHeight="1" x14ac:dyDescent="0.25">
      <c r="A168" s="31" t="s">
        <v>342</v>
      </c>
      <c r="B168" s="32" t="s">
        <v>343</v>
      </c>
      <c r="C168" s="31" t="s">
        <v>12</v>
      </c>
      <c r="D168" s="33" t="s">
        <v>47</v>
      </c>
      <c r="E168" s="34"/>
      <c r="F168" s="34"/>
      <c r="G168" s="34"/>
      <c r="H168" s="34"/>
      <c r="I168" s="34"/>
      <c r="J168" s="34"/>
      <c r="K168" s="34"/>
      <c r="L168" s="34"/>
      <c r="M168" s="34"/>
      <c r="N168" s="34"/>
    </row>
    <row r="169" spans="1:14" ht="30" customHeight="1" x14ac:dyDescent="0.25">
      <c r="A169" s="35" t="s">
        <v>344</v>
      </c>
      <c r="B169" s="36" t="s">
        <v>345</v>
      </c>
      <c r="C169" s="35" t="s">
        <v>15</v>
      </c>
      <c r="D169" s="37"/>
      <c r="E169" s="38"/>
      <c r="F169" s="38"/>
      <c r="G169" s="38"/>
      <c r="H169" s="38"/>
      <c r="I169" s="38"/>
      <c r="J169" s="38"/>
      <c r="K169" s="38"/>
      <c r="L169" s="38"/>
      <c r="M169" s="38"/>
      <c r="N169" s="38"/>
    </row>
    <row r="170" spans="1:14" ht="30" customHeight="1" x14ac:dyDescent="0.25">
      <c r="A170" s="35" t="s">
        <v>346</v>
      </c>
      <c r="B170" s="32" t="s">
        <v>347</v>
      </c>
      <c r="C170" s="35" t="s">
        <v>15</v>
      </c>
      <c r="D170" s="33"/>
      <c r="E170" s="34"/>
      <c r="F170" s="34"/>
      <c r="G170" s="34"/>
      <c r="H170" s="34"/>
      <c r="I170" s="34"/>
      <c r="J170" s="34"/>
      <c r="K170" s="34"/>
      <c r="L170" s="34"/>
      <c r="M170" s="34"/>
      <c r="N170" s="34"/>
    </row>
    <row r="171" spans="1:14" ht="30" customHeight="1" x14ac:dyDescent="0.25">
      <c r="A171" s="35" t="s">
        <v>348</v>
      </c>
      <c r="B171" s="36" t="s">
        <v>349</v>
      </c>
      <c r="C171" s="35" t="s">
        <v>15</v>
      </c>
      <c r="D171" s="37"/>
      <c r="E171" s="38"/>
      <c r="F171" s="38"/>
      <c r="G171" s="38"/>
      <c r="H171" s="38"/>
      <c r="I171" s="38"/>
      <c r="J171" s="38"/>
      <c r="K171" s="38"/>
      <c r="L171" s="38"/>
      <c r="M171" s="38"/>
      <c r="N171" s="38"/>
    </row>
    <row r="172" spans="1:14" ht="30" customHeight="1" x14ac:dyDescent="0.25">
      <c r="A172" s="35" t="s">
        <v>350</v>
      </c>
      <c r="B172" s="32" t="s">
        <v>351</v>
      </c>
      <c r="C172" s="35" t="s">
        <v>15</v>
      </c>
      <c r="D172" s="33"/>
      <c r="E172" s="34"/>
      <c r="F172" s="34"/>
      <c r="G172" s="34"/>
      <c r="H172" s="34"/>
      <c r="I172" s="34"/>
      <c r="J172" s="34"/>
      <c r="K172" s="34"/>
      <c r="L172" s="34"/>
      <c r="M172" s="34"/>
      <c r="N172" s="34"/>
    </row>
    <row r="173" spans="1:14" ht="30" customHeight="1" x14ac:dyDescent="0.25">
      <c r="A173" s="35" t="s">
        <v>352</v>
      </c>
      <c r="B173" s="36" t="s">
        <v>353</v>
      </c>
      <c r="C173" s="35" t="s">
        <v>15</v>
      </c>
      <c r="D173" s="37"/>
      <c r="E173" s="38"/>
      <c r="F173" s="38"/>
      <c r="G173" s="38"/>
      <c r="H173" s="38"/>
      <c r="I173" s="38"/>
      <c r="J173" s="38"/>
      <c r="K173" s="38"/>
      <c r="L173" s="38"/>
      <c r="M173" s="38"/>
      <c r="N173" s="38"/>
    </row>
    <row r="174" spans="1:14" ht="30" customHeight="1" x14ac:dyDescent="0.25">
      <c r="A174" s="31" t="s">
        <v>354</v>
      </c>
      <c r="B174" s="32" t="s">
        <v>355</v>
      </c>
      <c r="C174" s="31" t="s">
        <v>12</v>
      </c>
      <c r="D174" s="33"/>
      <c r="E174" s="34"/>
      <c r="F174" s="34"/>
      <c r="G174" s="34"/>
      <c r="H174" s="34"/>
      <c r="I174" s="34"/>
      <c r="J174" s="34"/>
      <c r="K174" s="34"/>
      <c r="L174" s="34"/>
      <c r="M174" s="34"/>
      <c r="N174" s="34"/>
    </row>
    <row r="175" spans="1:14" ht="30" customHeight="1" x14ac:dyDescent="0.25">
      <c r="A175" s="35" t="s">
        <v>356</v>
      </c>
      <c r="B175" s="36" t="s">
        <v>357</v>
      </c>
      <c r="C175" s="35" t="s">
        <v>15</v>
      </c>
      <c r="D175" s="37"/>
      <c r="E175" s="38"/>
      <c r="F175" s="38"/>
      <c r="G175" s="38"/>
      <c r="H175" s="38"/>
      <c r="I175" s="38"/>
      <c r="J175" s="38"/>
      <c r="K175" s="38"/>
      <c r="L175" s="38"/>
      <c r="M175" s="38"/>
      <c r="N175" s="38"/>
    </row>
    <row r="176" spans="1:14" ht="30" customHeight="1" x14ac:dyDescent="0.25">
      <c r="A176" s="35" t="s">
        <v>358</v>
      </c>
      <c r="B176" s="32" t="s">
        <v>359</v>
      </c>
      <c r="C176" s="35" t="s">
        <v>15</v>
      </c>
      <c r="D176" s="33"/>
      <c r="E176" s="34"/>
      <c r="F176" s="34"/>
      <c r="G176" s="34"/>
      <c r="H176" s="34"/>
      <c r="I176" s="34"/>
      <c r="J176" s="34"/>
      <c r="K176" s="34"/>
      <c r="L176" s="34"/>
      <c r="M176" s="34"/>
      <c r="N176" s="34"/>
    </row>
    <row r="177" spans="1:14" ht="30" customHeight="1" x14ac:dyDescent="0.25">
      <c r="A177" s="31" t="s">
        <v>360</v>
      </c>
      <c r="B177" s="36" t="s">
        <v>361</v>
      </c>
      <c r="C177" s="31" t="s">
        <v>12</v>
      </c>
      <c r="D177" s="37"/>
      <c r="E177" s="38"/>
      <c r="F177" s="38"/>
      <c r="G177" s="38"/>
      <c r="H177" s="38"/>
      <c r="I177" s="38"/>
      <c r="J177" s="38"/>
      <c r="K177" s="38"/>
      <c r="L177" s="38"/>
      <c r="M177" s="38"/>
      <c r="N177" s="38"/>
    </row>
    <row r="178" spans="1:14" ht="30" customHeight="1" x14ac:dyDescent="0.25">
      <c r="A178" s="39" t="s">
        <v>362</v>
      </c>
      <c r="B178" s="32" t="s">
        <v>363</v>
      </c>
      <c r="C178" s="39" t="s">
        <v>18</v>
      </c>
      <c r="D178" s="33"/>
      <c r="E178" s="34"/>
      <c r="F178" s="34"/>
      <c r="G178" s="34"/>
      <c r="H178" s="34"/>
      <c r="I178" s="34"/>
      <c r="J178" s="34"/>
      <c r="K178" s="34"/>
      <c r="L178" s="34"/>
      <c r="M178" s="34"/>
      <c r="N178" s="34"/>
    </row>
    <row r="179" spans="1:14" ht="30" customHeight="1" x14ac:dyDescent="0.25">
      <c r="A179" s="39" t="s">
        <v>364</v>
      </c>
      <c r="B179" s="36" t="s">
        <v>365</v>
      </c>
      <c r="C179" s="39" t="s">
        <v>18</v>
      </c>
      <c r="D179" s="37" t="s">
        <v>47</v>
      </c>
      <c r="E179" s="38"/>
      <c r="F179" s="38"/>
      <c r="G179" s="38"/>
      <c r="H179" s="38"/>
      <c r="I179" s="38"/>
      <c r="J179" s="38"/>
      <c r="K179" s="38"/>
      <c r="L179" s="38"/>
      <c r="M179" s="38"/>
      <c r="N179" s="38"/>
    </row>
    <row r="180" spans="1:14" ht="30" customHeight="1" x14ac:dyDescent="0.25">
      <c r="A180" s="31" t="s">
        <v>366</v>
      </c>
      <c r="B180" s="32" t="s">
        <v>367</v>
      </c>
      <c r="C180" s="31" t="s">
        <v>12</v>
      </c>
      <c r="D180" s="33" t="s">
        <v>47</v>
      </c>
      <c r="E180" s="34"/>
      <c r="F180" s="34"/>
      <c r="G180" s="34"/>
      <c r="H180" s="34"/>
      <c r="I180" s="34"/>
      <c r="J180" s="34"/>
      <c r="K180" s="34"/>
      <c r="L180" s="34"/>
      <c r="M180" s="34"/>
      <c r="N180" s="34"/>
    </row>
    <row r="181" spans="1:14" ht="30" customHeight="1" x14ac:dyDescent="0.25">
      <c r="A181" s="35" t="s">
        <v>368</v>
      </c>
      <c r="B181" s="36" t="s">
        <v>369</v>
      </c>
      <c r="C181" s="35" t="s">
        <v>15</v>
      </c>
      <c r="D181" s="37"/>
      <c r="E181" s="38"/>
      <c r="F181" s="38"/>
      <c r="G181" s="38"/>
      <c r="H181" s="38"/>
      <c r="I181" s="38"/>
      <c r="J181" s="38"/>
      <c r="K181" s="38"/>
      <c r="L181" s="38"/>
      <c r="M181" s="38"/>
      <c r="N181" s="38"/>
    </row>
    <row r="182" spans="1:14" ht="30" customHeight="1" x14ac:dyDescent="0.25">
      <c r="A182" s="31" t="s">
        <v>370</v>
      </c>
      <c r="B182" s="32" t="s">
        <v>371</v>
      </c>
      <c r="C182" s="31" t="s">
        <v>12</v>
      </c>
      <c r="D182" s="33"/>
      <c r="E182" s="34"/>
      <c r="F182" s="34"/>
      <c r="G182" s="34"/>
      <c r="H182" s="34"/>
      <c r="I182" s="34"/>
      <c r="J182" s="34"/>
      <c r="K182" s="34"/>
      <c r="L182" s="34"/>
      <c r="M182" s="34"/>
      <c r="N182" s="34"/>
    </row>
    <row r="183" spans="1:14" ht="30" customHeight="1" x14ac:dyDescent="0.25">
      <c r="A183" s="35" t="s">
        <v>372</v>
      </c>
      <c r="B183" s="36" t="s">
        <v>373</v>
      </c>
      <c r="C183" s="35" t="s">
        <v>15</v>
      </c>
      <c r="D183" s="37"/>
      <c r="E183" s="38"/>
      <c r="F183" s="38"/>
      <c r="G183" s="38"/>
      <c r="H183" s="38"/>
      <c r="I183" s="38"/>
      <c r="J183" s="38"/>
      <c r="K183" s="38"/>
      <c r="L183" s="38"/>
      <c r="M183" s="38"/>
      <c r="N183" s="38"/>
    </row>
    <row r="184" spans="1:14" ht="30" customHeight="1" x14ac:dyDescent="0.25">
      <c r="A184" s="39" t="s">
        <v>374</v>
      </c>
      <c r="B184" s="32" t="s">
        <v>375</v>
      </c>
      <c r="C184" s="39" t="s">
        <v>18</v>
      </c>
      <c r="D184" s="33"/>
      <c r="E184" s="34"/>
      <c r="F184" s="34"/>
      <c r="G184" s="34"/>
      <c r="H184" s="34"/>
      <c r="I184" s="34"/>
      <c r="J184" s="34"/>
      <c r="K184" s="34"/>
      <c r="L184" s="34"/>
      <c r="M184" s="34"/>
      <c r="N184" s="34"/>
    </row>
    <row r="185" spans="1:14" ht="30" customHeight="1" x14ac:dyDescent="0.25">
      <c r="A185" s="31" t="s">
        <v>376</v>
      </c>
      <c r="B185" s="36" t="s">
        <v>377</v>
      </c>
      <c r="C185" s="31" t="s">
        <v>12</v>
      </c>
      <c r="D185" s="37"/>
      <c r="E185" s="38"/>
      <c r="F185" s="38"/>
      <c r="G185" s="38"/>
      <c r="H185" s="38"/>
      <c r="I185" s="38"/>
      <c r="J185" s="38"/>
      <c r="K185" s="38"/>
      <c r="L185" s="38"/>
      <c r="M185" s="38"/>
      <c r="N185" s="38"/>
    </row>
    <row r="186" spans="1:14" ht="30" customHeight="1" x14ac:dyDescent="0.25">
      <c r="A186" s="31" t="s">
        <v>378</v>
      </c>
      <c r="B186" s="32" t="s">
        <v>379</v>
      </c>
      <c r="C186" s="31" t="s">
        <v>12</v>
      </c>
      <c r="D186" s="33"/>
      <c r="E186" s="34"/>
      <c r="F186" s="34"/>
      <c r="G186" s="34"/>
      <c r="H186" s="34"/>
      <c r="I186" s="34"/>
      <c r="J186" s="34"/>
      <c r="K186" s="34"/>
      <c r="L186" s="34"/>
      <c r="M186" s="34"/>
      <c r="N186" s="34"/>
    </row>
    <row r="187" spans="1:14" ht="30" customHeight="1" x14ac:dyDescent="0.25">
      <c r="A187" s="31" t="s">
        <v>380</v>
      </c>
      <c r="B187" s="36" t="s">
        <v>381</v>
      </c>
      <c r="C187" s="31" t="s">
        <v>12</v>
      </c>
      <c r="D187" s="37"/>
      <c r="E187" s="38"/>
      <c r="F187" s="38"/>
      <c r="G187" s="38"/>
      <c r="H187" s="38"/>
      <c r="I187" s="38"/>
      <c r="J187" s="38"/>
      <c r="K187" s="38"/>
      <c r="L187" s="38"/>
      <c r="M187" s="38"/>
      <c r="N187" s="38"/>
    </row>
    <row r="188" spans="1:14" ht="30" customHeight="1" x14ac:dyDescent="0.25">
      <c r="A188" s="31" t="s">
        <v>382</v>
      </c>
      <c r="B188" s="32" t="s">
        <v>383</v>
      </c>
      <c r="C188" s="31" t="s">
        <v>12</v>
      </c>
      <c r="D188" s="33"/>
      <c r="E188" s="34"/>
      <c r="F188" s="34"/>
      <c r="G188" s="34"/>
      <c r="H188" s="34"/>
      <c r="I188" s="34"/>
      <c r="J188" s="34"/>
      <c r="K188" s="34"/>
      <c r="L188" s="34"/>
      <c r="M188" s="34"/>
      <c r="N188" s="34"/>
    </row>
    <row r="189" spans="1:14" ht="30" customHeight="1" x14ac:dyDescent="0.25">
      <c r="A189" s="35" t="s">
        <v>384</v>
      </c>
      <c r="B189" s="36" t="s">
        <v>385</v>
      </c>
      <c r="C189" s="35" t="s">
        <v>15</v>
      </c>
      <c r="D189" s="37"/>
      <c r="E189" s="38"/>
      <c r="F189" s="38"/>
      <c r="G189" s="38"/>
      <c r="H189" s="38"/>
      <c r="I189" s="38"/>
      <c r="J189" s="38"/>
      <c r="K189" s="38"/>
      <c r="L189" s="38"/>
      <c r="M189" s="38"/>
      <c r="N189" s="38"/>
    </row>
    <row r="190" spans="1:14" ht="30" customHeight="1" x14ac:dyDescent="0.25">
      <c r="A190" s="35" t="s">
        <v>386</v>
      </c>
      <c r="B190" s="32" t="s">
        <v>387</v>
      </c>
      <c r="C190" s="35" t="s">
        <v>15</v>
      </c>
      <c r="D190" s="33"/>
      <c r="E190" s="34"/>
      <c r="F190" s="34"/>
      <c r="G190" s="34"/>
      <c r="H190" s="34"/>
      <c r="I190" s="34"/>
      <c r="J190" s="34"/>
      <c r="K190" s="34"/>
      <c r="L190" s="34"/>
      <c r="M190" s="34"/>
      <c r="N190" s="34"/>
    </row>
    <row r="191" spans="1:14" ht="30" customHeight="1" x14ac:dyDescent="0.25">
      <c r="A191" s="35" t="s">
        <v>388</v>
      </c>
      <c r="B191" s="36" t="s">
        <v>389</v>
      </c>
      <c r="C191" s="35" t="s">
        <v>15</v>
      </c>
      <c r="D191" s="37"/>
      <c r="E191" s="38"/>
      <c r="F191" s="38"/>
      <c r="G191" s="38"/>
      <c r="H191" s="38"/>
      <c r="I191" s="38"/>
      <c r="J191" s="38"/>
      <c r="K191" s="38"/>
      <c r="L191" s="38"/>
      <c r="M191" s="38"/>
      <c r="N191" s="38"/>
    </row>
    <row r="192" spans="1:14" ht="30" customHeight="1" x14ac:dyDescent="0.25">
      <c r="A192" s="31" t="s">
        <v>390</v>
      </c>
      <c r="B192" s="32" t="s">
        <v>391</v>
      </c>
      <c r="C192" s="31" t="s">
        <v>12</v>
      </c>
      <c r="D192" s="33"/>
      <c r="E192" s="34"/>
      <c r="F192" s="34"/>
      <c r="G192" s="34"/>
      <c r="H192" s="34"/>
      <c r="I192" s="34"/>
      <c r="J192" s="34"/>
      <c r="K192" s="34"/>
      <c r="L192" s="34"/>
      <c r="M192" s="34"/>
      <c r="N192" s="34"/>
    </row>
    <row r="193" spans="1:14" ht="30" customHeight="1" x14ac:dyDescent="0.25">
      <c r="A193" s="35" t="s">
        <v>392</v>
      </c>
      <c r="B193" s="36" t="s">
        <v>393</v>
      </c>
      <c r="C193" s="35" t="s">
        <v>15</v>
      </c>
      <c r="D193" s="37"/>
      <c r="E193" s="38"/>
      <c r="F193" s="38"/>
      <c r="G193" s="38"/>
      <c r="H193" s="38"/>
      <c r="I193" s="38"/>
      <c r="J193" s="38"/>
      <c r="K193" s="38"/>
      <c r="L193" s="38"/>
      <c r="M193" s="38"/>
      <c r="N193" s="38"/>
    </row>
    <row r="194" spans="1:14" ht="30" customHeight="1" x14ac:dyDescent="0.25">
      <c r="A194" s="39" t="s">
        <v>394</v>
      </c>
      <c r="B194" s="32" t="s">
        <v>395</v>
      </c>
      <c r="C194" s="39" t="s">
        <v>18</v>
      </c>
      <c r="D194" s="33" t="s">
        <v>47</v>
      </c>
      <c r="E194" s="34"/>
      <c r="F194" s="34"/>
      <c r="G194" s="34"/>
      <c r="H194" s="34"/>
      <c r="I194" s="34"/>
      <c r="J194" s="34"/>
      <c r="K194" s="34"/>
      <c r="L194" s="34"/>
      <c r="M194" s="34"/>
      <c r="N194" s="34"/>
    </row>
    <row r="195" spans="1:14" ht="30" customHeight="1" x14ac:dyDescent="0.25">
      <c r="A195" s="31" t="s">
        <v>396</v>
      </c>
      <c r="B195" s="36" t="s">
        <v>397</v>
      </c>
      <c r="C195" s="31" t="s">
        <v>12</v>
      </c>
      <c r="D195" s="37"/>
      <c r="E195" s="38"/>
      <c r="F195" s="38"/>
      <c r="G195" s="38"/>
      <c r="H195" s="38"/>
      <c r="I195" s="38"/>
      <c r="J195" s="38"/>
      <c r="K195" s="38"/>
      <c r="L195" s="38"/>
      <c r="M195" s="38"/>
      <c r="N195" s="38"/>
    </row>
    <row r="196" spans="1:14" ht="30" customHeight="1" x14ac:dyDescent="0.25">
      <c r="A196" s="35" t="s">
        <v>398</v>
      </c>
      <c r="B196" s="32" t="s">
        <v>399</v>
      </c>
      <c r="C196" s="35" t="s">
        <v>15</v>
      </c>
      <c r="D196" s="33"/>
      <c r="E196" s="34"/>
      <c r="F196" s="34"/>
      <c r="G196" s="34"/>
      <c r="H196" s="34"/>
      <c r="I196" s="34"/>
      <c r="J196" s="34"/>
      <c r="K196" s="34"/>
      <c r="L196" s="34"/>
      <c r="M196" s="34"/>
      <c r="N196" s="34"/>
    </row>
    <row r="197" spans="1:14" ht="30" customHeight="1" x14ac:dyDescent="0.25">
      <c r="A197" s="35" t="s">
        <v>400</v>
      </c>
      <c r="B197" s="36" t="s">
        <v>401</v>
      </c>
      <c r="C197" s="35" t="s">
        <v>15</v>
      </c>
      <c r="D197" s="37"/>
      <c r="E197" s="38"/>
      <c r="F197" s="38"/>
      <c r="G197" s="38"/>
      <c r="H197" s="38"/>
      <c r="I197" s="38"/>
      <c r="J197" s="38"/>
      <c r="K197" s="38"/>
      <c r="L197" s="38"/>
      <c r="M197" s="38"/>
      <c r="N197" s="38"/>
    </row>
    <row r="198" spans="1:14" ht="30" customHeight="1" x14ac:dyDescent="0.25">
      <c r="A198" s="31" t="s">
        <v>402</v>
      </c>
      <c r="B198" s="32" t="s">
        <v>403</v>
      </c>
      <c r="C198" s="31" t="s">
        <v>12</v>
      </c>
      <c r="D198" s="33"/>
      <c r="E198" s="34"/>
      <c r="F198" s="34"/>
      <c r="G198" s="34"/>
      <c r="H198" s="34"/>
      <c r="I198" s="34"/>
      <c r="J198" s="34"/>
      <c r="K198" s="34"/>
      <c r="L198" s="34"/>
      <c r="M198" s="34"/>
      <c r="N198" s="34"/>
    </row>
    <row r="199" spans="1:14" ht="30" customHeight="1" x14ac:dyDescent="0.25">
      <c r="A199" s="31" t="s">
        <v>404</v>
      </c>
      <c r="B199" s="36" t="s">
        <v>405</v>
      </c>
      <c r="C199" s="31" t="s">
        <v>12</v>
      </c>
      <c r="D199" s="37"/>
      <c r="E199" s="38"/>
      <c r="F199" s="38"/>
      <c r="G199" s="38"/>
      <c r="H199" s="38"/>
      <c r="I199" s="38"/>
      <c r="J199" s="38"/>
      <c r="K199" s="38"/>
      <c r="L199" s="38"/>
      <c r="M199" s="38"/>
      <c r="N199" s="38"/>
    </row>
    <row r="200" spans="1:14" ht="30" customHeight="1" x14ac:dyDescent="0.25">
      <c r="A200" s="39" t="s">
        <v>406</v>
      </c>
      <c r="B200" s="32" t="s">
        <v>407</v>
      </c>
      <c r="C200" s="39" t="s">
        <v>18</v>
      </c>
      <c r="D200" s="33"/>
      <c r="E200" s="34"/>
      <c r="F200" s="34"/>
      <c r="G200" s="34"/>
      <c r="H200" s="34"/>
      <c r="I200" s="34"/>
      <c r="J200" s="34"/>
      <c r="K200" s="34"/>
      <c r="L200" s="34"/>
      <c r="M200" s="34"/>
      <c r="N200" s="34"/>
    </row>
    <row r="201" spans="1:14" ht="30" customHeight="1" x14ac:dyDescent="0.25">
      <c r="A201" s="31" t="s">
        <v>408</v>
      </c>
      <c r="B201" s="36" t="s">
        <v>409</v>
      </c>
      <c r="C201" s="31" t="s">
        <v>12</v>
      </c>
      <c r="D201" s="37"/>
      <c r="E201" s="38"/>
      <c r="F201" s="38"/>
      <c r="G201" s="38"/>
      <c r="H201" s="38"/>
      <c r="I201" s="38"/>
      <c r="J201" s="38"/>
      <c r="K201" s="38"/>
      <c r="L201" s="38"/>
      <c r="M201" s="38"/>
      <c r="N201" s="38"/>
    </row>
    <row r="202" spans="1:14" ht="30" customHeight="1" x14ac:dyDescent="0.25">
      <c r="A202" s="31" t="s">
        <v>410</v>
      </c>
      <c r="B202" s="32" t="s">
        <v>411</v>
      </c>
      <c r="C202" s="31" t="s">
        <v>12</v>
      </c>
      <c r="D202" s="33"/>
      <c r="E202" s="34"/>
      <c r="F202" s="34"/>
      <c r="G202" s="34"/>
      <c r="H202" s="34"/>
      <c r="I202" s="34"/>
      <c r="J202" s="34"/>
      <c r="K202" s="34"/>
      <c r="L202" s="34"/>
      <c r="M202" s="34"/>
      <c r="N202" s="34"/>
    </row>
    <row r="203" spans="1:14" ht="30" customHeight="1" x14ac:dyDescent="0.25">
      <c r="A203" s="35" t="s">
        <v>412</v>
      </c>
      <c r="B203" s="36" t="s">
        <v>413</v>
      </c>
      <c r="C203" s="35" t="s">
        <v>15</v>
      </c>
      <c r="D203" s="37"/>
      <c r="E203" s="38"/>
      <c r="F203" s="38"/>
      <c r="G203" s="38"/>
      <c r="H203" s="38"/>
      <c r="I203" s="38"/>
      <c r="J203" s="38"/>
      <c r="K203" s="38"/>
      <c r="L203" s="38"/>
      <c r="M203" s="38"/>
      <c r="N203" s="38"/>
    </row>
    <row r="204" spans="1:14" ht="30" customHeight="1" x14ac:dyDescent="0.25">
      <c r="A204" s="31" t="s">
        <v>414</v>
      </c>
      <c r="B204" s="32" t="s">
        <v>415</v>
      </c>
      <c r="C204" s="31" t="s">
        <v>12</v>
      </c>
      <c r="D204" s="33"/>
      <c r="E204" s="34"/>
      <c r="F204" s="34"/>
      <c r="G204" s="34"/>
      <c r="H204" s="34"/>
      <c r="I204" s="34"/>
      <c r="J204" s="34"/>
      <c r="K204" s="34"/>
      <c r="L204" s="34"/>
      <c r="M204" s="34"/>
      <c r="N204" s="34"/>
    </row>
    <row r="205" spans="1:14" ht="30" customHeight="1" x14ac:dyDescent="0.25">
      <c r="A205" s="31" t="s">
        <v>416</v>
      </c>
      <c r="B205" s="36" t="s">
        <v>417</v>
      </c>
      <c r="C205" s="31" t="s">
        <v>12</v>
      </c>
      <c r="D205" s="37"/>
      <c r="E205" s="38"/>
      <c r="F205" s="38"/>
      <c r="G205" s="38"/>
      <c r="H205" s="38"/>
      <c r="I205" s="38"/>
      <c r="J205" s="38"/>
      <c r="K205" s="38"/>
      <c r="L205" s="38"/>
      <c r="M205" s="38"/>
      <c r="N205" s="38"/>
    </row>
    <row r="206" spans="1:14" ht="30" customHeight="1" x14ac:dyDescent="0.25">
      <c r="A206" s="35" t="s">
        <v>418</v>
      </c>
      <c r="B206" s="32" t="s">
        <v>419</v>
      </c>
      <c r="C206" s="35" t="s">
        <v>15</v>
      </c>
      <c r="D206" s="33"/>
      <c r="E206" s="34"/>
      <c r="F206" s="34"/>
      <c r="G206" s="34"/>
      <c r="H206" s="34"/>
      <c r="I206" s="34"/>
      <c r="J206" s="34"/>
      <c r="K206" s="34"/>
      <c r="L206" s="34"/>
      <c r="M206" s="34"/>
      <c r="N206" s="34"/>
    </row>
    <row r="207" spans="1:14" ht="30" customHeight="1" x14ac:dyDescent="0.25">
      <c r="A207" s="35" t="s">
        <v>420</v>
      </c>
      <c r="B207" s="36" t="s">
        <v>421</v>
      </c>
      <c r="C207" s="35" t="s">
        <v>15</v>
      </c>
      <c r="D207" s="37"/>
      <c r="E207" s="38"/>
      <c r="F207" s="38"/>
      <c r="G207" s="38"/>
      <c r="H207" s="38"/>
      <c r="I207" s="38"/>
      <c r="J207" s="38"/>
      <c r="K207" s="38"/>
      <c r="L207" s="38"/>
      <c r="M207" s="38"/>
      <c r="N207" s="38"/>
    </row>
    <row r="208" spans="1:14" ht="30" customHeight="1" x14ac:dyDescent="0.25">
      <c r="A208" s="35" t="s">
        <v>422</v>
      </c>
      <c r="B208" s="32" t="s">
        <v>423</v>
      </c>
      <c r="C208" s="35" t="s">
        <v>15</v>
      </c>
      <c r="D208" s="33"/>
      <c r="E208" s="34"/>
      <c r="F208" s="34"/>
      <c r="G208" s="34"/>
      <c r="H208" s="34"/>
      <c r="I208" s="34"/>
      <c r="J208" s="34"/>
      <c r="K208" s="34"/>
      <c r="L208" s="34"/>
      <c r="M208" s="34"/>
      <c r="N208" s="34"/>
    </row>
    <row r="209" spans="1:14" ht="30" customHeight="1" x14ac:dyDescent="0.25">
      <c r="A209" s="35" t="s">
        <v>424</v>
      </c>
      <c r="B209" s="36" t="s">
        <v>425</v>
      </c>
      <c r="C209" s="35" t="s">
        <v>15</v>
      </c>
      <c r="D209" s="37"/>
      <c r="E209" s="38"/>
      <c r="F209" s="38"/>
      <c r="G209" s="38"/>
      <c r="H209" s="38"/>
      <c r="I209" s="38"/>
      <c r="J209" s="38"/>
      <c r="K209" s="38"/>
      <c r="L209" s="38"/>
      <c r="M209" s="38"/>
      <c r="N209" s="38"/>
    </row>
    <row r="210" spans="1:14" ht="30" customHeight="1" x14ac:dyDescent="0.25">
      <c r="A210" s="39" t="s">
        <v>426</v>
      </c>
      <c r="B210" s="32" t="s">
        <v>427</v>
      </c>
      <c r="C210" s="39" t="s">
        <v>18</v>
      </c>
      <c r="D210" s="33"/>
      <c r="E210" s="34"/>
      <c r="F210" s="34"/>
      <c r="G210" s="34"/>
      <c r="H210" s="34"/>
      <c r="I210" s="34"/>
      <c r="J210" s="34"/>
      <c r="K210" s="34"/>
      <c r="L210" s="34"/>
      <c r="M210" s="34"/>
      <c r="N210" s="34"/>
    </row>
    <row r="211" spans="1:14" ht="30" customHeight="1" x14ac:dyDescent="0.25">
      <c r="A211" s="31" t="s">
        <v>428</v>
      </c>
      <c r="B211" s="36" t="s">
        <v>429</v>
      </c>
      <c r="C211" s="31" t="s">
        <v>12</v>
      </c>
      <c r="D211" s="37" t="s">
        <v>47</v>
      </c>
      <c r="E211" s="38"/>
      <c r="F211" s="38"/>
      <c r="G211" s="38"/>
      <c r="H211" s="38"/>
      <c r="I211" s="38"/>
      <c r="J211" s="38"/>
      <c r="K211" s="38"/>
      <c r="L211" s="38"/>
      <c r="M211" s="38"/>
      <c r="N211" s="38"/>
    </row>
    <row r="212" spans="1:14" ht="30" customHeight="1" x14ac:dyDescent="0.25">
      <c r="A212" s="31" t="s">
        <v>430</v>
      </c>
      <c r="B212" s="32" t="s">
        <v>431</v>
      </c>
      <c r="C212" s="31" t="s">
        <v>12</v>
      </c>
      <c r="D212" s="33"/>
      <c r="E212" s="34"/>
      <c r="F212" s="34"/>
      <c r="G212" s="34"/>
      <c r="H212" s="34"/>
      <c r="I212" s="34"/>
      <c r="J212" s="34"/>
      <c r="K212" s="34"/>
      <c r="L212" s="34"/>
      <c r="M212" s="34"/>
      <c r="N212" s="34"/>
    </row>
    <row r="213" spans="1:14" ht="30" customHeight="1" x14ac:dyDescent="0.25">
      <c r="A213" s="31" t="s">
        <v>432</v>
      </c>
      <c r="B213" s="36" t="s">
        <v>433</v>
      </c>
      <c r="C213" s="31" t="s">
        <v>12</v>
      </c>
      <c r="D213" s="37" t="s">
        <v>47</v>
      </c>
      <c r="E213" s="38"/>
      <c r="F213" s="38"/>
      <c r="G213" s="38"/>
      <c r="H213" s="38"/>
      <c r="I213" s="38"/>
      <c r="J213" s="38"/>
      <c r="K213" s="38"/>
      <c r="L213" s="38"/>
      <c r="M213" s="38"/>
      <c r="N213" s="38"/>
    </row>
    <row r="214" spans="1:14" ht="30" customHeight="1" x14ac:dyDescent="0.25">
      <c r="A214" s="39" t="s">
        <v>434</v>
      </c>
      <c r="B214" s="32" t="s">
        <v>435</v>
      </c>
      <c r="C214" s="39" t="s">
        <v>18</v>
      </c>
      <c r="D214" s="33"/>
      <c r="E214" s="34"/>
      <c r="F214" s="34"/>
      <c r="G214" s="34"/>
      <c r="H214" s="34"/>
      <c r="I214" s="34"/>
      <c r="J214" s="34"/>
      <c r="K214" s="34"/>
      <c r="L214" s="34"/>
      <c r="M214" s="34"/>
      <c r="N214" s="34"/>
    </row>
    <row r="215" spans="1:14" ht="30" customHeight="1" x14ac:dyDescent="0.25">
      <c r="A215" s="35" t="s">
        <v>436</v>
      </c>
      <c r="B215" s="36" t="s">
        <v>437</v>
      </c>
      <c r="C215" s="35" t="s">
        <v>15</v>
      </c>
      <c r="D215" s="37"/>
      <c r="E215" s="38"/>
      <c r="F215" s="38"/>
      <c r="G215" s="38"/>
      <c r="H215" s="38"/>
      <c r="I215" s="38"/>
      <c r="J215" s="38"/>
      <c r="K215" s="38"/>
      <c r="L215" s="38"/>
      <c r="M215" s="38"/>
      <c r="N215" s="38"/>
    </row>
    <row r="216" spans="1:14" ht="30" customHeight="1" x14ac:dyDescent="0.25">
      <c r="A216" s="31" t="s">
        <v>438</v>
      </c>
      <c r="B216" s="32" t="s">
        <v>439</v>
      </c>
      <c r="C216" s="31" t="s">
        <v>12</v>
      </c>
      <c r="D216" s="33"/>
      <c r="E216" s="34"/>
      <c r="F216" s="34"/>
      <c r="G216" s="34"/>
      <c r="H216" s="34"/>
      <c r="I216" s="34"/>
      <c r="J216" s="34"/>
      <c r="K216" s="34"/>
      <c r="L216" s="34"/>
      <c r="M216" s="34"/>
      <c r="N216" s="34"/>
    </row>
    <row r="217" spans="1:14" ht="30" customHeight="1" x14ac:dyDescent="0.25">
      <c r="A217" s="31" t="s">
        <v>440</v>
      </c>
      <c r="B217" s="36" t="s">
        <v>441</v>
      </c>
      <c r="C217" s="31" t="s">
        <v>12</v>
      </c>
      <c r="D217" s="37"/>
      <c r="E217" s="38"/>
      <c r="F217" s="38"/>
      <c r="G217" s="38"/>
      <c r="H217" s="38"/>
      <c r="I217" s="38"/>
      <c r="J217" s="38"/>
      <c r="K217" s="38"/>
      <c r="L217" s="38"/>
      <c r="M217" s="38"/>
      <c r="N217" s="38"/>
    </row>
    <row r="218" spans="1:14" ht="30" customHeight="1" x14ac:dyDescent="0.25">
      <c r="A218" s="31" t="s">
        <v>442</v>
      </c>
      <c r="B218" s="32" t="s">
        <v>443</v>
      </c>
      <c r="C218" s="31" t="s">
        <v>12</v>
      </c>
      <c r="D218" s="33"/>
      <c r="E218" s="34"/>
      <c r="F218" s="34"/>
      <c r="G218" s="34"/>
      <c r="H218" s="34"/>
      <c r="I218" s="34"/>
      <c r="J218" s="34"/>
      <c r="K218" s="34"/>
      <c r="L218" s="34"/>
      <c r="M218" s="34"/>
      <c r="N218" s="34"/>
    </row>
    <row r="219" spans="1:14" ht="30" customHeight="1" x14ac:dyDescent="0.25">
      <c r="A219" s="31" t="s">
        <v>444</v>
      </c>
      <c r="B219" s="36" t="s">
        <v>445</v>
      </c>
      <c r="C219" s="31" t="s">
        <v>12</v>
      </c>
      <c r="D219" s="37"/>
      <c r="E219" s="38"/>
      <c r="F219" s="38"/>
      <c r="G219" s="38"/>
      <c r="H219" s="38"/>
      <c r="I219" s="38"/>
      <c r="J219" s="38"/>
      <c r="K219" s="38"/>
      <c r="L219" s="38"/>
      <c r="M219" s="38"/>
      <c r="N219" s="38"/>
    </row>
    <row r="220" spans="1:14" ht="30" customHeight="1" x14ac:dyDescent="0.25">
      <c r="A220" s="35" t="s">
        <v>446</v>
      </c>
      <c r="B220" s="32" t="s">
        <v>447</v>
      </c>
      <c r="C220" s="35" t="s">
        <v>15</v>
      </c>
      <c r="D220" s="33"/>
      <c r="E220" s="34"/>
      <c r="F220" s="34"/>
      <c r="G220" s="34"/>
      <c r="H220" s="34"/>
      <c r="I220" s="34"/>
      <c r="J220" s="34"/>
      <c r="K220" s="34"/>
      <c r="L220" s="34"/>
      <c r="M220" s="34"/>
      <c r="N220" s="34"/>
    </row>
    <row r="221" spans="1:14" ht="30" customHeight="1" x14ac:dyDescent="0.25">
      <c r="A221" s="35" t="s">
        <v>448</v>
      </c>
      <c r="B221" s="36" t="s">
        <v>449</v>
      </c>
      <c r="C221" s="35" t="s">
        <v>15</v>
      </c>
      <c r="D221" s="37"/>
      <c r="E221" s="38"/>
      <c r="F221" s="38"/>
      <c r="G221" s="38"/>
      <c r="H221" s="38"/>
      <c r="I221" s="38"/>
      <c r="J221" s="38"/>
      <c r="K221" s="38"/>
      <c r="L221" s="38"/>
      <c r="M221" s="38"/>
      <c r="N221" s="38"/>
    </row>
    <row r="222" spans="1:14" x14ac:dyDescent="0.25">
      <c r="E222" s="25"/>
    </row>
  </sheetData>
  <mergeCells count="1">
    <mergeCell ref="A1:N1"/>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dimension ref="A1:I55"/>
  <sheetViews>
    <sheetView showGridLines="0" workbookViewId="0">
      <pane ySplit="5" topLeftCell="A6" activePane="bottomLeft" state="frozen"/>
      <selection pane="bottomLeft"/>
    </sheetView>
  </sheetViews>
  <sheetFormatPr defaultRowHeight="15" x14ac:dyDescent="0.25"/>
  <cols>
    <col min="1" max="1" width="6" customWidth="1"/>
    <col min="2" max="2" width="20" customWidth="1"/>
    <col min="3" max="3" width="18" customWidth="1"/>
    <col min="4" max="4" width="24" customWidth="1"/>
    <col min="5" max="5" width="22" customWidth="1"/>
    <col min="6" max="6" width="28" customWidth="1"/>
    <col min="7" max="7" width="16" customWidth="1"/>
    <col min="8" max="8" width="22" customWidth="1"/>
    <col min="9" max="9" width="28" customWidth="1"/>
  </cols>
  <sheetData>
    <row r="1" spans="1:9" ht="51.95" customHeight="1" x14ac:dyDescent="0.25">
      <c r="A1" s="87" t="str">
        <f>IFERROR(INDEX(_Lang!$B$2:$D$300,MATCH("verant_title",_Lang!$A$2:$A$300,0),IF(Config!$D$9="NL",1,IF(Config!$D$9="FR",2,3))),"[verant_title]")</f>
        <v>Verantwoordelijken</v>
      </c>
      <c r="B1" s="85"/>
      <c r="C1" s="85"/>
      <c r="D1" s="85"/>
      <c r="E1" s="85"/>
      <c r="F1" s="85"/>
      <c r="G1" s="85"/>
      <c r="H1" s="85"/>
      <c r="I1" s="85"/>
    </row>
    <row r="2" spans="1:9" ht="21.95" customHeight="1" x14ac:dyDescent="0.25">
      <c r="A2" s="90" t="str">
        <f>IFERROR(INDEX(_Lang!$B$2:$D$300,MATCH("app_tagline",_Lang!$A$2:$A$300,0),IF(Config!$D$9="NL",1,IF(Config!$D$9="FR",2,3))),"[app_tagline]")</f>
        <v>Governance · Risico · Compliance</v>
      </c>
      <c r="B2" s="85"/>
      <c r="C2" s="85"/>
      <c r="D2" s="85"/>
      <c r="E2" s="85"/>
      <c r="F2" s="85"/>
      <c r="G2" s="85"/>
      <c r="H2" s="85"/>
      <c r="I2" s="85"/>
    </row>
    <row r="3" spans="1:9" ht="21.95" customHeight="1" x14ac:dyDescent="0.25">
      <c r="A3" s="98" t="str">
        <f>IFERROR(INDEX(_Lang!$B$2:$D$300,MATCH("verant_subtitle",_Lang!$A$2:$A$300,0),IF(Config!$D$9="NL",1,IF(Config!$D$9="FR",2,3))),"[verant_subtitle]")</f>
        <v>Overzicht van contactpersonen en hun GRC-rol.</v>
      </c>
      <c r="B3" s="85"/>
      <c r="C3" s="85"/>
      <c r="D3" s="85"/>
      <c r="E3" s="85"/>
      <c r="F3" s="85"/>
      <c r="G3" s="85"/>
      <c r="H3" s="85"/>
      <c r="I3" s="85"/>
    </row>
    <row r="4" spans="1:9" ht="8.1" customHeight="1" x14ac:dyDescent="0.25"/>
    <row r="5" spans="1:9" ht="44.1" customHeight="1" x14ac:dyDescent="0.25">
      <c r="A5" s="5" t="str">
        <f>IFERROR(INDEX(_Lang!$B$2:$D$300,MATCH("verant_col_id",_Lang!$A$2:$A$300,0),IF(Config!$D$9="NL",1,IF(Config!$D$9="FR",2,3))),"[verant_col_id]")</f>
        <v>ID</v>
      </c>
      <c r="B5" s="5" t="str">
        <f>IFERROR(INDEX(_Lang!$B$2:$D$300,MATCH("verant_col_naam",_Lang!$A$2:$A$300,0),IF(Config!$D$9="NL",1,IF(Config!$D$9="FR",2,3))),"[verant_col_naam]")</f>
        <v>Naam</v>
      </c>
      <c r="C5" s="5" t="str">
        <f>IFERROR(INDEX(_Lang!$B$2:$D$300,MATCH("verant_col_voornaam",_Lang!$A$2:$A$300,0),IF(Config!$D$9="NL",1,IF(Config!$D$9="FR",2,3))),"[verant_col_voornaam]")</f>
        <v>Voornaam</v>
      </c>
      <c r="D5" s="5" t="str">
        <f>IFERROR(INDEX(_Lang!$B$2:$D$300,MATCH("verant_col_functie",_Lang!$A$2:$A$300,0),IF(Config!$D$9="NL",1,IF(Config!$D$9="FR",2,3))),"[verant_col_functie]")</f>
        <v>Functietitel</v>
      </c>
      <c r="E5" s="5" t="str">
        <f>IFERROR(INDEX(_Lang!$B$2:$D$300,MATCH("verant_col_dienst",_Lang!$A$2:$A$300,0),IF(Config!$D$9="NL",1,IF(Config!$D$9="FR",2,3))),"[verant_col_dienst]")</f>
        <v>Dienst / Entiteit</v>
      </c>
      <c r="F5" s="5" t="str">
        <f>IFERROR(INDEX(_Lang!$B$2:$D$300,MATCH("verant_col_email",_Lang!$A$2:$A$300,0),IF(Config!$D$9="NL",1,IF(Config!$D$9="FR",2,3))),"[verant_col_email]")</f>
        <v>E-mailadres</v>
      </c>
      <c r="G5" s="5" t="str">
        <f>IFERROR(INDEX(_Lang!$B$2:$D$300,MATCH("verant_col_tel",_Lang!$A$2:$A$300,0),IF(Config!$D$9="NL",1,IF(Config!$D$9="FR",2,3))),"[verant_col_tel]")</f>
        <v>Telefoon</v>
      </c>
      <c r="H5" s="5" t="str">
        <f>IFERROR(INDEX(_Lang!$B$2:$D$300,MATCH("verant_col_rol",_Lang!$A$2:$A$300,0),IF(Config!$D$9="NL",1,IF(Config!$D$9="FR",2,3))),"[verant_col_rol]")</f>
        <v>Rol in GRC</v>
      </c>
      <c r="I5" s="5" t="str">
        <f>IFERROR(INDEX(_Lang!$B$2:$D$300,MATCH("verant_col_opmerkingen",_Lang!$A$2:$A$300,0),IF(Config!$D$9="NL",1,IF(Config!$D$9="FR",2,3))),"[verant_col_opmerkingen]")</f>
        <v>Opmerkingen</v>
      </c>
    </row>
    <row r="6" spans="1:9" ht="24" customHeight="1" x14ac:dyDescent="0.25">
      <c r="A6" s="6" t="str">
        <f>IF(B6="","",TEXT(1,"V00"))</f>
        <v/>
      </c>
      <c r="B6" s="7"/>
      <c r="C6" s="7"/>
      <c r="D6" s="7"/>
      <c r="E6" s="7"/>
      <c r="F6" s="7"/>
      <c r="G6" s="7"/>
      <c r="H6" s="7"/>
      <c r="I6" s="7"/>
    </row>
    <row r="7" spans="1:9" ht="24" customHeight="1" x14ac:dyDescent="0.25">
      <c r="A7" s="10" t="str">
        <f>IF(B7="","",TEXT(2,"V00"))</f>
        <v/>
      </c>
      <c r="B7" s="11"/>
      <c r="C7" s="11"/>
      <c r="D7" s="11"/>
      <c r="E7" s="11"/>
      <c r="F7" s="11"/>
      <c r="G7" s="11"/>
      <c r="H7" s="11"/>
      <c r="I7" s="11"/>
    </row>
    <row r="8" spans="1:9" ht="24" customHeight="1" x14ac:dyDescent="0.25">
      <c r="A8" s="6" t="str">
        <f>IF(B8="","",TEXT(3,"V00"))</f>
        <v/>
      </c>
      <c r="B8" s="7"/>
      <c r="C8" s="7"/>
      <c r="D8" s="7"/>
      <c r="E8" s="7"/>
      <c r="F8" s="7"/>
      <c r="G8" s="7"/>
      <c r="H8" s="7"/>
      <c r="I8" s="7"/>
    </row>
    <row r="9" spans="1:9" ht="24" customHeight="1" x14ac:dyDescent="0.25">
      <c r="A9" s="10" t="str">
        <f>IF(B9="","",TEXT(4,"V00"))</f>
        <v/>
      </c>
      <c r="B9" s="11"/>
      <c r="C9" s="11"/>
      <c r="D9" s="11"/>
      <c r="E9" s="11"/>
      <c r="F9" s="11"/>
      <c r="G9" s="11"/>
      <c r="H9" s="11"/>
      <c r="I9" s="11"/>
    </row>
    <row r="10" spans="1:9" ht="24" customHeight="1" x14ac:dyDescent="0.25">
      <c r="A10" s="6" t="str">
        <f>IF(B10="","",TEXT(5,"V00"))</f>
        <v/>
      </c>
      <c r="B10" s="7"/>
      <c r="C10" s="7"/>
      <c r="D10" s="7"/>
      <c r="E10" s="7"/>
      <c r="F10" s="7"/>
      <c r="G10" s="7"/>
      <c r="H10" s="7"/>
      <c r="I10" s="7"/>
    </row>
    <row r="11" spans="1:9" ht="24" customHeight="1" x14ac:dyDescent="0.25">
      <c r="A11" s="10" t="str">
        <f>IF(B11="","",TEXT(6,"V00"))</f>
        <v/>
      </c>
      <c r="B11" s="11"/>
      <c r="C11" s="11"/>
      <c r="D11" s="11"/>
      <c r="E11" s="11"/>
      <c r="F11" s="11"/>
      <c r="G11" s="11"/>
      <c r="H11" s="11"/>
      <c r="I11" s="11"/>
    </row>
    <row r="12" spans="1:9" ht="24" customHeight="1" x14ac:dyDescent="0.25">
      <c r="A12" s="6" t="str">
        <f>IF(B12="","",TEXT(7,"V00"))</f>
        <v/>
      </c>
      <c r="B12" s="7"/>
      <c r="C12" s="7"/>
      <c r="D12" s="7"/>
      <c r="E12" s="7"/>
      <c r="F12" s="7"/>
      <c r="G12" s="7"/>
      <c r="H12" s="7"/>
      <c r="I12" s="7"/>
    </row>
    <row r="13" spans="1:9" ht="24" customHeight="1" x14ac:dyDescent="0.25">
      <c r="A13" s="10" t="str">
        <f>IF(B13="","",TEXT(8,"V00"))</f>
        <v/>
      </c>
      <c r="B13" s="11"/>
      <c r="C13" s="11"/>
      <c r="D13" s="11"/>
      <c r="E13" s="11"/>
      <c r="F13" s="11"/>
      <c r="G13" s="11"/>
      <c r="H13" s="11"/>
      <c r="I13" s="11"/>
    </row>
    <row r="14" spans="1:9" ht="24" customHeight="1" x14ac:dyDescent="0.25">
      <c r="A14" s="6" t="str">
        <f>IF(B14="","",TEXT(9,"V00"))</f>
        <v/>
      </c>
      <c r="B14" s="7"/>
      <c r="C14" s="7"/>
      <c r="D14" s="7"/>
      <c r="E14" s="7"/>
      <c r="F14" s="7"/>
      <c r="G14" s="7"/>
      <c r="H14" s="7"/>
      <c r="I14" s="7"/>
    </row>
    <row r="15" spans="1:9" ht="24" customHeight="1" x14ac:dyDescent="0.25">
      <c r="A15" s="10" t="str">
        <f>IF(B15="","",TEXT(10,"V00"))</f>
        <v/>
      </c>
      <c r="B15" s="11"/>
      <c r="C15" s="11"/>
      <c r="D15" s="11"/>
      <c r="E15" s="11"/>
      <c r="F15" s="11"/>
      <c r="G15" s="11"/>
      <c r="H15" s="11"/>
      <c r="I15" s="11"/>
    </row>
    <row r="16" spans="1:9" ht="24" customHeight="1" x14ac:dyDescent="0.25">
      <c r="A16" s="6" t="str">
        <f>IF(B16="","",TEXT(11,"V00"))</f>
        <v/>
      </c>
      <c r="B16" s="7"/>
      <c r="C16" s="7"/>
      <c r="D16" s="7"/>
      <c r="E16" s="7"/>
      <c r="F16" s="7"/>
      <c r="G16" s="7"/>
      <c r="H16" s="7"/>
      <c r="I16" s="7"/>
    </row>
    <row r="17" spans="1:9" ht="24" customHeight="1" x14ac:dyDescent="0.25">
      <c r="A17" s="10" t="str">
        <f>IF(B17="","",TEXT(12,"V00"))</f>
        <v/>
      </c>
      <c r="B17" s="11"/>
      <c r="C17" s="11"/>
      <c r="D17" s="11"/>
      <c r="E17" s="11"/>
      <c r="F17" s="11"/>
      <c r="G17" s="11"/>
      <c r="H17" s="11"/>
      <c r="I17" s="11"/>
    </row>
    <row r="18" spans="1:9" ht="24" customHeight="1" x14ac:dyDescent="0.25">
      <c r="A18" s="6" t="str">
        <f>IF(B18="","",TEXT(13,"V00"))</f>
        <v/>
      </c>
      <c r="B18" s="7"/>
      <c r="C18" s="7"/>
      <c r="D18" s="7"/>
      <c r="E18" s="7"/>
      <c r="F18" s="7"/>
      <c r="G18" s="7"/>
      <c r="H18" s="7"/>
      <c r="I18" s="7"/>
    </row>
    <row r="19" spans="1:9" ht="24" customHeight="1" x14ac:dyDescent="0.25">
      <c r="A19" s="10" t="str">
        <f>IF(B19="","",TEXT(14,"V00"))</f>
        <v/>
      </c>
      <c r="B19" s="11"/>
      <c r="C19" s="11"/>
      <c r="D19" s="11"/>
      <c r="E19" s="11"/>
      <c r="F19" s="11"/>
      <c r="G19" s="11"/>
      <c r="H19" s="11"/>
      <c r="I19" s="11"/>
    </row>
    <row r="20" spans="1:9" ht="24" customHeight="1" x14ac:dyDescent="0.25">
      <c r="A20" s="6" t="str">
        <f>IF(B20="","",TEXT(15,"V00"))</f>
        <v/>
      </c>
      <c r="B20" s="7"/>
      <c r="C20" s="7"/>
      <c r="D20" s="7"/>
      <c r="E20" s="7"/>
      <c r="F20" s="7"/>
      <c r="G20" s="7"/>
      <c r="H20" s="7"/>
      <c r="I20" s="7"/>
    </row>
    <row r="21" spans="1:9" ht="24" customHeight="1" x14ac:dyDescent="0.25">
      <c r="A21" s="10" t="str">
        <f>IF(B21="","",TEXT(16,"V00"))</f>
        <v/>
      </c>
      <c r="B21" s="11"/>
      <c r="C21" s="11"/>
      <c r="D21" s="11"/>
      <c r="E21" s="11"/>
      <c r="F21" s="11"/>
      <c r="G21" s="11"/>
      <c r="H21" s="11"/>
      <c r="I21" s="11"/>
    </row>
    <row r="22" spans="1:9" ht="24" customHeight="1" x14ac:dyDescent="0.25">
      <c r="A22" s="6" t="str">
        <f>IF(B22="","",TEXT(17,"V00"))</f>
        <v/>
      </c>
      <c r="B22" s="7"/>
      <c r="C22" s="7"/>
      <c r="D22" s="7"/>
      <c r="E22" s="7"/>
      <c r="F22" s="7"/>
      <c r="G22" s="7"/>
      <c r="H22" s="7"/>
      <c r="I22" s="7"/>
    </row>
    <row r="23" spans="1:9" ht="24" customHeight="1" x14ac:dyDescent="0.25">
      <c r="A23" s="10" t="str">
        <f>IF(B23="","",TEXT(18,"V00"))</f>
        <v/>
      </c>
      <c r="B23" s="11"/>
      <c r="C23" s="11"/>
      <c r="D23" s="11"/>
      <c r="E23" s="11"/>
      <c r="F23" s="11"/>
      <c r="G23" s="11"/>
      <c r="H23" s="11"/>
      <c r="I23" s="11"/>
    </row>
    <row r="24" spans="1:9" ht="24" customHeight="1" x14ac:dyDescent="0.25">
      <c r="A24" s="6" t="str">
        <f>IF(B24="","",TEXT(19,"V00"))</f>
        <v/>
      </c>
      <c r="B24" s="7"/>
      <c r="C24" s="7"/>
      <c r="D24" s="7"/>
      <c r="E24" s="7"/>
      <c r="F24" s="7"/>
      <c r="G24" s="7"/>
      <c r="H24" s="7"/>
      <c r="I24" s="7"/>
    </row>
    <row r="25" spans="1:9" ht="24" customHeight="1" x14ac:dyDescent="0.25">
      <c r="A25" s="10" t="str">
        <f>IF(B25="","",TEXT(20,"V00"))</f>
        <v/>
      </c>
      <c r="B25" s="11"/>
      <c r="C25" s="11"/>
      <c r="D25" s="11"/>
      <c r="E25" s="11"/>
      <c r="F25" s="11"/>
      <c r="G25" s="11"/>
      <c r="H25" s="11"/>
      <c r="I25" s="11"/>
    </row>
    <row r="26" spans="1:9" ht="24" customHeight="1" x14ac:dyDescent="0.25">
      <c r="A26" s="6" t="str">
        <f>IF(B26="","",TEXT(21,"V00"))</f>
        <v/>
      </c>
      <c r="B26" s="7"/>
      <c r="C26" s="7"/>
      <c r="D26" s="7"/>
      <c r="E26" s="7"/>
      <c r="F26" s="7"/>
      <c r="G26" s="7"/>
      <c r="H26" s="7"/>
      <c r="I26" s="7"/>
    </row>
    <row r="27" spans="1:9" ht="24" customHeight="1" x14ac:dyDescent="0.25">
      <c r="A27" s="10" t="str">
        <f>IF(B27="","",TEXT(22,"V00"))</f>
        <v/>
      </c>
      <c r="B27" s="11"/>
      <c r="C27" s="11"/>
      <c r="D27" s="11"/>
      <c r="E27" s="11"/>
      <c r="F27" s="11"/>
      <c r="G27" s="11"/>
      <c r="H27" s="11"/>
      <c r="I27" s="11"/>
    </row>
    <row r="28" spans="1:9" ht="24" customHeight="1" x14ac:dyDescent="0.25">
      <c r="A28" s="6" t="str">
        <f>IF(B28="","",TEXT(23,"V00"))</f>
        <v/>
      </c>
      <c r="B28" s="7"/>
      <c r="C28" s="7"/>
      <c r="D28" s="7"/>
      <c r="E28" s="7"/>
      <c r="F28" s="7"/>
      <c r="G28" s="7"/>
      <c r="H28" s="7"/>
      <c r="I28" s="7"/>
    </row>
    <row r="29" spans="1:9" ht="24" customHeight="1" x14ac:dyDescent="0.25">
      <c r="A29" s="10" t="str">
        <f>IF(B29="","",TEXT(24,"V00"))</f>
        <v/>
      </c>
      <c r="B29" s="11"/>
      <c r="C29" s="11"/>
      <c r="D29" s="11"/>
      <c r="E29" s="11"/>
      <c r="F29" s="11"/>
      <c r="G29" s="11"/>
      <c r="H29" s="11"/>
      <c r="I29" s="11"/>
    </row>
    <row r="30" spans="1:9" ht="24" customHeight="1" x14ac:dyDescent="0.25">
      <c r="A30" s="6" t="str">
        <f>IF(B30="","",TEXT(25,"V00"))</f>
        <v/>
      </c>
      <c r="B30" s="7"/>
      <c r="C30" s="7"/>
      <c r="D30" s="7"/>
      <c r="E30" s="7"/>
      <c r="F30" s="7"/>
      <c r="G30" s="7"/>
      <c r="H30" s="7"/>
      <c r="I30" s="7"/>
    </row>
    <row r="31" spans="1:9" ht="24" customHeight="1" x14ac:dyDescent="0.25">
      <c r="A31" s="10" t="str">
        <f>IF(B31="","",TEXT(26,"V00"))</f>
        <v/>
      </c>
      <c r="B31" s="11"/>
      <c r="C31" s="11"/>
      <c r="D31" s="11"/>
      <c r="E31" s="11"/>
      <c r="F31" s="11"/>
      <c r="G31" s="11"/>
      <c r="H31" s="11"/>
      <c r="I31" s="11"/>
    </row>
    <row r="32" spans="1:9" ht="24" customHeight="1" x14ac:dyDescent="0.25">
      <c r="A32" s="6" t="str">
        <f>IF(B32="","",TEXT(27,"V00"))</f>
        <v/>
      </c>
      <c r="B32" s="7"/>
      <c r="C32" s="7"/>
      <c r="D32" s="7"/>
      <c r="E32" s="7"/>
      <c r="F32" s="7"/>
      <c r="G32" s="7"/>
      <c r="H32" s="7"/>
      <c r="I32" s="7"/>
    </row>
    <row r="33" spans="1:9" ht="24" customHeight="1" x14ac:dyDescent="0.25">
      <c r="A33" s="10" t="str">
        <f>IF(B33="","",TEXT(28,"V00"))</f>
        <v/>
      </c>
      <c r="B33" s="11"/>
      <c r="C33" s="11"/>
      <c r="D33" s="11"/>
      <c r="E33" s="11"/>
      <c r="F33" s="11"/>
      <c r="G33" s="11"/>
      <c r="H33" s="11"/>
      <c r="I33" s="11"/>
    </row>
    <row r="34" spans="1:9" ht="24" customHeight="1" x14ac:dyDescent="0.25">
      <c r="A34" s="6" t="str">
        <f>IF(B34="","",TEXT(29,"V00"))</f>
        <v/>
      </c>
      <c r="B34" s="7"/>
      <c r="C34" s="7"/>
      <c r="D34" s="7"/>
      <c r="E34" s="7"/>
      <c r="F34" s="7"/>
      <c r="G34" s="7"/>
      <c r="H34" s="7"/>
      <c r="I34" s="7"/>
    </row>
    <row r="35" spans="1:9" ht="24" customHeight="1" x14ac:dyDescent="0.25">
      <c r="A35" s="10" t="str">
        <f>IF(B35="","",TEXT(30,"V00"))</f>
        <v/>
      </c>
      <c r="B35" s="11"/>
      <c r="C35" s="11"/>
      <c r="D35" s="11"/>
      <c r="E35" s="11"/>
      <c r="F35" s="11"/>
      <c r="G35" s="11"/>
      <c r="H35" s="11"/>
      <c r="I35" s="11"/>
    </row>
    <row r="36" spans="1:9" ht="24" customHeight="1" x14ac:dyDescent="0.25">
      <c r="A36" s="6" t="str">
        <f>IF(B36="","",TEXT(31,"V00"))</f>
        <v/>
      </c>
      <c r="B36" s="7"/>
      <c r="C36" s="7"/>
      <c r="D36" s="7"/>
      <c r="E36" s="7"/>
      <c r="F36" s="7"/>
      <c r="G36" s="7"/>
      <c r="H36" s="7"/>
      <c r="I36" s="7"/>
    </row>
    <row r="37" spans="1:9" ht="24" customHeight="1" x14ac:dyDescent="0.25">
      <c r="A37" s="10" t="str">
        <f>IF(B37="","",TEXT(32,"V00"))</f>
        <v/>
      </c>
      <c r="B37" s="11"/>
      <c r="C37" s="11"/>
      <c r="D37" s="11"/>
      <c r="E37" s="11"/>
      <c r="F37" s="11"/>
      <c r="G37" s="11"/>
      <c r="H37" s="11"/>
      <c r="I37" s="11"/>
    </row>
    <row r="38" spans="1:9" ht="24" customHeight="1" x14ac:dyDescent="0.25">
      <c r="A38" s="6" t="str">
        <f>IF(B38="","",TEXT(33,"V00"))</f>
        <v/>
      </c>
      <c r="B38" s="7"/>
      <c r="C38" s="7"/>
      <c r="D38" s="7"/>
      <c r="E38" s="7"/>
      <c r="F38" s="7"/>
      <c r="G38" s="7"/>
      <c r="H38" s="7"/>
      <c r="I38" s="7"/>
    </row>
    <row r="39" spans="1:9" ht="24" customHeight="1" x14ac:dyDescent="0.25">
      <c r="A39" s="10" t="str">
        <f>IF(B39="","",TEXT(34,"V00"))</f>
        <v/>
      </c>
      <c r="B39" s="11"/>
      <c r="C39" s="11"/>
      <c r="D39" s="11"/>
      <c r="E39" s="11"/>
      <c r="F39" s="11"/>
      <c r="G39" s="11"/>
      <c r="H39" s="11"/>
      <c r="I39" s="11"/>
    </row>
    <row r="40" spans="1:9" ht="24" customHeight="1" x14ac:dyDescent="0.25">
      <c r="A40" s="6" t="str">
        <f>IF(B40="","",TEXT(35,"V00"))</f>
        <v/>
      </c>
      <c r="B40" s="7"/>
      <c r="C40" s="7"/>
      <c r="D40" s="7"/>
      <c r="E40" s="7"/>
      <c r="F40" s="7"/>
      <c r="G40" s="7"/>
      <c r="H40" s="7"/>
      <c r="I40" s="7"/>
    </row>
    <row r="41" spans="1:9" ht="24" customHeight="1" x14ac:dyDescent="0.25">
      <c r="A41" s="10" t="str">
        <f>IF(B41="","",TEXT(36,"V00"))</f>
        <v/>
      </c>
      <c r="B41" s="11"/>
      <c r="C41" s="11"/>
      <c r="D41" s="11"/>
      <c r="E41" s="11"/>
      <c r="F41" s="11"/>
      <c r="G41" s="11"/>
      <c r="H41" s="11"/>
      <c r="I41" s="11"/>
    </row>
    <row r="42" spans="1:9" ht="24" customHeight="1" x14ac:dyDescent="0.25">
      <c r="A42" s="6" t="str">
        <f>IF(B42="","",TEXT(37,"V00"))</f>
        <v/>
      </c>
      <c r="B42" s="7"/>
      <c r="C42" s="7"/>
      <c r="D42" s="7"/>
      <c r="E42" s="7"/>
      <c r="F42" s="7"/>
      <c r="G42" s="7"/>
      <c r="H42" s="7"/>
      <c r="I42" s="7"/>
    </row>
    <row r="43" spans="1:9" ht="24" customHeight="1" x14ac:dyDescent="0.25">
      <c r="A43" s="10" t="str">
        <f>IF(B43="","",TEXT(38,"V00"))</f>
        <v/>
      </c>
      <c r="B43" s="11"/>
      <c r="C43" s="11"/>
      <c r="D43" s="11"/>
      <c r="E43" s="11"/>
      <c r="F43" s="11"/>
      <c r="G43" s="11"/>
      <c r="H43" s="11"/>
      <c r="I43" s="11"/>
    </row>
    <row r="44" spans="1:9" ht="24" customHeight="1" x14ac:dyDescent="0.25">
      <c r="A44" s="6" t="str">
        <f>IF(B44="","",TEXT(39,"V00"))</f>
        <v/>
      </c>
      <c r="B44" s="7"/>
      <c r="C44" s="7"/>
      <c r="D44" s="7"/>
      <c r="E44" s="7"/>
      <c r="F44" s="7"/>
      <c r="G44" s="7"/>
      <c r="H44" s="7"/>
      <c r="I44" s="7"/>
    </row>
    <row r="45" spans="1:9" ht="24" customHeight="1" x14ac:dyDescent="0.25">
      <c r="A45" s="10" t="str">
        <f>IF(B45="","",TEXT(40,"V00"))</f>
        <v/>
      </c>
      <c r="B45" s="11"/>
      <c r="C45" s="11"/>
      <c r="D45" s="11"/>
      <c r="E45" s="11"/>
      <c r="F45" s="11"/>
      <c r="G45" s="11"/>
      <c r="H45" s="11"/>
      <c r="I45" s="11"/>
    </row>
    <row r="46" spans="1:9" ht="24" customHeight="1" x14ac:dyDescent="0.25">
      <c r="A46" s="6" t="str">
        <f>IF(B46="","",TEXT(41,"V00"))</f>
        <v/>
      </c>
      <c r="B46" s="7"/>
      <c r="C46" s="7"/>
      <c r="D46" s="7"/>
      <c r="E46" s="7"/>
      <c r="F46" s="7"/>
      <c r="G46" s="7"/>
      <c r="H46" s="7"/>
      <c r="I46" s="7"/>
    </row>
    <row r="47" spans="1:9" ht="24" customHeight="1" x14ac:dyDescent="0.25">
      <c r="A47" s="10" t="str">
        <f>IF(B47="","",TEXT(42,"V00"))</f>
        <v/>
      </c>
      <c r="B47" s="11"/>
      <c r="C47" s="11"/>
      <c r="D47" s="11"/>
      <c r="E47" s="11"/>
      <c r="F47" s="11"/>
      <c r="G47" s="11"/>
      <c r="H47" s="11"/>
      <c r="I47" s="11"/>
    </row>
    <row r="48" spans="1:9" ht="24" customHeight="1" x14ac:dyDescent="0.25">
      <c r="A48" s="6" t="str">
        <f>IF(B48="","",TEXT(43,"V00"))</f>
        <v/>
      </c>
      <c r="B48" s="7"/>
      <c r="C48" s="7"/>
      <c r="D48" s="7"/>
      <c r="E48" s="7"/>
      <c r="F48" s="7"/>
      <c r="G48" s="7"/>
      <c r="H48" s="7"/>
      <c r="I48" s="7"/>
    </row>
    <row r="49" spans="1:9" ht="24" customHeight="1" x14ac:dyDescent="0.25">
      <c r="A49" s="10" t="str">
        <f>IF(B49="","",TEXT(44,"V00"))</f>
        <v/>
      </c>
      <c r="B49" s="11"/>
      <c r="C49" s="11"/>
      <c r="D49" s="11"/>
      <c r="E49" s="11"/>
      <c r="F49" s="11"/>
      <c r="G49" s="11"/>
      <c r="H49" s="11"/>
      <c r="I49" s="11"/>
    </row>
    <row r="50" spans="1:9" ht="24" customHeight="1" x14ac:dyDescent="0.25">
      <c r="A50" s="6" t="str">
        <f>IF(B50="","",TEXT(45,"V00"))</f>
        <v/>
      </c>
      <c r="B50" s="7"/>
      <c r="C50" s="7"/>
      <c r="D50" s="7"/>
      <c r="E50" s="7"/>
      <c r="F50" s="7"/>
      <c r="G50" s="7"/>
      <c r="H50" s="7"/>
      <c r="I50" s="7"/>
    </row>
    <row r="51" spans="1:9" ht="24" customHeight="1" x14ac:dyDescent="0.25">
      <c r="A51" s="10" t="str">
        <f>IF(B51="","",TEXT(46,"V00"))</f>
        <v/>
      </c>
      <c r="B51" s="11"/>
      <c r="C51" s="11"/>
      <c r="D51" s="11"/>
      <c r="E51" s="11"/>
      <c r="F51" s="11"/>
      <c r="G51" s="11"/>
      <c r="H51" s="11"/>
      <c r="I51" s="11"/>
    </row>
    <row r="52" spans="1:9" ht="24" customHeight="1" x14ac:dyDescent="0.25">
      <c r="A52" s="6" t="str">
        <f>IF(B52="","",TEXT(47,"V00"))</f>
        <v/>
      </c>
      <c r="B52" s="7"/>
      <c r="C52" s="7"/>
      <c r="D52" s="7"/>
      <c r="E52" s="7"/>
      <c r="F52" s="7"/>
      <c r="G52" s="7"/>
      <c r="H52" s="7"/>
      <c r="I52" s="7"/>
    </row>
    <row r="53" spans="1:9" ht="24" customHeight="1" x14ac:dyDescent="0.25">
      <c r="A53" s="10" t="str">
        <f>IF(B53="","",TEXT(48,"V00"))</f>
        <v/>
      </c>
      <c r="B53" s="11"/>
      <c r="C53" s="11"/>
      <c r="D53" s="11"/>
      <c r="E53" s="11"/>
      <c r="F53" s="11"/>
      <c r="G53" s="11"/>
      <c r="H53" s="11"/>
      <c r="I53" s="11"/>
    </row>
    <row r="54" spans="1:9" ht="24" customHeight="1" x14ac:dyDescent="0.25">
      <c r="A54" s="6" t="str">
        <f>IF(B54="","",TEXT(49,"V00"))</f>
        <v/>
      </c>
      <c r="B54" s="7"/>
      <c r="C54" s="7"/>
      <c r="D54" s="7"/>
      <c r="E54" s="7"/>
      <c r="F54" s="7"/>
      <c r="G54" s="7"/>
      <c r="H54" s="7"/>
      <c r="I54" s="7"/>
    </row>
    <row r="55" spans="1:9" ht="24" customHeight="1" x14ac:dyDescent="0.25">
      <c r="A55" s="10" t="str">
        <f>IF(B55="","",TEXT(50,"V00"))</f>
        <v/>
      </c>
      <c r="B55" s="11"/>
      <c r="C55" s="11"/>
      <c r="D55" s="11"/>
      <c r="E55" s="11"/>
      <c r="F55" s="11"/>
      <c r="G55" s="11"/>
      <c r="H55" s="11"/>
      <c r="I55" s="11"/>
    </row>
  </sheetData>
  <autoFilter ref="A5:I5" xr:uid="{00000000-0009-0000-0000-000006000000}"/>
  <mergeCells count="3">
    <mergeCell ref="A1:I1"/>
    <mergeCell ref="A3:I3"/>
    <mergeCell ref="A2:I2"/>
  </mergeCells>
  <pageMargins left="0.75" right="0.75" top="1" bottom="1" header="0.5" footer="0.5"/>
  <extLst>
    <ext xmlns:x14="http://schemas.microsoft.com/office/spreadsheetml/2009/9/main" uri="{CCE6A557-97BC-4b89-ADB6-D9C93CAAB3DF}">
      <x14:dataValidations xmlns:xm="http://schemas.microsoft.com/office/excel/2006/main" count="1">
        <x14:dataValidation type="list" allowBlank="1" xr:uid="{00000000-0002-0000-0600-000000000000}">
          <x14:formula1>
            <xm:f>INDIRECT("roles_"&amp;Config!$D$9)</xm:f>
          </x14:formula1>
          <xm:sqref>H6:H55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dimension ref="A1:E34"/>
  <sheetViews>
    <sheetView showGridLines="0" workbookViewId="0"/>
  </sheetViews>
  <sheetFormatPr defaultRowHeight="15" x14ac:dyDescent="0.25"/>
  <cols>
    <col min="1" max="1" width="2" customWidth="1"/>
    <col min="2" max="2" width="26" customWidth="1"/>
    <col min="3" max="3" width="2" customWidth="1"/>
    <col min="4" max="4" width="56" customWidth="1"/>
    <col min="5" max="5" width="8" customWidth="1"/>
  </cols>
  <sheetData>
    <row r="1" spans="1:5" ht="51.95" customHeight="1" x14ac:dyDescent="0.25">
      <c r="A1" s="87" t="str">
        <f>IFERROR(INDEX(_Lang!$B$2:$D$300,MATCH("ie_title",_Lang!$A$2:$A$300,0),IF(Config!$D$9="NL",1,IF(Config!$D$9="FR",2,3))),"[ie_title]")</f>
        <v>Import &amp; Export</v>
      </c>
      <c r="B1" s="85"/>
      <c r="C1" s="85"/>
      <c r="D1" s="85"/>
      <c r="E1" s="85"/>
    </row>
    <row r="2" spans="1:5" ht="21.95" customHeight="1" x14ac:dyDescent="0.25">
      <c r="A2" s="90" t="str">
        <f>IFERROR(INDEX(_Lang!$B$2:$D$300,MATCH("app_tagline",_Lang!$A$2:$A$300,0),IF(Config!$D$9="NL",1,IF(Config!$D$9="FR",2,3))),"[app_tagline]")</f>
        <v>Governance · Risico · Compliance</v>
      </c>
      <c r="B2" s="85"/>
      <c r="C2" s="85"/>
      <c r="D2" s="85"/>
      <c r="E2" s="85"/>
    </row>
    <row r="3" spans="1:5" ht="21.95" customHeight="1" x14ac:dyDescent="0.25">
      <c r="A3" s="98" t="str">
        <f>IFERROR(INDEX(_Lang!$B$2:$D$300,MATCH("ie_subtitle",_Lang!$A$2:$A$300,0),IF(Config!$D$9="NL",1,IF(Config!$D$9="FR",2,3))),"[ie_subtitle]")</f>
        <v>Importeer gegevens vanuit externe bronnen of exporteer het GRC-register.</v>
      </c>
      <c r="B3" s="85"/>
      <c r="C3" s="85"/>
      <c r="D3" s="85"/>
      <c r="E3" s="85"/>
    </row>
    <row r="4" spans="1:5" ht="9.9499999999999993" customHeight="1" x14ac:dyDescent="0.25"/>
    <row r="5" spans="1:5" ht="20.100000000000001" customHeight="1" x14ac:dyDescent="0.25">
      <c r="B5" s="84" t="str">
        <f>IFERROR(INDEX(_Lang!$B$2:$D$300,MATCH("ie_section_import",_Lang!$A$2:$A$300,0),IF(Config!$D$9="NL",1,IF(Config!$D$9="FR",2,3))),"[ie_section_import]")</f>
        <v>IMPORTEREN</v>
      </c>
      <c r="C5" s="85"/>
      <c r="D5" s="85"/>
      <c r="E5" s="85"/>
    </row>
    <row r="6" spans="1:5" ht="33.950000000000003" customHeight="1" x14ac:dyDescent="0.25">
      <c r="B6" s="40" t="str">
        <f>IFERROR(INDEX(_Lang!$B$2:$D$300,MATCH("ie_import_all_btn",_Lang!$A$2:$A$300,0),IF(Config!$D$9="NL",1,IF(Config!$D$9="FR",2,3))),"[ie_import_all_btn]")</f>
        <v>Importeer Alles</v>
      </c>
    </row>
    <row r="7" spans="1:5" ht="44.1" customHeight="1" x14ac:dyDescent="0.25">
      <c r="B7" s="105" t="str">
        <f>IFERROR(INDEX(_Lang!$B$2:$D$300,MATCH("ie_import_all_desc",_Lang!$A$2:$A$300,0),IF(Config!$D$9="NL",1,IF(Config!$D$9="FR",2,3))),"[ie_import_all_desc]")</f>
        <v>Importeert informatieassets, afhankelijke assets, processen én kwetsbaarheden-matrix in één stap.</v>
      </c>
      <c r="C7" s="85"/>
      <c r="D7" s="85"/>
    </row>
    <row r="8" spans="1:5" ht="9.9499999999999993" customHeight="1" x14ac:dyDescent="0.25"/>
    <row r="9" spans="1:5" ht="33.950000000000003" customHeight="1" x14ac:dyDescent="0.25">
      <c r="B9" s="40" t="str">
        <f>IFERROR(INDEX(_Lang!$B$2:$D$300,MATCH("ie_import_ia_btn",_Lang!$A$2:$A$300,0),IF(Config!$D$9="NL",1,IF(Config!$D$9="FR",2,3))),"[ie_import_ia_btn]")</f>
        <v>Importeer Informatieassets</v>
      </c>
    </row>
    <row r="10" spans="1:5" ht="44.1" customHeight="1" x14ac:dyDescent="0.25">
      <c r="B10" s="105" t="str">
        <f>IFERROR(INDEX(_Lang!$B$2:$D$300,MATCH("ie_import_ia_desc",_Lang!$A$2:$A$300,0),IF(Config!$D$9="NL",1,IF(Config!$D$9="FR",2,3))),"[ie_import_ia_desc]")</f>
        <v>Leest de tabel 'T - Information Assets' uit de Access-database en vult de tab Informatieassets.</v>
      </c>
      <c r="C10" s="85"/>
      <c r="D10" s="85"/>
    </row>
    <row r="11" spans="1:5" ht="9.9499999999999993" customHeight="1" x14ac:dyDescent="0.25"/>
    <row r="12" spans="1:5" ht="33.950000000000003" customHeight="1" x14ac:dyDescent="0.25">
      <c r="B12" s="40" t="str">
        <f>IFERROR(INDEX(_Lang!$B$2:$D$300,MATCH("ie_import_da_btn",_Lang!$A$2:$A$300,0),IF(Config!$D$9="NL",1,IF(Config!$D$9="FR",2,3))),"[ie_import_da_btn]")</f>
        <v>Importeer Afhankelijke Assets</v>
      </c>
    </row>
    <row r="13" spans="1:5" ht="44.1" customHeight="1" x14ac:dyDescent="0.25">
      <c r="B13" s="105" t="str">
        <f>IFERROR(INDEX(_Lang!$B$2:$D$300,MATCH("ie_import_da_desc",_Lang!$A$2:$A$300,0),IF(Config!$D$9="NL",1,IF(Config!$D$9="FR",2,3))),"[ie_import_da_desc]")</f>
        <v>Leest de tabel 'T - Dependent assets' en vult de tab Afhankelijke Assets inclusief CIA-objectives.</v>
      </c>
      <c r="C13" s="85"/>
      <c r="D13" s="85"/>
    </row>
    <row r="14" spans="1:5" ht="9.9499999999999993" customHeight="1" x14ac:dyDescent="0.25"/>
    <row r="15" spans="1:5" ht="33.950000000000003" customHeight="1" x14ac:dyDescent="0.25">
      <c r="B15" s="40" t="str">
        <f>IFERROR(INDEX(_Lang!$B$2:$D$300,MATCH("ie_import_proc_btn",_Lang!$A$2:$A$300,0),IF(Config!$D$9="NL",1,IF(Config!$D$9="FR",2,3))),"[ie_import_proc_btn]")</f>
        <v>Importeer Processen</v>
      </c>
    </row>
    <row r="16" spans="1:5" ht="44.1" customHeight="1" x14ac:dyDescent="0.25">
      <c r="B16" s="105" t="str">
        <f>IFERROR(INDEX(_Lang!$B$2:$D$300,MATCH("ie_import_proc_desc",_Lang!$A$2:$A$300,0),IF(Config!$D$9="NL",1,IF(Config!$D$9="FR",2,3))),"[ie_import_proc_desc]")</f>
        <v>Leest 'T - Processes in scope' en vult de tab Processen inclusief koppelingen aan assets.</v>
      </c>
      <c r="C16" s="85"/>
      <c r="D16" s="85"/>
    </row>
    <row r="17" spans="2:5" ht="9.9499999999999993" customHeight="1" x14ac:dyDescent="0.25"/>
    <row r="18" spans="2:5" ht="33.950000000000003" customHeight="1" x14ac:dyDescent="0.25">
      <c r="B18" s="40" t="str">
        <f>IFERROR(INDEX(_Lang!$B$2:$D$300,MATCH("ie_import_kwets_btn",_Lang!$A$2:$A$300,0),IF(Config!$D$9="NL",1,IF(Config!$D$9="FR",2,3))),"[ie_import_kwets_btn]")</f>
        <v>Importeer Kwetsbaarheden</v>
      </c>
    </row>
    <row r="19" spans="2:5" ht="44.1" customHeight="1" x14ac:dyDescent="0.25">
      <c r="B19" s="105" t="str">
        <f>IFERROR(INDEX(_Lang!$B$2:$D$300,MATCH("ie_import_kwets_desc",_Lang!$A$2:$A$300,0),IF(Config!$D$9="NL",1,IF(Config!$D$9="FR",2,3))),"[ie_import_kwets_desc]")</f>
        <v>Laadt de kwetsbaarheden en hun koppeling aan CyFun-controls. Vereist dat de tab Kwetsbaarheden al aangemaakt is.</v>
      </c>
      <c r="C19" s="85"/>
      <c r="D19" s="85"/>
    </row>
    <row r="20" spans="2:5" ht="9.9499999999999993" customHeight="1" x14ac:dyDescent="0.25"/>
    <row r="21" spans="2:5" ht="33.950000000000003" customHeight="1" x14ac:dyDescent="0.25">
      <c r="B21" s="41" t="str">
        <f>IFERROR(INDEX(_Lang!$B$2:$D$300,MATCH("ie_import_links_btn",_Lang!$A$2:$A$300,0),IF(Config!$D$9="NL",1,IF(Config!$D$9="FR",2,3))),"[ie_import_links_btn]")</f>
        <v>Importeer Links DA / Kwetsbaarheden</v>
      </c>
    </row>
    <row r="22" spans="2:5" ht="44.1" customHeight="1" x14ac:dyDescent="0.25">
      <c r="B22" s="105" t="str">
        <f>IFERROR(INDEX(_Lang!$B$2:$D$300,MATCH("ie_import_links_desc",_Lang!$A$2:$A$300,0),IF(Config!$D$9="NL",1,IF(Config!$D$9="FR",2,3))),"[ie_import_links_desc]")</f>
        <v>Voer dit uit NA de import van kwetsbaarheden. Leest de koppelingen tussen afhankelijke assets en kwetsbaarheden uit de Access-database en vult de RARM-tab aan.</v>
      </c>
      <c r="C22" s="85"/>
      <c r="D22" s="85"/>
    </row>
    <row r="23" spans="2:5" ht="9.9499999999999993" customHeight="1" x14ac:dyDescent="0.25"/>
    <row r="24" spans="2:5" ht="20.100000000000001" customHeight="1" x14ac:dyDescent="0.25">
      <c r="B24" s="84" t="str">
        <f>IFERROR(INDEX(_Lang!$B$2:$D$300,MATCH("ie_section_export",_Lang!$A$2:$A$300,0),IF(Config!$D$9="NL",1,IF(Config!$D$9="FR",2,3))),"[ie_section_export]")</f>
        <v>EXPORTEREN</v>
      </c>
      <c r="C24" s="85"/>
      <c r="D24" s="85"/>
      <c r="E24" s="85"/>
    </row>
    <row r="25" spans="2:5" ht="20.100000000000001" customHeight="1" x14ac:dyDescent="0.25">
      <c r="B25" s="84" t="str">
        <f>IFERROR(INDEX(_Lang!$B$2:$D$300,MATCH("ie_section_info",_Lang!$A$2:$A$300,0),IF(Config!$D$9="NL",1,IF(Config!$D$9="FR",2,3))),"[ie_section_info]")</f>
        <v>TABELSTRUCTUUR BRONBESTAND</v>
      </c>
      <c r="C25" s="85"/>
      <c r="D25" s="85"/>
      <c r="E25" s="85"/>
    </row>
    <row r="26" spans="2:5" ht="21.95" customHeight="1" x14ac:dyDescent="0.25">
      <c r="B26" s="108" t="str">
        <f>IFERROR(INDEX(_Lang!$B$2:$D$300,MATCH("ie_table_proc",_Lang!$A$2:$A$300,0),IF(Config!$D$9="NL",1,IF(Config!$D$9="FR",2,3))),"[ie_table_proc]")</f>
        <v>T - Processes in scope</v>
      </c>
      <c r="C26" s="85"/>
      <c r="D26" s="85"/>
    </row>
    <row r="27" spans="2:5" ht="18" customHeight="1" x14ac:dyDescent="0.25">
      <c r="B27" s="109" t="str">
        <f>IFERROR(INDEX(_Lang!$B$2:$D$300,MATCH("ie_col_hint",_Lang!$A$2:$A$300,0),IF(Config!$D$9="NL",1,IF(Config!$D$9="FR",2,3))),"[ie_col_hint]")</f>
        <v>Ondersteunde kolomnamen (niet hoofdlettergevoelig):</v>
      </c>
      <c r="C27" s="85"/>
      <c r="D27" s="85"/>
    </row>
    <row r="28" spans="2:5" ht="51.95" customHeight="1" x14ac:dyDescent="0.25">
      <c r="B28" s="107" t="s">
        <v>450</v>
      </c>
      <c r="C28" s="85"/>
      <c r="D28" s="85"/>
    </row>
    <row r="30" spans="2:5" ht="21.95" customHeight="1" x14ac:dyDescent="0.25">
      <c r="B30" s="108" t="str">
        <f>IFERROR(INDEX(_Lang!$B$2:$D$300,MATCH("ie_table_asset",_Lang!$A$2:$A$300,0),IF(Config!$D$9="NL",1,IF(Config!$D$9="FR",2,3))),"[ie_table_asset]")</f>
        <v>T - Information Assets</v>
      </c>
      <c r="C30" s="85"/>
      <c r="D30" s="85"/>
    </row>
    <row r="31" spans="2:5" ht="18" customHeight="1" x14ac:dyDescent="0.25">
      <c r="B31" s="109" t="str">
        <f>IFERROR(INDEX(_Lang!$B$2:$D$300,MATCH("ie_col_hint",_Lang!$A$2:$A$300,0),IF(Config!$D$9="NL",1,IF(Config!$D$9="FR",2,3))),"[ie_col_hint]")</f>
        <v>Ondersteunde kolomnamen (niet hoofdlettergevoelig):</v>
      </c>
      <c r="C31" s="85"/>
      <c r="D31" s="85"/>
    </row>
    <row r="32" spans="2:5" ht="51.95" customHeight="1" x14ac:dyDescent="0.25">
      <c r="B32" s="107" t="s">
        <v>451</v>
      </c>
      <c r="C32" s="85"/>
      <c r="D32" s="85"/>
    </row>
    <row r="34" spans="2:4" ht="21.95" customHeight="1" x14ac:dyDescent="0.25">
      <c r="B34" s="106" t="str">
        <f>IFERROR(INDEX(_Lang!$B$2:$D$300,MATCH("ie_macro_hint",_Lang!$A$2:$A$300,0),IF(Config!$D$9="NL",1,IF(Config!$D$9="FR",2,3))),"[ie_macro_hint]")</f>
        <v>De macro's zijn ingebouwd in dit bestand (Module: GRC_Macros). Klik op de knoppen hierboven om te starten.</v>
      </c>
      <c r="C34" s="85"/>
      <c r="D34" s="85"/>
    </row>
  </sheetData>
  <mergeCells count="19">
    <mergeCell ref="B31:D31"/>
    <mergeCell ref="B22:D22"/>
    <mergeCell ref="B27:D27"/>
    <mergeCell ref="B13:D13"/>
    <mergeCell ref="A1:E1"/>
    <mergeCell ref="B24:E24"/>
    <mergeCell ref="B5:E5"/>
    <mergeCell ref="B34:D34"/>
    <mergeCell ref="B10:D10"/>
    <mergeCell ref="B28:D28"/>
    <mergeCell ref="B19:D19"/>
    <mergeCell ref="B25:E25"/>
    <mergeCell ref="B30:D30"/>
    <mergeCell ref="A3:E3"/>
    <mergeCell ref="A2:E2"/>
    <mergeCell ref="B32:D32"/>
    <mergeCell ref="B26:D26"/>
    <mergeCell ref="B7:D7"/>
    <mergeCell ref="B16:D16"/>
  </mergeCells>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F30"/>
  <sheetViews>
    <sheetView showGridLines="0" workbookViewId="0"/>
  </sheetViews>
  <sheetFormatPr defaultRowHeight="15" x14ac:dyDescent="0.25"/>
  <cols>
    <col min="1" max="1" width="2" customWidth="1"/>
    <col min="2" max="2" width="18" customWidth="1"/>
    <col min="3" max="3" width="52" customWidth="1"/>
    <col min="4" max="6" width="8" customWidth="1"/>
  </cols>
  <sheetData>
    <row r="1" spans="1:6" ht="51.95" customHeight="1" x14ac:dyDescent="0.25">
      <c r="A1" s="87" t="str">
        <f>IFERROR(INDEX(_Lang!$B$2:$D$300,MATCH("ref_title",_Lang!$A$2:$A$300,0),IF(Config!$D$9="NL",1,IF(Config!$D$9="FR",2,3))),"[ref_title]")</f>
        <v>Referentiewaarden en Classificatieschalen</v>
      </c>
      <c r="B1" s="85"/>
      <c r="C1" s="85"/>
      <c r="D1" s="85"/>
      <c r="E1" s="85"/>
      <c r="F1" s="85"/>
    </row>
    <row r="2" spans="1:6" ht="21.95" customHeight="1" x14ac:dyDescent="0.25">
      <c r="A2" s="90" t="str">
        <f>IFERROR(INDEX(_Lang!$B$2:$D$300,MATCH("app_tagline",_Lang!$A$2:$A$300,0),IF(Config!$D$9="NL",1,IF(Config!$D$9="FR",2,3))),"[app_tagline]")</f>
        <v>Governance · Risico · Compliance</v>
      </c>
      <c r="B2" s="85"/>
      <c r="C2" s="85"/>
      <c r="D2" s="85"/>
      <c r="E2" s="85"/>
      <c r="F2" s="85"/>
    </row>
    <row r="3" spans="1:6" ht="30" customHeight="1" x14ac:dyDescent="0.25">
      <c r="A3" s="111" t="str">
        <f>IFERROR(INDEX(_Lang!$B$2:$D$300,MATCH("ref_subtitle",_Lang!$A$2:$A$300,0),IF(Config!$D$9="NL",1,IF(Config!$D$9="FR",2,3))),"[ref_subtitle]")</f>
        <v>Gebruik deze schalen bij het invullen van de classificatievelden (1 = Laag … 5 = Kritiek).</v>
      </c>
      <c r="B3" s="85"/>
      <c r="C3" s="85"/>
      <c r="D3" s="85"/>
      <c r="E3" s="85"/>
      <c r="F3" s="85"/>
    </row>
    <row r="4" spans="1:6" ht="9.9499999999999993" customHeight="1" x14ac:dyDescent="0.25"/>
    <row r="5" spans="1:6" ht="20.100000000000001" customHeight="1" x14ac:dyDescent="0.25">
      <c r="A5" s="84" t="str">
        <f>IFERROR(INDEX(_Lang!$B$2:$D$300,MATCH("ref_section_int",_Lang!$A$2:$A$300,0),IF(Config!$D$9="NL",1,IF(Config!$D$9="FR",2,3))),"[ref_section_int]")</f>
        <v>INTEGRITEIT</v>
      </c>
      <c r="B5" s="85"/>
      <c r="C5" s="85"/>
      <c r="D5" s="85"/>
      <c r="E5" s="85"/>
      <c r="F5" s="85"/>
    </row>
    <row r="6" spans="1:6" ht="21.95" customHeight="1" x14ac:dyDescent="0.25">
      <c r="A6" s="116" t="str">
        <f>IFERROR(INDEX(_Lang!$B$2:$D$300,MATCH("ref_int_subtitle",_Lang!$A$2:$A$300,0),IF(Config!$D$9="NL",1,IF(Config!$D$9="FR",2,3))),"[ref_int_subtitle]")</f>
        <v>Mate van correctheid, volledigheid en betrouwbaarheid van gegevens.</v>
      </c>
      <c r="B6" s="85"/>
      <c r="C6" s="85"/>
      <c r="D6" s="85"/>
      <c r="E6" s="85"/>
      <c r="F6" s="85"/>
    </row>
    <row r="7" spans="1:6" ht="26.1" customHeight="1" x14ac:dyDescent="0.25">
      <c r="A7" s="42" t="str">
        <f>IFERROR(INDEX(_Lang!$B$2:$D$300,MATCH("ref_level",_Lang!$A$2:$A$300,0),IF(Config!$D$9="NL",1,IF(Config!$D$9="FR",2,3))),"[ref_level]")</f>
        <v>Niveau</v>
      </c>
      <c r="B7" s="42" t="str">
        <f>IFERROR(INDEX(_Lang!$B$2:$D$300,MATCH("ref_label",_Lang!$A$2:$A$300,0),IF(Config!$D$9="NL",1,IF(Config!$D$9="FR",2,3))),"[ref_label]")</f>
        <v>Benaming</v>
      </c>
      <c r="C7" s="42" t="str">
        <f>IFERROR(INDEX(_Lang!$B$2:$D$300,MATCH("ref_description",_Lang!$A$2:$A$300,0),IF(Config!$D$9="NL",1,IF(Config!$D$9="FR",2,3))),"[ref_description]")</f>
        <v>Omschrijving</v>
      </c>
    </row>
    <row r="8" spans="1:6" ht="51.95" customHeight="1" x14ac:dyDescent="0.25">
      <c r="A8" s="43">
        <v>1</v>
      </c>
      <c r="B8" s="44" t="str">
        <f>IFERROR(INDEX(_Lang!$B$2:$D$300,MATCH("ref_lvl1_label",_Lang!$A$2:$A$300,0),IF(Config!$D$9="NL",1,IF(Config!$D$9="FR",2,3))),"[ref_lvl1_label]")</f>
        <v>Laag</v>
      </c>
      <c r="C8" s="110" t="str">
        <f>IFERROR(INDEX(_Lang!$B$2:$D$300,MATCH("ref_int_1",_Lang!$A$2:$A$300,0),IF(Config!$D$9="NL",1,IF(Config!$D$9="FR",2,3))),"[ref_int_1]")</f>
        <v>Fouten hebben geen impact op beslissingen of dienstverlening.</v>
      </c>
      <c r="D8" s="85"/>
      <c r="E8" s="85"/>
      <c r="F8" s="85"/>
    </row>
    <row r="9" spans="1:6" ht="51.95" customHeight="1" x14ac:dyDescent="0.25">
      <c r="A9" s="45">
        <v>2</v>
      </c>
      <c r="B9" s="46" t="str">
        <f>IFERROR(INDEX(_Lang!$B$2:$D$300,MATCH("ref_lvl2_label",_Lang!$A$2:$A$300,0),IF(Config!$D$9="NL",1,IF(Config!$D$9="FR",2,3))),"[ref_lvl2_label]")</f>
        <v>Gemiddeld</v>
      </c>
      <c r="C9" s="113" t="str">
        <f>IFERROR(INDEX(_Lang!$B$2:$D$300,MATCH("ref_int_2",_Lang!$A$2:$A$300,0),IF(Config!$D$9="NL",1,IF(Config!$D$9="FR",2,3))),"[ref_int_2]")</f>
        <v>Fouten kunnen leiden tot beperkte fouten in beslissingen.</v>
      </c>
      <c r="D9" s="85"/>
      <c r="E9" s="85"/>
      <c r="F9" s="85"/>
    </row>
    <row r="10" spans="1:6" ht="51.95" customHeight="1" x14ac:dyDescent="0.25">
      <c r="A10" s="47">
        <v>3</v>
      </c>
      <c r="B10" s="48" t="str">
        <f>IFERROR(INDEX(_Lang!$B$2:$D$300,MATCH("ref_lvl3_label",_Lang!$A$2:$A$300,0),IF(Config!$D$9="NL",1,IF(Config!$D$9="FR",2,3))),"[ref_lvl3_label]")</f>
        <v>Hoog</v>
      </c>
      <c r="C10" s="112" t="str">
        <f>IFERROR(INDEX(_Lang!$B$2:$D$300,MATCH("ref_int_3",_Lang!$A$2:$A$300,0),IF(Config!$D$9="NL",1,IF(Config!$D$9="FR",2,3))),"[ref_int_3]")</f>
        <v>Fouten leiden tot verkeerde beslissingen met significante gevolgen.</v>
      </c>
      <c r="D10" s="85"/>
      <c r="E10" s="85"/>
      <c r="F10" s="85"/>
    </row>
    <row r="11" spans="1:6" ht="51.95" customHeight="1" x14ac:dyDescent="0.25">
      <c r="A11" s="49">
        <v>4</v>
      </c>
      <c r="B11" s="50" t="str">
        <f>IFERROR(INDEX(_Lang!$B$2:$D$300,MATCH("ref_lvl4_label",_Lang!$A$2:$A$300,0),IF(Config!$D$9="NL",1,IF(Config!$D$9="FR",2,3))),"[ref_lvl4_label]")</f>
        <v>Zeer Hoog</v>
      </c>
      <c r="C11" s="115" t="str">
        <f>IFERROR(INDEX(_Lang!$B$2:$D$300,MATCH("ref_int_4",_Lang!$A$2:$A$300,0),IF(Config!$D$9="NL",1,IF(Config!$D$9="FR",2,3))),"[ref_int_4]")</f>
        <v>Fouten leiden tot grove schade: gevaar, juridische gevolgen, schending van rechten.</v>
      </c>
      <c r="D11" s="85"/>
      <c r="E11" s="85"/>
      <c r="F11" s="85"/>
    </row>
    <row r="12" spans="1:6" ht="51.95" customHeight="1" x14ac:dyDescent="0.25">
      <c r="A12" s="51">
        <v>5</v>
      </c>
      <c r="B12" s="52" t="str">
        <f>IFERROR(INDEX(_Lang!$B$2:$D$300,MATCH("ref_lvl5_label",_Lang!$A$2:$A$300,0),IF(Config!$D$9="NL",1,IF(Config!$D$9="FR",2,3))),"[ref_lvl5_label]")</f>
        <v>Classified</v>
      </c>
      <c r="C12" s="114" t="str">
        <f>IFERROR(INDEX(_Lang!$B$2:$D$300,MATCH("ref_int_5",_Lang!$A$2:$A$300,0),IF(Config!$D$9="NL",1,IF(Config!$D$9="FR",2,3))),"[ref_int_5]")</f>
        <v>Fouten kunnen leiden tot onherstelbare schade, gevaar voor nationale veiligheid of fundamentele schending van grondrechten.</v>
      </c>
      <c r="D12" s="85"/>
      <c r="E12" s="85"/>
      <c r="F12" s="85"/>
    </row>
    <row r="14" spans="1:6" ht="20.100000000000001" customHeight="1" x14ac:dyDescent="0.25">
      <c r="A14" s="84" t="str">
        <f>IFERROR(INDEX(_Lang!$B$2:$D$300,MATCH("ref_section_avail",_Lang!$A$2:$A$300,0),IF(Config!$D$9="NL",1,IF(Config!$D$9="FR",2,3))),"[ref_section_avail]")</f>
        <v>BESCHIKBAARHEID</v>
      </c>
      <c r="B14" s="85"/>
      <c r="C14" s="85"/>
      <c r="D14" s="85"/>
      <c r="E14" s="85"/>
      <c r="F14" s="85"/>
    </row>
    <row r="15" spans="1:6" ht="21.95" customHeight="1" x14ac:dyDescent="0.25">
      <c r="A15" s="116" t="str">
        <f>IFERROR(INDEX(_Lang!$B$2:$D$300,MATCH("ref_avail_subtitle",_Lang!$A$2:$A$300,0),IF(Config!$D$9="NL",1,IF(Config!$D$9="FR",2,3))),"[ref_avail_subtitle]")</f>
        <v>Mate van toegankelijkheid wanneer dat nodig is.</v>
      </c>
      <c r="B15" s="85"/>
      <c r="C15" s="85"/>
      <c r="D15" s="85"/>
      <c r="E15" s="85"/>
      <c r="F15" s="85"/>
    </row>
    <row r="16" spans="1:6" ht="26.1" customHeight="1" x14ac:dyDescent="0.25">
      <c r="A16" s="42" t="str">
        <f>IFERROR(INDEX(_Lang!$B$2:$D$300,MATCH("ref_level",_Lang!$A$2:$A$300,0),IF(Config!$D$9="NL",1,IF(Config!$D$9="FR",2,3))),"[ref_level]")</f>
        <v>Niveau</v>
      </c>
      <c r="B16" s="42" t="str">
        <f>IFERROR(INDEX(_Lang!$B$2:$D$300,MATCH("ref_label",_Lang!$A$2:$A$300,0),IF(Config!$D$9="NL",1,IF(Config!$D$9="FR",2,3))),"[ref_label]")</f>
        <v>Benaming</v>
      </c>
      <c r="C16" s="42" t="str">
        <f>IFERROR(INDEX(_Lang!$B$2:$D$300,MATCH("ref_description",_Lang!$A$2:$A$300,0),IF(Config!$D$9="NL",1,IF(Config!$D$9="FR",2,3))),"[ref_description]")</f>
        <v>Omschrijving</v>
      </c>
    </row>
    <row r="17" spans="1:6" ht="51.95" customHeight="1" x14ac:dyDescent="0.25">
      <c r="A17" s="43">
        <v>1</v>
      </c>
      <c r="B17" s="44" t="str">
        <f>IFERROR(INDEX(_Lang!$B$2:$D$300,MATCH("ref_lvl1_label",_Lang!$A$2:$A$300,0),IF(Config!$D$9="NL",1,IF(Config!$D$9="FR",2,3))),"[ref_lvl1_label]")</f>
        <v>Laag</v>
      </c>
      <c r="C17" s="110" t="str">
        <f>IFERROR(INDEX(_Lang!$B$2:$D$300,MATCH("ref_avail_1",_Lang!$A$2:$A$300,0),IF(Config!$D$9="NL",1,IF(Config!$D$9="FR",2,3))),"[ref_avail_1]")</f>
        <v>Uitval heeft geen merkbare impact. Processen lopen handmatig verder.</v>
      </c>
      <c r="D17" s="85"/>
      <c r="E17" s="85"/>
      <c r="F17" s="85"/>
    </row>
    <row r="18" spans="1:6" ht="51.95" customHeight="1" x14ac:dyDescent="0.25">
      <c r="A18" s="45">
        <v>2</v>
      </c>
      <c r="B18" s="46" t="str">
        <f>IFERROR(INDEX(_Lang!$B$2:$D$300,MATCH("ref_lvl2_label",_Lang!$A$2:$A$300,0),IF(Config!$D$9="NL",1,IF(Config!$D$9="FR",2,3))),"[ref_lvl2_label]")</f>
        <v>Gemiddeld</v>
      </c>
      <c r="C18" s="113" t="str">
        <f>IFERROR(INDEX(_Lang!$B$2:$D$300,MATCH("ref_avail_2",_Lang!$A$2:$A$300,0),IF(Config!$D$9="NL",1,IF(Config!$D$9="FR",2,3))),"[ref_avail_2]")</f>
        <v>Uitval veroorzaakt hinder maar geen kritieke verstoring.</v>
      </c>
      <c r="D18" s="85"/>
      <c r="E18" s="85"/>
      <c r="F18" s="85"/>
    </row>
    <row r="19" spans="1:6" ht="51.95" customHeight="1" x14ac:dyDescent="0.25">
      <c r="A19" s="47">
        <v>3</v>
      </c>
      <c r="B19" s="48" t="str">
        <f>IFERROR(INDEX(_Lang!$B$2:$D$300,MATCH("ref_lvl3_label",_Lang!$A$2:$A$300,0),IF(Config!$D$9="NL",1,IF(Config!$D$9="FR",2,3))),"[ref_lvl3_label]")</f>
        <v>Hoog</v>
      </c>
      <c r="C19" s="112" t="str">
        <f>IFERROR(INDEX(_Lang!$B$2:$D$300,MATCH("ref_avail_3",_Lang!$A$2:$A$300,0),IF(Config!$D$9="NL",1,IF(Config!$D$9="FR",2,3))),"[ref_avail_3]")</f>
        <v>Uitval leidt tot significante verstoring van de dienstverlening.</v>
      </c>
      <c r="D19" s="85"/>
      <c r="E19" s="85"/>
      <c r="F19" s="85"/>
    </row>
    <row r="20" spans="1:6" ht="51.95" customHeight="1" x14ac:dyDescent="0.25">
      <c r="A20" s="49">
        <v>4</v>
      </c>
      <c r="B20" s="50" t="str">
        <f>IFERROR(INDEX(_Lang!$B$2:$D$300,MATCH("ref_lvl4_label",_Lang!$A$2:$A$300,0),IF(Config!$D$9="NL",1,IF(Config!$D$9="FR",2,3))),"[ref_lvl4_label]")</f>
        <v>Zeer Hoog</v>
      </c>
      <c r="C20" s="115" t="str">
        <f>IFERROR(INDEX(_Lang!$B$2:$D$300,MATCH("ref_avail_4",_Lang!$A$2:$A$300,0),IF(Config!$D$9="NL",1,IF(Config!$D$9="FR",2,3))),"[ref_avail_4]")</f>
        <v>Uitval veroorzaakt grote schade of stillegging van belangrijke diensten.</v>
      </c>
      <c r="D20" s="85"/>
      <c r="E20" s="85"/>
      <c r="F20" s="85"/>
    </row>
    <row r="21" spans="1:6" ht="51.95" customHeight="1" x14ac:dyDescent="0.25">
      <c r="A21" s="51">
        <v>5</v>
      </c>
      <c r="B21" s="52" t="str">
        <f>IFERROR(INDEX(_Lang!$B$2:$D$300,MATCH("ref_lvl5_label",_Lang!$A$2:$A$300,0),IF(Config!$D$9="NL",1,IF(Config!$D$9="FR",2,3))),"[ref_lvl5_label]")</f>
        <v>Classified</v>
      </c>
      <c r="C21" s="114" t="str">
        <f>IFERROR(INDEX(_Lang!$B$2:$D$300,MATCH("ref_avail_5",_Lang!$A$2:$A$300,0),IF(Config!$D$9="NL",1,IF(Config!$D$9="FR",2,3))),"[ref_avail_5]")</f>
        <v>Uitval leidt tot volledige stopzetting van vitale overheidsfuncties of noodsituaties met gevaar voor leven.</v>
      </c>
      <c r="D21" s="85"/>
      <c r="E21" s="85"/>
      <c r="F21" s="85"/>
    </row>
    <row r="23" spans="1:6" ht="20.100000000000001" customHeight="1" x14ac:dyDescent="0.25">
      <c r="A23" s="84" t="str">
        <f>IFERROR(INDEX(_Lang!$B$2:$D$300,MATCH("ref_section_conf",_Lang!$A$2:$A$300,0),IF(Config!$D$9="NL",1,IF(Config!$D$9="FR",2,3))),"[ref_section_conf]")</f>
        <v>CONFIDENTIALITEIT</v>
      </c>
      <c r="B23" s="85"/>
      <c r="C23" s="85"/>
      <c r="D23" s="85"/>
      <c r="E23" s="85"/>
      <c r="F23" s="85"/>
    </row>
    <row r="24" spans="1:6" ht="21.95" customHeight="1" x14ac:dyDescent="0.25">
      <c r="A24" s="116" t="str">
        <f>IFERROR(INDEX(_Lang!$B$2:$D$300,MATCH("ref_conf_subtitle",_Lang!$A$2:$A$300,0),IF(Config!$D$9="NL",1,IF(Config!$D$9="FR",2,3))),"[ref_conf_subtitle]")</f>
        <v>Toegankelijkheid enkel voor bevoegde personen of systemen.</v>
      </c>
      <c r="B24" s="85"/>
      <c r="C24" s="85"/>
      <c r="D24" s="85"/>
      <c r="E24" s="85"/>
      <c r="F24" s="85"/>
    </row>
    <row r="25" spans="1:6" ht="26.1" customHeight="1" x14ac:dyDescent="0.25">
      <c r="A25" s="42" t="str">
        <f>IFERROR(INDEX(_Lang!$B$2:$D$300,MATCH("ref_level",_Lang!$A$2:$A$300,0),IF(Config!$D$9="NL",1,IF(Config!$D$9="FR",2,3))),"[ref_level]")</f>
        <v>Niveau</v>
      </c>
      <c r="B25" s="42" t="str">
        <f>IFERROR(INDEX(_Lang!$B$2:$D$300,MATCH("ref_label",_Lang!$A$2:$A$300,0),IF(Config!$D$9="NL",1,IF(Config!$D$9="FR",2,3))),"[ref_label]")</f>
        <v>Benaming</v>
      </c>
      <c r="C25" s="42" t="str">
        <f>IFERROR(INDEX(_Lang!$B$2:$D$300,MATCH("ref_description",_Lang!$A$2:$A$300,0),IF(Config!$D$9="NL",1,IF(Config!$D$9="FR",2,3))),"[ref_description]")</f>
        <v>Omschrijving</v>
      </c>
    </row>
    <row r="26" spans="1:6" ht="51.95" customHeight="1" x14ac:dyDescent="0.25">
      <c r="A26" s="43">
        <v>1</v>
      </c>
      <c r="B26" s="44" t="str">
        <f>IFERROR(INDEX(_Lang!$B$2:$D$300,MATCH("ref_lvl1_label",_Lang!$A$2:$A$300,0),IF(Config!$D$9="NL",1,IF(Config!$D$9="FR",2,3))),"[ref_lvl1_label]")</f>
        <v>Laag</v>
      </c>
      <c r="C26" s="110" t="str">
        <f>IFERROR(INDEX(_Lang!$B$2:$D$300,MATCH("ref_conf_1",_Lang!$A$2:$A$300,0),IF(Config!$D$9="NL",1,IF(Config!$D$9="FR",2,3))),"[ref_conf_1]")</f>
        <v>Openbare gegevens. Verspreiding heeft geen nadelige gevolgen.</v>
      </c>
      <c r="D26" s="85"/>
      <c r="E26" s="85"/>
      <c r="F26" s="85"/>
    </row>
    <row r="27" spans="1:6" ht="51.95" customHeight="1" x14ac:dyDescent="0.25">
      <c r="A27" s="45">
        <v>2</v>
      </c>
      <c r="B27" s="46" t="str">
        <f>IFERROR(INDEX(_Lang!$B$2:$D$300,MATCH("ref_lvl2_label",_Lang!$A$2:$A$300,0),IF(Config!$D$9="NL",1,IF(Config!$D$9="FR",2,3))),"[ref_lvl2_label]")</f>
        <v>Gemiddeld</v>
      </c>
      <c r="C27" s="113" t="str">
        <f>IFERROR(INDEX(_Lang!$B$2:$D$300,MATCH("ref_conf_2",_Lang!$A$2:$A$300,0),IF(Config!$D$9="NL",1,IF(Config!$D$9="FR",2,3))),"[ref_conf_2]")</f>
        <v>Interne gegevens. Verspreiding kan leiden tot beperkte reputatieschade.</v>
      </c>
      <c r="D27" s="85"/>
      <c r="E27" s="85"/>
      <c r="F27" s="85"/>
    </row>
    <row r="28" spans="1:6" ht="51.95" customHeight="1" x14ac:dyDescent="0.25">
      <c r="A28" s="47">
        <v>3</v>
      </c>
      <c r="B28" s="48" t="str">
        <f>IFERROR(INDEX(_Lang!$B$2:$D$300,MATCH("ref_lvl3_label",_Lang!$A$2:$A$300,0),IF(Config!$D$9="NL",1,IF(Config!$D$9="FR",2,3))),"[ref_lvl3_label]")</f>
        <v>Hoog</v>
      </c>
      <c r="C28" s="112" t="str">
        <f>IFERROR(INDEX(_Lang!$B$2:$D$300,MATCH("ref_conf_3",_Lang!$A$2:$A$300,0),IF(Config!$D$9="NL",1,IF(Config!$D$9="FR",2,3))),"[ref_conf_3]")</f>
        <v>Vertrouwelijke gegevens. Ongeoorloofde verspreiding heeft ernstige gevolgen.</v>
      </c>
      <c r="D28" s="85"/>
      <c r="E28" s="85"/>
      <c r="F28" s="85"/>
    </row>
    <row r="29" spans="1:6" ht="51.95" customHeight="1" x14ac:dyDescent="0.25">
      <c r="A29" s="49">
        <v>4</v>
      </c>
      <c r="B29" s="50" t="str">
        <f>IFERROR(INDEX(_Lang!$B$2:$D$300,MATCH("ref_lvl4_label",_Lang!$A$2:$A$300,0),IF(Config!$D$9="NL",1,IF(Config!$D$9="FR",2,3))),"[ref_lvl4_label]")</f>
        <v>Zeer Hoog</v>
      </c>
      <c r="C29" s="115" t="str">
        <f>IFERROR(INDEX(_Lang!$B$2:$D$300,MATCH("ref_conf_4",_Lang!$A$2:$A$300,0),IF(Config!$D$9="NL",1,IF(Config!$D$9="FR",2,3))),"[ref_conf_4]")</f>
        <v>Strikt vertrouwelijke gegevens. Verspreiding bedreigt personen, organisaties of vitale processen.</v>
      </c>
      <c r="D29" s="85"/>
      <c r="E29" s="85"/>
      <c r="F29" s="85"/>
    </row>
    <row r="30" spans="1:6" ht="51.95" customHeight="1" x14ac:dyDescent="0.25">
      <c r="A30" s="51">
        <v>5</v>
      </c>
      <c r="B30" s="52" t="str">
        <f>IFERROR(INDEX(_Lang!$B$2:$D$300,MATCH("ref_lvl5_label",_Lang!$A$2:$A$300,0),IF(Config!$D$9="NL",1,IF(Config!$D$9="FR",2,3))),"[ref_lvl5_label]")</f>
        <v>Classified</v>
      </c>
      <c r="C30" s="114" t="str">
        <f>IFERROR(INDEX(_Lang!$B$2:$D$300,MATCH("ref_conf_5",_Lang!$A$2:$A$300,0),IF(Config!$D$9="NL",1,IF(Config!$D$9="FR",2,3))),"[ref_conf_5]")</f>
        <v>Geheime gegevens. Verspreiding kan nationale veiligheid, grondrechten of vitale staatsfuncties schaden.</v>
      </c>
      <c r="D30" s="85"/>
      <c r="E30" s="85"/>
      <c r="F30" s="85"/>
    </row>
  </sheetData>
  <mergeCells count="24">
    <mergeCell ref="A1:F1"/>
    <mergeCell ref="C12:F12"/>
    <mergeCell ref="C21:F21"/>
    <mergeCell ref="A6:F6"/>
    <mergeCell ref="C11:F11"/>
    <mergeCell ref="C30:F30"/>
    <mergeCell ref="C20:F20"/>
    <mergeCell ref="C26:F26"/>
    <mergeCell ref="C29:F29"/>
    <mergeCell ref="C10:F10"/>
    <mergeCell ref="A15:F15"/>
    <mergeCell ref="A24:F24"/>
    <mergeCell ref="C27:F27"/>
    <mergeCell ref="A2:F2"/>
    <mergeCell ref="C18:F18"/>
    <mergeCell ref="A14:F14"/>
    <mergeCell ref="A5:F5"/>
    <mergeCell ref="A23:F23"/>
    <mergeCell ref="C9:F9"/>
    <mergeCell ref="C17:F17"/>
    <mergeCell ref="C8:F8"/>
    <mergeCell ref="A3:F3"/>
    <mergeCell ref="C19:F19"/>
    <mergeCell ref="C28:F28"/>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dimension ref="A1:M246"/>
  <sheetViews>
    <sheetView showGridLines="0" workbookViewId="0">
      <pane ySplit="3" topLeftCell="A4" activePane="bottomLeft" state="frozen"/>
      <selection pane="bottomLeft"/>
    </sheetView>
  </sheetViews>
  <sheetFormatPr defaultRowHeight="15" x14ac:dyDescent="0.25"/>
  <cols>
    <col min="1" max="1" width="30" customWidth="1"/>
    <col min="2" max="2" width="24" customWidth="1"/>
    <col min="3" max="3" width="14" customWidth="1"/>
    <col min="4" max="4" width="36" customWidth="1"/>
    <col min="5" max="5" width="16" customWidth="1"/>
    <col min="6" max="6" width="90" customWidth="1"/>
    <col min="7" max="7" width="13" customWidth="1"/>
    <col min="8" max="8" width="30" customWidth="1"/>
    <col min="9" max="9" width="24" customWidth="1"/>
    <col min="10" max="10" width="14" customWidth="1"/>
    <col min="11" max="11" width="36" customWidth="1"/>
    <col min="12" max="12" width="16" customWidth="1"/>
    <col min="13" max="13" width="90" customWidth="1"/>
  </cols>
  <sheetData>
    <row r="1" spans="1:13" ht="33.950000000000003" customHeight="1" x14ac:dyDescent="0.25">
      <c r="A1" s="103" t="s">
        <v>452</v>
      </c>
      <c r="B1" s="85"/>
      <c r="C1" s="85"/>
      <c r="D1" s="85"/>
      <c r="E1" s="85"/>
      <c r="F1" s="85"/>
      <c r="G1" s="85"/>
      <c r="H1" s="85"/>
      <c r="I1" s="85"/>
      <c r="J1" s="85"/>
      <c r="K1" s="85"/>
      <c r="L1" s="85"/>
      <c r="M1" s="85"/>
    </row>
    <row r="2" spans="1:13" ht="21.95" customHeight="1" x14ac:dyDescent="0.25">
      <c r="A2" s="117" t="s">
        <v>453</v>
      </c>
      <c r="B2" s="85"/>
      <c r="C2" s="85"/>
      <c r="D2" s="85"/>
      <c r="E2" s="85"/>
      <c r="F2" s="85"/>
      <c r="G2" s="53" t="s">
        <v>454</v>
      </c>
      <c r="H2" s="118" t="s">
        <v>455</v>
      </c>
      <c r="I2" s="85"/>
      <c r="J2" s="85"/>
      <c r="K2" s="85"/>
      <c r="L2" s="85"/>
      <c r="M2" s="85"/>
    </row>
    <row r="3" spans="1:13" ht="36" customHeight="1" x14ac:dyDescent="0.25">
      <c r="A3" s="5" t="s">
        <v>456</v>
      </c>
      <c r="B3" s="5" t="s">
        <v>457</v>
      </c>
      <c r="C3" s="5" t="s">
        <v>458</v>
      </c>
      <c r="D3" s="5" t="s">
        <v>459</v>
      </c>
      <c r="E3" s="5" t="s">
        <v>460</v>
      </c>
      <c r="F3" s="5" t="s">
        <v>461</v>
      </c>
      <c r="G3" s="54" t="s">
        <v>454</v>
      </c>
      <c r="H3" s="42" t="s">
        <v>462</v>
      </c>
      <c r="I3" s="42" t="s">
        <v>463</v>
      </c>
      <c r="J3" s="42" t="s">
        <v>464</v>
      </c>
      <c r="K3" s="42" t="s">
        <v>465</v>
      </c>
      <c r="L3" s="42" t="s">
        <v>466</v>
      </c>
      <c r="M3" s="42" t="s">
        <v>467</v>
      </c>
    </row>
    <row r="4" spans="1:13" ht="108" x14ac:dyDescent="0.25">
      <c r="A4" s="32" t="s">
        <v>468</v>
      </c>
      <c r="B4" s="55"/>
      <c r="C4" s="55"/>
      <c r="D4" s="32" t="s">
        <v>469</v>
      </c>
      <c r="E4" s="56" t="s">
        <v>12</v>
      </c>
      <c r="F4" s="32" t="s">
        <v>470</v>
      </c>
      <c r="G4" s="57" t="s">
        <v>471</v>
      </c>
      <c r="H4" s="32" t="s">
        <v>472</v>
      </c>
      <c r="I4" s="55"/>
      <c r="J4" s="55"/>
      <c r="K4" s="32" t="s">
        <v>473</v>
      </c>
      <c r="L4" s="56" t="s">
        <v>12</v>
      </c>
      <c r="M4" s="32" t="s">
        <v>474</v>
      </c>
    </row>
    <row r="5" spans="1:13" ht="108" x14ac:dyDescent="0.25">
      <c r="A5" s="36" t="s">
        <v>468</v>
      </c>
      <c r="B5" s="58"/>
      <c r="C5" s="58"/>
      <c r="D5" s="36" t="s">
        <v>475</v>
      </c>
      <c r="E5" s="59" t="s">
        <v>15</v>
      </c>
      <c r="F5" s="36" t="s">
        <v>476</v>
      </c>
      <c r="G5" s="60" t="s">
        <v>477</v>
      </c>
      <c r="H5" s="58"/>
      <c r="I5" s="58"/>
      <c r="J5" s="58"/>
      <c r="K5" s="58"/>
      <c r="L5" s="58"/>
      <c r="M5" s="58"/>
    </row>
    <row r="6" spans="1:13" ht="108" x14ac:dyDescent="0.25">
      <c r="A6" s="32" t="s">
        <v>468</v>
      </c>
      <c r="B6" s="55"/>
      <c r="C6" s="55"/>
      <c r="D6" s="32" t="s">
        <v>478</v>
      </c>
      <c r="E6" s="57" t="s">
        <v>18</v>
      </c>
      <c r="F6" s="32" t="s">
        <v>479</v>
      </c>
      <c r="G6" s="57" t="s">
        <v>471</v>
      </c>
      <c r="H6" s="32" t="s">
        <v>480</v>
      </c>
      <c r="I6" s="55"/>
      <c r="J6" s="55"/>
      <c r="K6" s="32" t="s">
        <v>481</v>
      </c>
      <c r="L6" s="57" t="s">
        <v>18</v>
      </c>
      <c r="M6" s="32" t="s">
        <v>482</v>
      </c>
    </row>
    <row r="7" spans="1:13" ht="108" x14ac:dyDescent="0.25">
      <c r="A7" s="36" t="s">
        <v>468</v>
      </c>
      <c r="B7" s="58"/>
      <c r="C7" s="58"/>
      <c r="D7" s="36" t="s">
        <v>478</v>
      </c>
      <c r="E7" s="56" t="s">
        <v>12</v>
      </c>
      <c r="F7" s="36" t="s">
        <v>483</v>
      </c>
      <c r="G7" s="57" t="s">
        <v>471</v>
      </c>
      <c r="H7" s="36" t="s">
        <v>480</v>
      </c>
      <c r="I7" s="58"/>
      <c r="J7" s="58"/>
      <c r="K7" s="36" t="s">
        <v>481</v>
      </c>
      <c r="L7" s="56" t="s">
        <v>12</v>
      </c>
      <c r="M7" s="36" t="s">
        <v>484</v>
      </c>
    </row>
    <row r="8" spans="1:13" ht="108" x14ac:dyDescent="0.25">
      <c r="A8" s="32" t="s">
        <v>468</v>
      </c>
      <c r="B8" s="55"/>
      <c r="C8" s="55"/>
      <c r="D8" s="32" t="s">
        <v>485</v>
      </c>
      <c r="E8" s="56" t="s">
        <v>12</v>
      </c>
      <c r="F8" s="32" t="s">
        <v>486</v>
      </c>
      <c r="G8" s="57" t="s">
        <v>471</v>
      </c>
      <c r="H8" s="32" t="s">
        <v>472</v>
      </c>
      <c r="I8" s="55"/>
      <c r="J8" s="55"/>
      <c r="K8" s="32" t="s">
        <v>487</v>
      </c>
      <c r="L8" s="56" t="s">
        <v>12</v>
      </c>
      <c r="M8" s="32" t="s">
        <v>488</v>
      </c>
    </row>
    <row r="9" spans="1:13" ht="108" x14ac:dyDescent="0.25">
      <c r="A9" s="36" t="s">
        <v>468</v>
      </c>
      <c r="B9" s="58"/>
      <c r="C9" s="58"/>
      <c r="D9" s="36" t="s">
        <v>485</v>
      </c>
      <c r="E9" s="56" t="s">
        <v>12</v>
      </c>
      <c r="F9" s="36" t="s">
        <v>489</v>
      </c>
      <c r="G9" s="57" t="s">
        <v>471</v>
      </c>
      <c r="H9" s="36" t="s">
        <v>472</v>
      </c>
      <c r="I9" s="58"/>
      <c r="J9" s="58"/>
      <c r="K9" s="36" t="s">
        <v>490</v>
      </c>
      <c r="L9" s="56" t="s">
        <v>12</v>
      </c>
      <c r="M9" s="36" t="s">
        <v>491</v>
      </c>
    </row>
    <row r="10" spans="1:13" ht="108" x14ac:dyDescent="0.25">
      <c r="A10" s="32" t="s">
        <v>468</v>
      </c>
      <c r="B10" s="55"/>
      <c r="C10" s="55"/>
      <c r="D10" s="32" t="s">
        <v>485</v>
      </c>
      <c r="E10" s="59" t="s">
        <v>15</v>
      </c>
      <c r="F10" s="32" t="s">
        <v>492</v>
      </c>
      <c r="G10" s="57" t="s">
        <v>471</v>
      </c>
      <c r="H10" s="32" t="s">
        <v>472</v>
      </c>
      <c r="I10" s="55"/>
      <c r="J10" s="55"/>
      <c r="K10" s="32" t="s">
        <v>490</v>
      </c>
      <c r="L10" s="59" t="s">
        <v>15</v>
      </c>
      <c r="M10" s="32" t="s">
        <v>493</v>
      </c>
    </row>
    <row r="11" spans="1:13" ht="108" x14ac:dyDescent="0.25">
      <c r="A11" s="36" t="s">
        <v>468</v>
      </c>
      <c r="B11" s="58"/>
      <c r="C11" s="58"/>
      <c r="D11" s="36" t="s">
        <v>485</v>
      </c>
      <c r="E11" s="59" t="s">
        <v>15</v>
      </c>
      <c r="F11" s="36" t="s">
        <v>494</v>
      </c>
      <c r="G11" s="57" t="s">
        <v>471</v>
      </c>
      <c r="H11" s="36" t="s">
        <v>472</v>
      </c>
      <c r="I11" s="58"/>
      <c r="J11" s="58"/>
      <c r="K11" s="36" t="s">
        <v>490</v>
      </c>
      <c r="L11" s="59" t="s">
        <v>15</v>
      </c>
      <c r="M11" s="36" t="s">
        <v>495</v>
      </c>
    </row>
    <row r="12" spans="1:13" ht="108" x14ac:dyDescent="0.25">
      <c r="A12" s="32" t="s">
        <v>468</v>
      </c>
      <c r="B12" s="55"/>
      <c r="C12" s="55"/>
      <c r="D12" s="32" t="s">
        <v>496</v>
      </c>
      <c r="E12" s="56" t="s">
        <v>12</v>
      </c>
      <c r="F12" s="32" t="s">
        <v>497</v>
      </c>
      <c r="G12" s="57" t="s">
        <v>471</v>
      </c>
      <c r="H12" s="32" t="s">
        <v>472</v>
      </c>
      <c r="I12" s="55"/>
      <c r="J12" s="55"/>
      <c r="K12" s="32" t="s">
        <v>498</v>
      </c>
      <c r="L12" s="56" t="s">
        <v>12</v>
      </c>
      <c r="M12" s="32" t="s">
        <v>499</v>
      </c>
    </row>
    <row r="13" spans="1:13" ht="84" x14ac:dyDescent="0.25">
      <c r="A13" s="36" t="s">
        <v>500</v>
      </c>
      <c r="B13" s="36" t="s">
        <v>501</v>
      </c>
      <c r="C13" s="58"/>
      <c r="D13" s="36" t="s">
        <v>502</v>
      </c>
      <c r="E13" s="56" t="s">
        <v>12</v>
      </c>
      <c r="F13" s="36" t="s">
        <v>503</v>
      </c>
      <c r="G13" s="57" t="s">
        <v>471</v>
      </c>
      <c r="H13" s="36" t="s">
        <v>504</v>
      </c>
      <c r="I13" s="58"/>
      <c r="J13" s="58"/>
      <c r="K13" s="36" t="s">
        <v>505</v>
      </c>
      <c r="L13" s="56" t="s">
        <v>12</v>
      </c>
      <c r="M13" s="36" t="s">
        <v>506</v>
      </c>
    </row>
    <row r="14" spans="1:13" ht="84" x14ac:dyDescent="0.25">
      <c r="A14" s="32" t="s">
        <v>500</v>
      </c>
      <c r="B14" s="32" t="s">
        <v>501</v>
      </c>
      <c r="C14" s="55"/>
      <c r="D14" s="32" t="s">
        <v>507</v>
      </c>
      <c r="E14" s="56" t="s">
        <v>12</v>
      </c>
      <c r="F14" s="32" t="s">
        <v>508</v>
      </c>
      <c r="G14" s="57" t="s">
        <v>471</v>
      </c>
      <c r="H14" s="32" t="s">
        <v>504</v>
      </c>
      <c r="I14" s="55"/>
      <c r="J14" s="55"/>
      <c r="K14" s="32" t="s">
        <v>509</v>
      </c>
      <c r="L14" s="56" t="s">
        <v>12</v>
      </c>
      <c r="M14" s="32" t="s">
        <v>510</v>
      </c>
    </row>
    <row r="15" spans="1:13" ht="96" x14ac:dyDescent="0.25">
      <c r="A15" s="36" t="s">
        <v>500</v>
      </c>
      <c r="B15" s="58"/>
      <c r="C15" s="58"/>
      <c r="D15" s="36" t="s">
        <v>511</v>
      </c>
      <c r="E15" s="57" t="s">
        <v>18</v>
      </c>
      <c r="F15" s="36" t="s">
        <v>512</v>
      </c>
      <c r="G15" s="57" t="s">
        <v>471</v>
      </c>
      <c r="H15" s="36" t="s">
        <v>480</v>
      </c>
      <c r="I15" s="58"/>
      <c r="J15" s="58"/>
      <c r="K15" s="36" t="s">
        <v>513</v>
      </c>
      <c r="L15" s="57" t="s">
        <v>18</v>
      </c>
      <c r="M15" s="36" t="s">
        <v>514</v>
      </c>
    </row>
    <row r="16" spans="1:13" ht="96" x14ac:dyDescent="0.25">
      <c r="A16" s="32" t="s">
        <v>500</v>
      </c>
      <c r="B16" s="32" t="s">
        <v>501</v>
      </c>
      <c r="C16" s="55"/>
      <c r="D16" s="32" t="s">
        <v>511</v>
      </c>
      <c r="E16" s="56" t="s">
        <v>12</v>
      </c>
      <c r="F16" s="32" t="s">
        <v>515</v>
      </c>
      <c r="G16" s="57" t="s">
        <v>471</v>
      </c>
      <c r="H16" s="32" t="s">
        <v>480</v>
      </c>
      <c r="I16" s="55"/>
      <c r="J16" s="55"/>
      <c r="K16" s="32" t="s">
        <v>513</v>
      </c>
      <c r="L16" s="56" t="s">
        <v>12</v>
      </c>
      <c r="M16" s="32" t="s">
        <v>516</v>
      </c>
    </row>
    <row r="17" spans="1:13" ht="84" x14ac:dyDescent="0.25">
      <c r="A17" s="36" t="s">
        <v>500</v>
      </c>
      <c r="B17" s="58"/>
      <c r="C17" s="58"/>
      <c r="D17" s="36" t="s">
        <v>517</v>
      </c>
      <c r="E17" s="56" t="s">
        <v>12</v>
      </c>
      <c r="F17" s="36" t="s">
        <v>518</v>
      </c>
      <c r="G17" s="60" t="s">
        <v>477</v>
      </c>
      <c r="H17" s="58"/>
      <c r="I17" s="58"/>
      <c r="J17" s="58"/>
      <c r="K17" s="58"/>
      <c r="L17" s="58"/>
      <c r="M17" s="58"/>
    </row>
    <row r="18" spans="1:13" ht="84" x14ac:dyDescent="0.25">
      <c r="A18" s="32" t="s">
        <v>500</v>
      </c>
      <c r="B18" s="55"/>
      <c r="C18" s="55"/>
      <c r="D18" s="32" t="s">
        <v>519</v>
      </c>
      <c r="E18" s="56" t="s">
        <v>12</v>
      </c>
      <c r="F18" s="32" t="s">
        <v>520</v>
      </c>
      <c r="G18" s="60" t="s">
        <v>477</v>
      </c>
      <c r="H18" s="55"/>
      <c r="I18" s="55"/>
      <c r="J18" s="55"/>
      <c r="K18" s="55"/>
      <c r="L18" s="55"/>
      <c r="M18" s="55"/>
    </row>
    <row r="19" spans="1:13" ht="84" x14ac:dyDescent="0.25">
      <c r="A19" s="36" t="s">
        <v>521</v>
      </c>
      <c r="B19" s="58"/>
      <c r="C19" s="58"/>
      <c r="D19" s="36" t="s">
        <v>522</v>
      </c>
      <c r="E19" s="59" t="s">
        <v>15</v>
      </c>
      <c r="F19" s="36" t="s">
        <v>523</v>
      </c>
      <c r="G19" s="60" t="s">
        <v>477</v>
      </c>
      <c r="H19" s="58"/>
      <c r="I19" s="58"/>
      <c r="J19" s="58"/>
      <c r="K19" s="58"/>
      <c r="L19" s="58"/>
      <c r="M19" s="58"/>
    </row>
    <row r="20" spans="1:13" ht="108" x14ac:dyDescent="0.25">
      <c r="A20" s="32" t="s">
        <v>521</v>
      </c>
      <c r="B20" s="32" t="s">
        <v>501</v>
      </c>
      <c r="C20" s="61" t="s">
        <v>458</v>
      </c>
      <c r="D20" s="32" t="s">
        <v>524</v>
      </c>
      <c r="E20" s="56" t="s">
        <v>12</v>
      </c>
      <c r="F20" s="32" t="s">
        <v>525</v>
      </c>
      <c r="G20" s="57" t="s">
        <v>471</v>
      </c>
      <c r="H20" s="32" t="s">
        <v>526</v>
      </c>
      <c r="I20" s="55"/>
      <c r="J20" s="61" t="s">
        <v>458</v>
      </c>
      <c r="K20" s="32" t="s">
        <v>527</v>
      </c>
      <c r="L20" s="56" t="s">
        <v>12</v>
      </c>
      <c r="M20" s="32" t="s">
        <v>528</v>
      </c>
    </row>
    <row r="21" spans="1:13" ht="108" x14ac:dyDescent="0.25">
      <c r="A21" s="36" t="s">
        <v>521</v>
      </c>
      <c r="B21" s="36" t="s">
        <v>501</v>
      </c>
      <c r="C21" s="58"/>
      <c r="D21" s="36" t="s">
        <v>524</v>
      </c>
      <c r="E21" s="59" t="s">
        <v>15</v>
      </c>
      <c r="F21" s="36" t="s">
        <v>529</v>
      </c>
      <c r="G21" s="57" t="s">
        <v>471</v>
      </c>
      <c r="H21" s="36" t="s">
        <v>526</v>
      </c>
      <c r="I21" s="58"/>
      <c r="J21" s="58"/>
      <c r="K21" s="36" t="s">
        <v>527</v>
      </c>
      <c r="L21" s="59" t="s">
        <v>15</v>
      </c>
      <c r="M21" s="36" t="s">
        <v>530</v>
      </c>
    </row>
    <row r="22" spans="1:13" ht="84" x14ac:dyDescent="0.25">
      <c r="A22" s="32" t="s">
        <v>521</v>
      </c>
      <c r="B22" s="55"/>
      <c r="C22" s="55"/>
      <c r="D22" s="32" t="s">
        <v>531</v>
      </c>
      <c r="E22" s="56" t="s">
        <v>12</v>
      </c>
      <c r="F22" s="32" t="s">
        <v>532</v>
      </c>
      <c r="G22" s="60" t="s">
        <v>477</v>
      </c>
      <c r="H22" s="55"/>
      <c r="I22" s="55"/>
      <c r="J22" s="55"/>
      <c r="K22" s="55"/>
      <c r="L22" s="55"/>
      <c r="M22" s="55"/>
    </row>
    <row r="23" spans="1:13" ht="84" x14ac:dyDescent="0.25">
      <c r="A23" s="36" t="s">
        <v>521</v>
      </c>
      <c r="B23" s="58"/>
      <c r="C23" s="58"/>
      <c r="D23" s="36" t="s">
        <v>531</v>
      </c>
      <c r="E23" s="56" t="s">
        <v>12</v>
      </c>
      <c r="F23" s="36" t="s">
        <v>533</v>
      </c>
      <c r="G23" s="57" t="s">
        <v>471</v>
      </c>
      <c r="H23" s="36" t="s">
        <v>534</v>
      </c>
      <c r="I23" s="58"/>
      <c r="J23" s="58"/>
      <c r="K23" s="36" t="s">
        <v>535</v>
      </c>
      <c r="L23" s="56" t="s">
        <v>12</v>
      </c>
      <c r="M23" s="36" t="s">
        <v>536</v>
      </c>
    </row>
    <row r="24" spans="1:13" ht="120" x14ac:dyDescent="0.25">
      <c r="A24" s="32" t="s">
        <v>521</v>
      </c>
      <c r="B24" s="55"/>
      <c r="C24" s="55"/>
      <c r="D24" s="32" t="s">
        <v>537</v>
      </c>
      <c r="E24" s="57" t="s">
        <v>18</v>
      </c>
      <c r="F24" s="32" t="s">
        <v>538</v>
      </c>
      <c r="G24" s="57" t="s">
        <v>471</v>
      </c>
      <c r="H24" s="32" t="s">
        <v>539</v>
      </c>
      <c r="I24" s="55"/>
      <c r="J24" s="55"/>
      <c r="K24" s="32" t="s">
        <v>540</v>
      </c>
      <c r="L24" s="57" t="s">
        <v>18</v>
      </c>
      <c r="M24" s="32" t="s">
        <v>541</v>
      </c>
    </row>
    <row r="25" spans="1:13" ht="120" x14ac:dyDescent="0.25">
      <c r="A25" s="36" t="s">
        <v>521</v>
      </c>
      <c r="B25" s="58"/>
      <c r="C25" s="58"/>
      <c r="D25" s="36" t="s">
        <v>537</v>
      </c>
      <c r="E25" s="56" t="s">
        <v>12</v>
      </c>
      <c r="F25" s="36" t="s">
        <v>542</v>
      </c>
      <c r="G25" s="57" t="s">
        <v>471</v>
      </c>
      <c r="H25" s="36" t="s">
        <v>539</v>
      </c>
      <c r="I25" s="58"/>
      <c r="J25" s="58"/>
      <c r="K25" s="36" t="s">
        <v>540</v>
      </c>
      <c r="L25" s="56" t="s">
        <v>12</v>
      </c>
      <c r="M25" s="36" t="s">
        <v>543</v>
      </c>
    </row>
    <row r="26" spans="1:13" ht="96" x14ac:dyDescent="0.25">
      <c r="A26" s="32" t="s">
        <v>544</v>
      </c>
      <c r="B26" s="55"/>
      <c r="C26" s="55"/>
      <c r="D26" s="32" t="s">
        <v>545</v>
      </c>
      <c r="E26" s="57" t="s">
        <v>18</v>
      </c>
      <c r="F26" s="32" t="s">
        <v>546</v>
      </c>
      <c r="G26" s="57" t="s">
        <v>471</v>
      </c>
      <c r="H26" s="32" t="s">
        <v>480</v>
      </c>
      <c r="I26" s="55"/>
      <c r="J26" s="55"/>
      <c r="K26" s="32" t="s">
        <v>547</v>
      </c>
      <c r="L26" s="57" t="s">
        <v>18</v>
      </c>
      <c r="M26" s="32" t="s">
        <v>548</v>
      </c>
    </row>
    <row r="27" spans="1:13" ht="96" x14ac:dyDescent="0.25">
      <c r="A27" s="36" t="s">
        <v>544</v>
      </c>
      <c r="B27" s="58"/>
      <c r="C27" s="58"/>
      <c r="D27" s="36" t="s">
        <v>545</v>
      </c>
      <c r="E27" s="56" t="s">
        <v>12</v>
      </c>
      <c r="F27" s="36" t="s">
        <v>549</v>
      </c>
      <c r="G27" s="57" t="s">
        <v>471</v>
      </c>
      <c r="H27" s="36" t="s">
        <v>480</v>
      </c>
      <c r="I27" s="58"/>
      <c r="J27" s="58"/>
      <c r="K27" s="36" t="s">
        <v>547</v>
      </c>
      <c r="L27" s="56" t="s">
        <v>12</v>
      </c>
      <c r="M27" s="36" t="s">
        <v>550</v>
      </c>
    </row>
    <row r="28" spans="1:13" ht="72" x14ac:dyDescent="0.25">
      <c r="A28" s="32" t="s">
        <v>551</v>
      </c>
      <c r="B28" s="55"/>
      <c r="C28" s="55"/>
      <c r="D28" s="32" t="s">
        <v>552</v>
      </c>
      <c r="E28" s="59" t="s">
        <v>15</v>
      </c>
      <c r="F28" s="32" t="s">
        <v>553</v>
      </c>
      <c r="G28" s="60" t="s">
        <v>477</v>
      </c>
      <c r="H28" s="55"/>
      <c r="I28" s="55"/>
      <c r="J28" s="55"/>
      <c r="K28" s="55"/>
      <c r="L28" s="55"/>
      <c r="M28" s="55"/>
    </row>
    <row r="29" spans="1:13" ht="72" x14ac:dyDescent="0.25">
      <c r="A29" s="36" t="s">
        <v>551</v>
      </c>
      <c r="B29" s="58"/>
      <c r="C29" s="58"/>
      <c r="D29" s="36" t="s">
        <v>554</v>
      </c>
      <c r="E29" s="59" t="s">
        <v>15</v>
      </c>
      <c r="F29" s="36" t="s">
        <v>555</v>
      </c>
      <c r="G29" s="60" t="s">
        <v>477</v>
      </c>
      <c r="H29" s="58"/>
      <c r="I29" s="58"/>
      <c r="J29" s="58"/>
      <c r="K29" s="58"/>
      <c r="L29" s="58"/>
      <c r="M29" s="58"/>
    </row>
    <row r="30" spans="1:13" ht="84" x14ac:dyDescent="0.25">
      <c r="A30" s="32" t="s">
        <v>556</v>
      </c>
      <c r="B30" s="32" t="s">
        <v>501</v>
      </c>
      <c r="C30" s="55"/>
      <c r="D30" s="32" t="s">
        <v>557</v>
      </c>
      <c r="E30" s="59" t="s">
        <v>15</v>
      </c>
      <c r="F30" s="32" t="s">
        <v>558</v>
      </c>
      <c r="G30" s="57" t="s">
        <v>471</v>
      </c>
      <c r="H30" s="32" t="s">
        <v>472</v>
      </c>
      <c r="I30" s="55"/>
      <c r="J30" s="55"/>
      <c r="K30" s="32" t="s">
        <v>498</v>
      </c>
      <c r="L30" s="59" t="s">
        <v>15</v>
      </c>
      <c r="M30" s="32" t="s">
        <v>559</v>
      </c>
    </row>
    <row r="31" spans="1:13" ht="108" x14ac:dyDescent="0.25">
      <c r="A31" s="36" t="s">
        <v>556</v>
      </c>
      <c r="B31" s="58"/>
      <c r="C31" s="58"/>
      <c r="D31" s="36" t="s">
        <v>560</v>
      </c>
      <c r="E31" s="56" t="s">
        <v>12</v>
      </c>
      <c r="F31" s="36" t="s">
        <v>561</v>
      </c>
      <c r="G31" s="57" t="s">
        <v>471</v>
      </c>
      <c r="H31" s="36" t="s">
        <v>562</v>
      </c>
      <c r="I31" s="58"/>
      <c r="J31" s="58"/>
      <c r="K31" s="36" t="s">
        <v>563</v>
      </c>
      <c r="L31" s="56" t="s">
        <v>12</v>
      </c>
      <c r="M31" s="36" t="s">
        <v>564</v>
      </c>
    </row>
    <row r="32" spans="1:13" ht="72" x14ac:dyDescent="0.25">
      <c r="A32" s="32" t="s">
        <v>556</v>
      </c>
      <c r="B32" s="55"/>
      <c r="C32" s="55"/>
      <c r="D32" s="32" t="s">
        <v>565</v>
      </c>
      <c r="E32" s="59" t="s">
        <v>15</v>
      </c>
      <c r="F32" s="32" t="s">
        <v>566</v>
      </c>
      <c r="G32" s="60" t="s">
        <v>477</v>
      </c>
      <c r="H32" s="55"/>
      <c r="I32" s="55"/>
      <c r="J32" s="55"/>
      <c r="K32" s="55"/>
      <c r="L32" s="55"/>
      <c r="M32" s="55"/>
    </row>
    <row r="33" spans="1:13" ht="132" x14ac:dyDescent="0.25">
      <c r="A33" s="36" t="s">
        <v>556</v>
      </c>
      <c r="B33" s="58"/>
      <c r="C33" s="58"/>
      <c r="D33" s="36" t="s">
        <v>567</v>
      </c>
      <c r="E33" s="56" t="s">
        <v>12</v>
      </c>
      <c r="F33" s="36" t="s">
        <v>568</v>
      </c>
      <c r="G33" s="57" t="s">
        <v>471</v>
      </c>
      <c r="H33" s="36" t="s">
        <v>569</v>
      </c>
      <c r="I33" s="58"/>
      <c r="J33" s="58"/>
      <c r="K33" s="36" t="s">
        <v>570</v>
      </c>
      <c r="L33" s="56" t="s">
        <v>12</v>
      </c>
      <c r="M33" s="36" t="s">
        <v>571</v>
      </c>
    </row>
    <row r="34" spans="1:13" ht="132" x14ac:dyDescent="0.25">
      <c r="A34" s="32" t="s">
        <v>556</v>
      </c>
      <c r="B34" s="55"/>
      <c r="C34" s="61" t="s">
        <v>458</v>
      </c>
      <c r="D34" s="32" t="s">
        <v>567</v>
      </c>
      <c r="E34" s="59" t="s">
        <v>15</v>
      </c>
      <c r="F34" s="32" t="s">
        <v>572</v>
      </c>
      <c r="G34" s="57" t="s">
        <v>471</v>
      </c>
      <c r="H34" s="32" t="s">
        <v>569</v>
      </c>
      <c r="I34" s="55"/>
      <c r="J34" s="61" t="s">
        <v>458</v>
      </c>
      <c r="K34" s="32" t="s">
        <v>570</v>
      </c>
      <c r="L34" s="59" t="s">
        <v>15</v>
      </c>
      <c r="M34" s="32" t="s">
        <v>573</v>
      </c>
    </row>
    <row r="35" spans="1:13" ht="132" x14ac:dyDescent="0.25">
      <c r="A35" s="36" t="s">
        <v>556</v>
      </c>
      <c r="B35" s="58"/>
      <c r="C35" s="61" t="s">
        <v>458</v>
      </c>
      <c r="D35" s="36" t="s">
        <v>567</v>
      </c>
      <c r="E35" s="59" t="s">
        <v>15</v>
      </c>
      <c r="F35" s="36" t="s">
        <v>574</v>
      </c>
      <c r="G35" s="57" t="s">
        <v>471</v>
      </c>
      <c r="H35" s="36" t="s">
        <v>569</v>
      </c>
      <c r="I35" s="58"/>
      <c r="J35" s="61" t="s">
        <v>458</v>
      </c>
      <c r="K35" s="36" t="s">
        <v>570</v>
      </c>
      <c r="L35" s="59" t="s">
        <v>15</v>
      </c>
      <c r="M35" s="36" t="s">
        <v>575</v>
      </c>
    </row>
    <row r="36" spans="1:13" ht="72" x14ac:dyDescent="0.25">
      <c r="A36" s="32" t="s">
        <v>556</v>
      </c>
      <c r="B36" s="55"/>
      <c r="C36" s="55"/>
      <c r="D36" s="32" t="s">
        <v>576</v>
      </c>
      <c r="E36" s="59" t="s">
        <v>15</v>
      </c>
      <c r="F36" s="32" t="s">
        <v>577</v>
      </c>
      <c r="G36" s="60" t="s">
        <v>477</v>
      </c>
      <c r="H36" s="55"/>
      <c r="I36" s="55"/>
      <c r="J36" s="55"/>
      <c r="K36" s="55"/>
      <c r="L36" s="55"/>
      <c r="M36" s="55"/>
    </row>
    <row r="37" spans="1:13" ht="132" x14ac:dyDescent="0.25">
      <c r="A37" s="36" t="s">
        <v>556</v>
      </c>
      <c r="B37" s="58"/>
      <c r="C37" s="58"/>
      <c r="D37" s="36" t="s">
        <v>578</v>
      </c>
      <c r="E37" s="56" t="s">
        <v>12</v>
      </c>
      <c r="F37" s="36" t="s">
        <v>579</v>
      </c>
      <c r="G37" s="57" t="s">
        <v>471</v>
      </c>
      <c r="H37" s="36" t="s">
        <v>569</v>
      </c>
      <c r="I37" s="58"/>
      <c r="J37" s="58"/>
      <c r="K37" s="36" t="s">
        <v>580</v>
      </c>
      <c r="L37" s="56" t="s">
        <v>12</v>
      </c>
      <c r="M37" s="36" t="s">
        <v>581</v>
      </c>
    </row>
    <row r="38" spans="1:13" ht="132" x14ac:dyDescent="0.25">
      <c r="A38" s="32" t="s">
        <v>556</v>
      </c>
      <c r="B38" s="55"/>
      <c r="C38" s="55"/>
      <c r="D38" s="32" t="s">
        <v>578</v>
      </c>
      <c r="E38" s="59" t="s">
        <v>15</v>
      </c>
      <c r="F38" s="32" t="s">
        <v>582</v>
      </c>
      <c r="G38" s="57" t="s">
        <v>471</v>
      </c>
      <c r="H38" s="32" t="s">
        <v>569</v>
      </c>
      <c r="I38" s="55"/>
      <c r="J38" s="55"/>
      <c r="K38" s="32" t="s">
        <v>580</v>
      </c>
      <c r="L38" s="59" t="s">
        <v>15</v>
      </c>
      <c r="M38" s="32" t="s">
        <v>583</v>
      </c>
    </row>
    <row r="39" spans="1:13" ht="108" x14ac:dyDescent="0.25">
      <c r="A39" s="36" t="s">
        <v>556</v>
      </c>
      <c r="B39" s="58"/>
      <c r="C39" s="58"/>
      <c r="D39" s="36" t="s">
        <v>578</v>
      </c>
      <c r="E39" s="59" t="s">
        <v>15</v>
      </c>
      <c r="F39" s="36" t="s">
        <v>584</v>
      </c>
      <c r="G39" s="57" t="s">
        <v>471</v>
      </c>
      <c r="H39" s="36" t="s">
        <v>562</v>
      </c>
      <c r="I39" s="58"/>
      <c r="J39" s="58"/>
      <c r="K39" s="36" t="s">
        <v>563</v>
      </c>
      <c r="L39" s="59" t="s">
        <v>15</v>
      </c>
      <c r="M39" s="36" t="s">
        <v>585</v>
      </c>
    </row>
    <row r="40" spans="1:13" ht="132" x14ac:dyDescent="0.25">
      <c r="A40" s="32" t="s">
        <v>556</v>
      </c>
      <c r="B40" s="55"/>
      <c r="C40" s="55"/>
      <c r="D40" s="32" t="s">
        <v>578</v>
      </c>
      <c r="E40" s="59" t="s">
        <v>15</v>
      </c>
      <c r="F40" s="32" t="s">
        <v>586</v>
      </c>
      <c r="G40" s="57" t="s">
        <v>471</v>
      </c>
      <c r="H40" s="32" t="s">
        <v>569</v>
      </c>
      <c r="I40" s="55"/>
      <c r="J40" s="55"/>
      <c r="K40" s="32" t="s">
        <v>587</v>
      </c>
      <c r="L40" s="59" t="s">
        <v>15</v>
      </c>
      <c r="M40" s="32" t="s">
        <v>588</v>
      </c>
    </row>
    <row r="41" spans="1:13" ht="132" x14ac:dyDescent="0.25">
      <c r="A41" s="36" t="s">
        <v>556</v>
      </c>
      <c r="B41" s="58"/>
      <c r="C41" s="58"/>
      <c r="D41" s="36" t="s">
        <v>589</v>
      </c>
      <c r="E41" s="56" t="s">
        <v>12</v>
      </c>
      <c r="F41" s="36" t="s">
        <v>590</v>
      </c>
      <c r="G41" s="57" t="s">
        <v>471</v>
      </c>
      <c r="H41" s="36" t="s">
        <v>569</v>
      </c>
      <c r="I41" s="58"/>
      <c r="J41" s="58"/>
      <c r="K41" s="36" t="s">
        <v>591</v>
      </c>
      <c r="L41" s="56" t="s">
        <v>12</v>
      </c>
      <c r="M41" s="36" t="s">
        <v>592</v>
      </c>
    </row>
    <row r="42" spans="1:13" ht="72" x14ac:dyDescent="0.25">
      <c r="A42" s="32" t="s">
        <v>556</v>
      </c>
      <c r="B42" s="55"/>
      <c r="C42" s="55"/>
      <c r="D42" s="32" t="s">
        <v>593</v>
      </c>
      <c r="E42" s="59" t="s">
        <v>15</v>
      </c>
      <c r="F42" s="32" t="s">
        <v>594</v>
      </c>
      <c r="G42" s="60" t="s">
        <v>477</v>
      </c>
      <c r="H42" s="55"/>
      <c r="I42" s="55"/>
      <c r="J42" s="55"/>
      <c r="K42" s="55"/>
      <c r="L42" s="55"/>
      <c r="M42" s="55"/>
    </row>
    <row r="43" spans="1:13" ht="72" x14ac:dyDescent="0.25">
      <c r="A43" s="36" t="s">
        <v>556</v>
      </c>
      <c r="B43" s="58"/>
      <c r="C43" s="58"/>
      <c r="D43" s="36" t="s">
        <v>595</v>
      </c>
      <c r="E43" s="59" t="s">
        <v>15</v>
      </c>
      <c r="F43" s="36" t="s">
        <v>596</v>
      </c>
      <c r="G43" s="60" t="s">
        <v>477</v>
      </c>
      <c r="H43" s="58"/>
      <c r="I43" s="58"/>
      <c r="J43" s="58"/>
      <c r="K43" s="58"/>
      <c r="L43" s="58"/>
      <c r="M43" s="58"/>
    </row>
    <row r="44" spans="1:13" ht="108" x14ac:dyDescent="0.25">
      <c r="A44" s="32" t="s">
        <v>597</v>
      </c>
      <c r="B44" s="55"/>
      <c r="C44" s="55"/>
      <c r="D44" s="32" t="s">
        <v>598</v>
      </c>
      <c r="E44" s="57" t="s">
        <v>18</v>
      </c>
      <c r="F44" s="32" t="s">
        <v>599</v>
      </c>
      <c r="G44" s="57" t="s">
        <v>471</v>
      </c>
      <c r="H44" s="32" t="s">
        <v>526</v>
      </c>
      <c r="I44" s="55"/>
      <c r="J44" s="55"/>
      <c r="K44" s="32" t="s">
        <v>600</v>
      </c>
      <c r="L44" s="57" t="s">
        <v>18</v>
      </c>
      <c r="M44" s="32" t="s">
        <v>601</v>
      </c>
    </row>
    <row r="45" spans="1:13" ht="108" x14ac:dyDescent="0.25">
      <c r="A45" s="36" t="s">
        <v>597</v>
      </c>
      <c r="B45" s="58"/>
      <c r="C45" s="58"/>
      <c r="D45" s="36" t="s">
        <v>598</v>
      </c>
      <c r="E45" s="56" t="s">
        <v>12</v>
      </c>
      <c r="F45" s="36" t="s">
        <v>602</v>
      </c>
      <c r="G45" s="57" t="s">
        <v>471</v>
      </c>
      <c r="H45" s="36" t="s">
        <v>526</v>
      </c>
      <c r="I45" s="58"/>
      <c r="J45" s="58"/>
      <c r="K45" s="36" t="s">
        <v>600</v>
      </c>
      <c r="L45" s="56" t="s">
        <v>12</v>
      </c>
      <c r="M45" s="36" t="s">
        <v>603</v>
      </c>
    </row>
    <row r="46" spans="1:13" ht="108" x14ac:dyDescent="0.25">
      <c r="A46" s="32" t="s">
        <v>597</v>
      </c>
      <c r="B46" s="55"/>
      <c r="C46" s="55"/>
      <c r="D46" s="32" t="s">
        <v>598</v>
      </c>
      <c r="E46" s="56" t="s">
        <v>12</v>
      </c>
      <c r="F46" s="32" t="s">
        <v>604</v>
      </c>
      <c r="G46" s="57" t="s">
        <v>471</v>
      </c>
      <c r="H46" s="32" t="s">
        <v>526</v>
      </c>
      <c r="I46" s="55"/>
      <c r="J46" s="55"/>
      <c r="K46" s="32" t="s">
        <v>600</v>
      </c>
      <c r="L46" s="56" t="s">
        <v>12</v>
      </c>
      <c r="M46" s="32" t="s">
        <v>605</v>
      </c>
    </row>
    <row r="47" spans="1:13" ht="108" x14ac:dyDescent="0.25">
      <c r="A47" s="36" t="s">
        <v>597</v>
      </c>
      <c r="B47" s="58"/>
      <c r="C47" s="58"/>
      <c r="D47" s="36" t="s">
        <v>598</v>
      </c>
      <c r="E47" s="59" t="s">
        <v>15</v>
      </c>
      <c r="F47" s="36" t="s">
        <v>606</v>
      </c>
      <c r="G47" s="57" t="s">
        <v>471</v>
      </c>
      <c r="H47" s="36" t="s">
        <v>526</v>
      </c>
      <c r="I47" s="58"/>
      <c r="J47" s="58"/>
      <c r="K47" s="36" t="s">
        <v>600</v>
      </c>
      <c r="L47" s="59" t="s">
        <v>15</v>
      </c>
      <c r="M47" s="36" t="s">
        <v>607</v>
      </c>
    </row>
    <row r="48" spans="1:13" ht="108" x14ac:dyDescent="0.25">
      <c r="A48" s="32" t="s">
        <v>597</v>
      </c>
      <c r="B48" s="55"/>
      <c r="C48" s="55"/>
      <c r="D48" s="32" t="s">
        <v>608</v>
      </c>
      <c r="E48" s="57" t="s">
        <v>18</v>
      </c>
      <c r="F48" s="32" t="s">
        <v>609</v>
      </c>
      <c r="G48" s="57" t="s">
        <v>471</v>
      </c>
      <c r="H48" s="32" t="s">
        <v>526</v>
      </c>
      <c r="I48" s="55"/>
      <c r="J48" s="55"/>
      <c r="K48" s="32" t="s">
        <v>610</v>
      </c>
      <c r="L48" s="57" t="s">
        <v>18</v>
      </c>
      <c r="M48" s="32" t="s">
        <v>611</v>
      </c>
    </row>
    <row r="49" spans="1:13" ht="108" x14ac:dyDescent="0.25">
      <c r="A49" s="36" t="s">
        <v>597</v>
      </c>
      <c r="B49" s="58"/>
      <c r="C49" s="58"/>
      <c r="D49" s="36" t="s">
        <v>608</v>
      </c>
      <c r="E49" s="56" t="s">
        <v>12</v>
      </c>
      <c r="F49" s="36" t="s">
        <v>612</v>
      </c>
      <c r="G49" s="57" t="s">
        <v>471</v>
      </c>
      <c r="H49" s="36" t="s">
        <v>526</v>
      </c>
      <c r="I49" s="58"/>
      <c r="J49" s="58"/>
      <c r="K49" s="36" t="s">
        <v>610</v>
      </c>
      <c r="L49" s="56" t="s">
        <v>12</v>
      </c>
      <c r="M49" s="36" t="s">
        <v>613</v>
      </c>
    </row>
    <row r="50" spans="1:13" ht="108" x14ac:dyDescent="0.25">
      <c r="A50" s="32" t="s">
        <v>597</v>
      </c>
      <c r="B50" s="55"/>
      <c r="C50" s="55"/>
      <c r="D50" s="32" t="s">
        <v>608</v>
      </c>
      <c r="E50" s="56" t="s">
        <v>12</v>
      </c>
      <c r="F50" s="32" t="s">
        <v>614</v>
      </c>
      <c r="G50" s="57" t="s">
        <v>471</v>
      </c>
      <c r="H50" s="32" t="s">
        <v>526</v>
      </c>
      <c r="I50" s="55"/>
      <c r="J50" s="55"/>
      <c r="K50" s="32" t="s">
        <v>610</v>
      </c>
      <c r="L50" s="56" t="s">
        <v>12</v>
      </c>
      <c r="M50" s="32" t="s">
        <v>615</v>
      </c>
    </row>
    <row r="51" spans="1:13" ht="108" x14ac:dyDescent="0.25">
      <c r="A51" s="36" t="s">
        <v>597</v>
      </c>
      <c r="B51" s="58"/>
      <c r="C51" s="58"/>
      <c r="D51" s="36" t="s">
        <v>608</v>
      </c>
      <c r="E51" s="56" t="s">
        <v>12</v>
      </c>
      <c r="F51" s="36" t="s">
        <v>616</v>
      </c>
      <c r="G51" s="57" t="s">
        <v>471</v>
      </c>
      <c r="H51" s="36" t="s">
        <v>526</v>
      </c>
      <c r="I51" s="58"/>
      <c r="J51" s="58"/>
      <c r="K51" s="36" t="s">
        <v>610</v>
      </c>
      <c r="L51" s="56" t="s">
        <v>12</v>
      </c>
      <c r="M51" s="36" t="s">
        <v>617</v>
      </c>
    </row>
    <row r="52" spans="1:13" ht="108" x14ac:dyDescent="0.25">
      <c r="A52" s="32" t="s">
        <v>597</v>
      </c>
      <c r="B52" s="55"/>
      <c r="C52" s="55"/>
      <c r="D52" s="32" t="s">
        <v>608</v>
      </c>
      <c r="E52" s="59" t="s">
        <v>15</v>
      </c>
      <c r="F52" s="32" t="s">
        <v>618</v>
      </c>
      <c r="G52" s="57" t="s">
        <v>471</v>
      </c>
      <c r="H52" s="32" t="s">
        <v>526</v>
      </c>
      <c r="I52" s="55"/>
      <c r="J52" s="55"/>
      <c r="K52" s="32" t="s">
        <v>610</v>
      </c>
      <c r="L52" s="59" t="s">
        <v>15</v>
      </c>
      <c r="M52" s="32" t="s">
        <v>619</v>
      </c>
    </row>
    <row r="53" spans="1:13" ht="108" x14ac:dyDescent="0.25">
      <c r="A53" s="36" t="s">
        <v>597</v>
      </c>
      <c r="B53" s="58"/>
      <c r="C53" s="58"/>
      <c r="D53" s="36" t="s">
        <v>620</v>
      </c>
      <c r="E53" s="56" t="s">
        <v>12</v>
      </c>
      <c r="F53" s="36" t="s">
        <v>621</v>
      </c>
      <c r="G53" s="57" t="s">
        <v>471</v>
      </c>
      <c r="H53" s="36" t="s">
        <v>526</v>
      </c>
      <c r="I53" s="58"/>
      <c r="J53" s="58"/>
      <c r="K53" s="36" t="s">
        <v>622</v>
      </c>
      <c r="L53" s="56" t="s">
        <v>12</v>
      </c>
      <c r="M53" s="36" t="s">
        <v>623</v>
      </c>
    </row>
    <row r="54" spans="1:13" ht="108" x14ac:dyDescent="0.25">
      <c r="A54" s="32" t="s">
        <v>597</v>
      </c>
      <c r="B54" s="55"/>
      <c r="C54" s="61" t="s">
        <v>458</v>
      </c>
      <c r="D54" s="32" t="s">
        <v>620</v>
      </c>
      <c r="E54" s="59" t="s">
        <v>15</v>
      </c>
      <c r="F54" s="32" t="s">
        <v>624</v>
      </c>
      <c r="G54" s="57" t="s">
        <v>471</v>
      </c>
      <c r="H54" s="32" t="s">
        <v>526</v>
      </c>
      <c r="I54" s="55"/>
      <c r="J54" s="55"/>
      <c r="K54" s="32" t="s">
        <v>622</v>
      </c>
      <c r="L54" s="59" t="s">
        <v>15</v>
      </c>
      <c r="M54" s="32" t="s">
        <v>625</v>
      </c>
    </row>
    <row r="55" spans="1:13" ht="108" x14ac:dyDescent="0.25">
      <c r="A55" s="36" t="s">
        <v>597</v>
      </c>
      <c r="B55" s="58"/>
      <c r="C55" s="58"/>
      <c r="D55" s="36" t="s">
        <v>626</v>
      </c>
      <c r="E55" s="56" t="s">
        <v>12</v>
      </c>
      <c r="F55" s="36" t="s">
        <v>627</v>
      </c>
      <c r="G55" s="57" t="s">
        <v>471</v>
      </c>
      <c r="H55" s="36" t="s">
        <v>526</v>
      </c>
      <c r="I55" s="58"/>
      <c r="J55" s="58"/>
      <c r="K55" s="36" t="s">
        <v>628</v>
      </c>
      <c r="L55" s="56" t="s">
        <v>12</v>
      </c>
      <c r="M55" s="36" t="s">
        <v>629</v>
      </c>
    </row>
    <row r="56" spans="1:13" ht="108" x14ac:dyDescent="0.25">
      <c r="A56" s="32" t="s">
        <v>597</v>
      </c>
      <c r="B56" s="55"/>
      <c r="C56" s="55"/>
      <c r="D56" s="32" t="s">
        <v>626</v>
      </c>
      <c r="E56" s="59" t="s">
        <v>15</v>
      </c>
      <c r="F56" s="32" t="s">
        <v>630</v>
      </c>
      <c r="G56" s="57" t="s">
        <v>471</v>
      </c>
      <c r="H56" s="32" t="s">
        <v>526</v>
      </c>
      <c r="I56" s="55"/>
      <c r="J56" s="55"/>
      <c r="K56" s="32" t="s">
        <v>628</v>
      </c>
      <c r="L56" s="59" t="s">
        <v>15</v>
      </c>
      <c r="M56" s="32" t="s">
        <v>631</v>
      </c>
    </row>
    <row r="57" spans="1:13" ht="108" x14ac:dyDescent="0.25">
      <c r="A57" s="36" t="s">
        <v>597</v>
      </c>
      <c r="B57" s="58"/>
      <c r="C57" s="58"/>
      <c r="D57" s="36" t="s">
        <v>632</v>
      </c>
      <c r="E57" s="57" t="s">
        <v>18</v>
      </c>
      <c r="F57" s="36" t="s">
        <v>633</v>
      </c>
      <c r="G57" s="57" t="s">
        <v>471</v>
      </c>
      <c r="H57" s="36" t="s">
        <v>526</v>
      </c>
      <c r="I57" s="58"/>
      <c r="J57" s="58"/>
      <c r="K57" s="36" t="s">
        <v>634</v>
      </c>
      <c r="L57" s="57" t="s">
        <v>18</v>
      </c>
      <c r="M57" s="36" t="s">
        <v>635</v>
      </c>
    </row>
    <row r="58" spans="1:13" ht="108" x14ac:dyDescent="0.25">
      <c r="A58" s="32" t="s">
        <v>597</v>
      </c>
      <c r="B58" s="55"/>
      <c r="C58" s="55"/>
      <c r="D58" s="32" t="s">
        <v>636</v>
      </c>
      <c r="E58" s="57" t="s">
        <v>18</v>
      </c>
      <c r="F58" s="32" t="s">
        <v>637</v>
      </c>
      <c r="G58" s="57" t="s">
        <v>471</v>
      </c>
      <c r="H58" s="32" t="s">
        <v>526</v>
      </c>
      <c r="I58" s="55"/>
      <c r="J58" s="55"/>
      <c r="K58" s="32" t="s">
        <v>622</v>
      </c>
      <c r="L58" s="57" t="s">
        <v>18</v>
      </c>
      <c r="M58" s="32" t="s">
        <v>638</v>
      </c>
    </row>
    <row r="59" spans="1:13" ht="108" x14ac:dyDescent="0.25">
      <c r="A59" s="36" t="s">
        <v>597</v>
      </c>
      <c r="B59" s="58"/>
      <c r="C59" s="58"/>
      <c r="D59" s="36" t="s">
        <v>636</v>
      </c>
      <c r="E59" s="56" t="s">
        <v>12</v>
      </c>
      <c r="F59" s="36" t="s">
        <v>639</v>
      </c>
      <c r="G59" s="60" t="s">
        <v>477</v>
      </c>
      <c r="H59" s="58"/>
      <c r="I59" s="58"/>
      <c r="J59" s="58"/>
      <c r="K59" s="58"/>
      <c r="L59" s="58"/>
      <c r="M59" s="58"/>
    </row>
    <row r="60" spans="1:13" ht="108" x14ac:dyDescent="0.25">
      <c r="A60" s="32" t="s">
        <v>597</v>
      </c>
      <c r="B60" s="55"/>
      <c r="C60" s="61" t="s">
        <v>458</v>
      </c>
      <c r="D60" s="32" t="s">
        <v>640</v>
      </c>
      <c r="E60" s="57" t="s">
        <v>18</v>
      </c>
      <c r="F60" s="32" t="s">
        <v>641</v>
      </c>
      <c r="G60" s="57" t="s">
        <v>471</v>
      </c>
      <c r="H60" s="32" t="s">
        <v>642</v>
      </c>
      <c r="I60" s="55"/>
      <c r="J60" s="61" t="s">
        <v>458</v>
      </c>
      <c r="K60" s="32" t="s">
        <v>643</v>
      </c>
      <c r="L60" s="57" t="s">
        <v>18</v>
      </c>
      <c r="M60" s="32" t="s">
        <v>644</v>
      </c>
    </row>
    <row r="61" spans="1:13" ht="108" x14ac:dyDescent="0.25">
      <c r="A61" s="36" t="s">
        <v>597</v>
      </c>
      <c r="B61" s="58"/>
      <c r="C61" s="58"/>
      <c r="D61" s="36" t="s">
        <v>640</v>
      </c>
      <c r="E61" s="56" t="s">
        <v>12</v>
      </c>
      <c r="F61" s="36" t="s">
        <v>645</v>
      </c>
      <c r="G61" s="57" t="s">
        <v>471</v>
      </c>
      <c r="H61" s="36" t="s">
        <v>646</v>
      </c>
      <c r="I61" s="58"/>
      <c r="J61" s="58"/>
      <c r="K61" s="36" t="s">
        <v>647</v>
      </c>
      <c r="L61" s="56" t="s">
        <v>12</v>
      </c>
      <c r="M61" s="36" t="s">
        <v>648</v>
      </c>
    </row>
    <row r="62" spans="1:13" ht="108" x14ac:dyDescent="0.25">
      <c r="A62" s="32" t="s">
        <v>597</v>
      </c>
      <c r="B62" s="55"/>
      <c r="C62" s="55"/>
      <c r="D62" s="32" t="s">
        <v>640</v>
      </c>
      <c r="E62" s="56" t="s">
        <v>12</v>
      </c>
      <c r="F62" s="32" t="s">
        <v>649</v>
      </c>
      <c r="G62" s="57" t="s">
        <v>471</v>
      </c>
      <c r="H62" s="32" t="s">
        <v>646</v>
      </c>
      <c r="I62" s="55"/>
      <c r="J62" s="55"/>
      <c r="K62" s="32" t="s">
        <v>647</v>
      </c>
      <c r="L62" s="56" t="s">
        <v>12</v>
      </c>
      <c r="M62" s="32" t="s">
        <v>650</v>
      </c>
    </row>
    <row r="63" spans="1:13" ht="108" x14ac:dyDescent="0.25">
      <c r="A63" s="36" t="s">
        <v>597</v>
      </c>
      <c r="B63" s="58"/>
      <c r="C63" s="58"/>
      <c r="D63" s="36" t="s">
        <v>640</v>
      </c>
      <c r="E63" s="59" t="s">
        <v>15</v>
      </c>
      <c r="F63" s="36" t="s">
        <v>651</v>
      </c>
      <c r="G63" s="57" t="s">
        <v>471</v>
      </c>
      <c r="H63" s="36" t="s">
        <v>646</v>
      </c>
      <c r="I63" s="58"/>
      <c r="J63" s="58"/>
      <c r="K63" s="36" t="s">
        <v>647</v>
      </c>
      <c r="L63" s="59" t="s">
        <v>15</v>
      </c>
      <c r="M63" s="36" t="s">
        <v>652</v>
      </c>
    </row>
    <row r="64" spans="1:13" ht="108" x14ac:dyDescent="0.25">
      <c r="A64" s="32" t="s">
        <v>597</v>
      </c>
      <c r="B64" s="55"/>
      <c r="C64" s="55"/>
      <c r="D64" s="32" t="s">
        <v>640</v>
      </c>
      <c r="E64" s="56" t="s">
        <v>12</v>
      </c>
      <c r="F64" s="32" t="s">
        <v>653</v>
      </c>
      <c r="G64" s="57" t="s">
        <v>471</v>
      </c>
      <c r="H64" s="32" t="s">
        <v>642</v>
      </c>
      <c r="I64" s="55"/>
      <c r="J64" s="55"/>
      <c r="K64" s="32" t="s">
        <v>643</v>
      </c>
      <c r="L64" s="56" t="s">
        <v>12</v>
      </c>
      <c r="M64" s="32" t="s">
        <v>654</v>
      </c>
    </row>
    <row r="65" spans="1:13" ht="108" x14ac:dyDescent="0.25">
      <c r="A65" s="36" t="s">
        <v>597</v>
      </c>
      <c r="B65" s="58"/>
      <c r="C65" s="61" t="s">
        <v>458</v>
      </c>
      <c r="D65" s="36" t="s">
        <v>640</v>
      </c>
      <c r="E65" s="59" t="s">
        <v>15</v>
      </c>
      <c r="F65" s="36" t="s">
        <v>655</v>
      </c>
      <c r="G65" s="57" t="s">
        <v>471</v>
      </c>
      <c r="H65" s="36" t="s">
        <v>642</v>
      </c>
      <c r="I65" s="58"/>
      <c r="J65" s="61" t="s">
        <v>458</v>
      </c>
      <c r="K65" s="36" t="s">
        <v>643</v>
      </c>
      <c r="L65" s="59" t="s">
        <v>15</v>
      </c>
      <c r="M65" s="36" t="s">
        <v>656</v>
      </c>
    </row>
    <row r="66" spans="1:13" ht="108" x14ac:dyDescent="0.25">
      <c r="A66" s="32" t="s">
        <v>597</v>
      </c>
      <c r="B66" s="55"/>
      <c r="C66" s="55"/>
      <c r="D66" s="32" t="s">
        <v>640</v>
      </c>
      <c r="E66" s="56" t="s">
        <v>12</v>
      </c>
      <c r="F66" s="32" t="s">
        <v>657</v>
      </c>
      <c r="G66" s="57" t="s">
        <v>471</v>
      </c>
      <c r="H66" s="32" t="s">
        <v>642</v>
      </c>
      <c r="I66" s="55"/>
      <c r="J66" s="55"/>
      <c r="K66" s="32" t="s">
        <v>643</v>
      </c>
      <c r="L66" s="56" t="s">
        <v>12</v>
      </c>
      <c r="M66" s="32" t="s">
        <v>658</v>
      </c>
    </row>
    <row r="67" spans="1:13" ht="108" x14ac:dyDescent="0.25">
      <c r="A67" s="36" t="s">
        <v>597</v>
      </c>
      <c r="B67" s="58"/>
      <c r="C67" s="61" t="s">
        <v>458</v>
      </c>
      <c r="D67" s="36" t="s">
        <v>640</v>
      </c>
      <c r="E67" s="59" t="s">
        <v>15</v>
      </c>
      <c r="F67" s="36" t="s">
        <v>659</v>
      </c>
      <c r="G67" s="57" t="s">
        <v>471</v>
      </c>
      <c r="H67" s="36" t="s">
        <v>642</v>
      </c>
      <c r="I67" s="58"/>
      <c r="J67" s="61" t="s">
        <v>458</v>
      </c>
      <c r="K67" s="36" t="s">
        <v>643</v>
      </c>
      <c r="L67" s="59" t="s">
        <v>15</v>
      </c>
      <c r="M67" s="36" t="s">
        <v>660</v>
      </c>
    </row>
    <row r="68" spans="1:13" ht="108" x14ac:dyDescent="0.25">
      <c r="A68" s="32" t="s">
        <v>597</v>
      </c>
      <c r="B68" s="55"/>
      <c r="C68" s="61" t="s">
        <v>458</v>
      </c>
      <c r="D68" s="32" t="s">
        <v>640</v>
      </c>
      <c r="E68" s="59" t="s">
        <v>15</v>
      </c>
      <c r="F68" s="32" t="s">
        <v>661</v>
      </c>
      <c r="G68" s="57" t="s">
        <v>471</v>
      </c>
      <c r="H68" s="32" t="s">
        <v>642</v>
      </c>
      <c r="I68" s="55"/>
      <c r="J68" s="61" t="s">
        <v>458</v>
      </c>
      <c r="K68" s="32" t="s">
        <v>643</v>
      </c>
      <c r="L68" s="59" t="s">
        <v>15</v>
      </c>
      <c r="M68" s="32" t="s">
        <v>662</v>
      </c>
    </row>
    <row r="69" spans="1:13" ht="108" x14ac:dyDescent="0.25">
      <c r="A69" s="36" t="s">
        <v>597</v>
      </c>
      <c r="B69" s="58"/>
      <c r="C69" s="58"/>
      <c r="D69" s="36" t="s">
        <v>640</v>
      </c>
      <c r="E69" s="56" t="s">
        <v>12</v>
      </c>
      <c r="F69" s="36" t="s">
        <v>663</v>
      </c>
      <c r="G69" s="57" t="s">
        <v>471</v>
      </c>
      <c r="H69" s="36" t="s">
        <v>642</v>
      </c>
      <c r="I69" s="58"/>
      <c r="J69" s="58"/>
      <c r="K69" s="36" t="s">
        <v>664</v>
      </c>
      <c r="L69" s="56" t="s">
        <v>12</v>
      </c>
      <c r="M69" s="36" t="s">
        <v>665</v>
      </c>
    </row>
    <row r="70" spans="1:13" ht="108" x14ac:dyDescent="0.25">
      <c r="A70" s="32" t="s">
        <v>597</v>
      </c>
      <c r="B70" s="55"/>
      <c r="C70" s="55"/>
      <c r="D70" s="32" t="s">
        <v>640</v>
      </c>
      <c r="E70" s="56" t="s">
        <v>12</v>
      </c>
      <c r="F70" s="32" t="s">
        <v>666</v>
      </c>
      <c r="G70" s="57" t="s">
        <v>471</v>
      </c>
      <c r="H70" s="32" t="s">
        <v>642</v>
      </c>
      <c r="I70" s="55"/>
      <c r="J70" s="55"/>
      <c r="K70" s="32" t="s">
        <v>664</v>
      </c>
      <c r="L70" s="56" t="s">
        <v>12</v>
      </c>
      <c r="M70" s="32" t="s">
        <v>667</v>
      </c>
    </row>
    <row r="71" spans="1:13" ht="108" x14ac:dyDescent="0.25">
      <c r="A71" s="36" t="s">
        <v>597</v>
      </c>
      <c r="B71" s="58"/>
      <c r="C71" s="58"/>
      <c r="D71" s="36" t="s">
        <v>640</v>
      </c>
      <c r="E71" s="59" t="s">
        <v>15</v>
      </c>
      <c r="F71" s="36" t="s">
        <v>668</v>
      </c>
      <c r="G71" s="57" t="s">
        <v>471</v>
      </c>
      <c r="H71" s="36" t="s">
        <v>642</v>
      </c>
      <c r="I71" s="58"/>
      <c r="J71" s="58"/>
      <c r="K71" s="36" t="s">
        <v>664</v>
      </c>
      <c r="L71" s="59" t="s">
        <v>15</v>
      </c>
      <c r="M71" s="36" t="s">
        <v>669</v>
      </c>
    </row>
    <row r="72" spans="1:13" ht="84" x14ac:dyDescent="0.25">
      <c r="A72" s="32" t="s">
        <v>670</v>
      </c>
      <c r="B72" s="55"/>
      <c r="C72" s="55"/>
      <c r="D72" s="32" t="s">
        <v>671</v>
      </c>
      <c r="E72" s="57" t="s">
        <v>18</v>
      </c>
      <c r="F72" s="32" t="s">
        <v>672</v>
      </c>
      <c r="G72" s="57" t="s">
        <v>471</v>
      </c>
      <c r="H72" s="32" t="s">
        <v>673</v>
      </c>
      <c r="I72" s="55"/>
      <c r="J72" s="55"/>
      <c r="K72" s="32" t="s">
        <v>674</v>
      </c>
      <c r="L72" s="57" t="s">
        <v>18</v>
      </c>
      <c r="M72" s="32" t="s">
        <v>675</v>
      </c>
    </row>
    <row r="73" spans="1:13" ht="84" x14ac:dyDescent="0.25">
      <c r="A73" s="36" t="s">
        <v>670</v>
      </c>
      <c r="B73" s="58"/>
      <c r="C73" s="58"/>
      <c r="D73" s="36" t="s">
        <v>671</v>
      </c>
      <c r="E73" s="56" t="s">
        <v>12</v>
      </c>
      <c r="F73" s="36" t="s">
        <v>676</v>
      </c>
      <c r="G73" s="57" t="s">
        <v>471</v>
      </c>
      <c r="H73" s="36" t="s">
        <v>673</v>
      </c>
      <c r="I73" s="58"/>
      <c r="J73" s="58"/>
      <c r="K73" s="36" t="s">
        <v>674</v>
      </c>
      <c r="L73" s="56" t="s">
        <v>12</v>
      </c>
      <c r="M73" s="36" t="s">
        <v>677</v>
      </c>
    </row>
    <row r="74" spans="1:13" ht="120" x14ac:dyDescent="0.25">
      <c r="A74" s="32" t="s">
        <v>670</v>
      </c>
      <c r="B74" s="55"/>
      <c r="C74" s="55"/>
      <c r="D74" s="32" t="s">
        <v>671</v>
      </c>
      <c r="E74" s="56" t="s">
        <v>12</v>
      </c>
      <c r="F74" s="32" t="s">
        <v>678</v>
      </c>
      <c r="G74" s="57" t="s">
        <v>471</v>
      </c>
      <c r="H74" s="32" t="s">
        <v>539</v>
      </c>
      <c r="I74" s="55"/>
      <c r="J74" s="55"/>
      <c r="K74" s="32" t="s">
        <v>679</v>
      </c>
      <c r="L74" s="56" t="s">
        <v>12</v>
      </c>
      <c r="M74" s="32" t="s">
        <v>680</v>
      </c>
    </row>
    <row r="75" spans="1:13" ht="84" x14ac:dyDescent="0.25">
      <c r="A75" s="36" t="s">
        <v>670</v>
      </c>
      <c r="B75" s="58"/>
      <c r="C75" s="58"/>
      <c r="D75" s="36" t="s">
        <v>671</v>
      </c>
      <c r="E75" s="59" t="s">
        <v>15</v>
      </c>
      <c r="F75" s="36" t="s">
        <v>681</v>
      </c>
      <c r="G75" s="57" t="s">
        <v>471</v>
      </c>
      <c r="H75" s="36" t="s">
        <v>673</v>
      </c>
      <c r="I75" s="58"/>
      <c r="J75" s="58"/>
      <c r="K75" s="36" t="s">
        <v>674</v>
      </c>
      <c r="L75" s="59" t="s">
        <v>15</v>
      </c>
      <c r="M75" s="36" t="s">
        <v>682</v>
      </c>
    </row>
    <row r="76" spans="1:13" ht="72" x14ac:dyDescent="0.25">
      <c r="A76" s="32" t="s">
        <v>670</v>
      </c>
      <c r="B76" s="55"/>
      <c r="C76" s="55"/>
      <c r="D76" s="32" t="s">
        <v>671</v>
      </c>
      <c r="E76" s="56" t="s">
        <v>12</v>
      </c>
      <c r="F76" s="32" t="s">
        <v>683</v>
      </c>
      <c r="G76" s="57" t="s">
        <v>471</v>
      </c>
      <c r="H76" s="32" t="s">
        <v>684</v>
      </c>
      <c r="I76" s="55"/>
      <c r="J76" s="55"/>
      <c r="K76" s="32" t="s">
        <v>685</v>
      </c>
      <c r="L76" s="56" t="s">
        <v>12</v>
      </c>
      <c r="M76" s="32" t="s">
        <v>686</v>
      </c>
    </row>
    <row r="77" spans="1:13" ht="60" x14ac:dyDescent="0.25">
      <c r="A77" s="36" t="s">
        <v>670</v>
      </c>
      <c r="B77" s="58"/>
      <c r="C77" s="58"/>
      <c r="D77" s="36" t="s">
        <v>671</v>
      </c>
      <c r="E77" s="56" t="s">
        <v>12</v>
      </c>
      <c r="F77" s="36" t="s">
        <v>687</v>
      </c>
      <c r="G77" s="60" t="s">
        <v>477</v>
      </c>
      <c r="H77" s="58"/>
      <c r="I77" s="58"/>
      <c r="J77" s="58"/>
      <c r="K77" s="58"/>
      <c r="L77" s="58"/>
      <c r="M77" s="58"/>
    </row>
    <row r="78" spans="1:13" ht="84" x14ac:dyDescent="0.25">
      <c r="A78" s="32" t="s">
        <v>670</v>
      </c>
      <c r="B78" s="55"/>
      <c r="C78" s="55"/>
      <c r="D78" s="32" t="s">
        <v>688</v>
      </c>
      <c r="E78" s="56" t="s">
        <v>12</v>
      </c>
      <c r="F78" s="32" t="s">
        <v>689</v>
      </c>
      <c r="G78" s="57" t="s">
        <v>471</v>
      </c>
      <c r="H78" s="32" t="s">
        <v>673</v>
      </c>
      <c r="I78" s="55"/>
      <c r="J78" s="55"/>
      <c r="K78" s="32" t="s">
        <v>690</v>
      </c>
      <c r="L78" s="56" t="s">
        <v>12</v>
      </c>
      <c r="M78" s="32" t="s">
        <v>691</v>
      </c>
    </row>
    <row r="79" spans="1:13" ht="84" x14ac:dyDescent="0.25">
      <c r="A79" s="36" t="s">
        <v>670</v>
      </c>
      <c r="B79" s="58"/>
      <c r="C79" s="58"/>
      <c r="D79" s="36" t="s">
        <v>688</v>
      </c>
      <c r="E79" s="59" t="s">
        <v>15</v>
      </c>
      <c r="F79" s="36" t="s">
        <v>692</v>
      </c>
      <c r="G79" s="57" t="s">
        <v>471</v>
      </c>
      <c r="H79" s="36" t="s">
        <v>673</v>
      </c>
      <c r="I79" s="58"/>
      <c r="J79" s="58"/>
      <c r="K79" s="36" t="s">
        <v>690</v>
      </c>
      <c r="L79" s="59" t="s">
        <v>15</v>
      </c>
      <c r="M79" s="36" t="s">
        <v>693</v>
      </c>
    </row>
    <row r="80" spans="1:13" ht="60" x14ac:dyDescent="0.25">
      <c r="A80" s="32" t="s">
        <v>670</v>
      </c>
      <c r="B80" s="55"/>
      <c r="C80" s="55"/>
      <c r="D80" s="32" t="s">
        <v>694</v>
      </c>
      <c r="E80" s="56" t="s">
        <v>12</v>
      </c>
      <c r="F80" s="32" t="s">
        <v>695</v>
      </c>
      <c r="G80" s="60" t="s">
        <v>477</v>
      </c>
      <c r="H80" s="55"/>
      <c r="I80" s="55"/>
      <c r="J80" s="55"/>
      <c r="K80" s="55"/>
      <c r="L80" s="55"/>
      <c r="M80" s="55"/>
    </row>
    <row r="81" spans="1:13" ht="84" x14ac:dyDescent="0.25">
      <c r="A81" s="36" t="s">
        <v>670</v>
      </c>
      <c r="B81" s="58"/>
      <c r="C81" s="58"/>
      <c r="D81" s="36" t="s">
        <v>696</v>
      </c>
      <c r="E81" s="57" t="s">
        <v>18</v>
      </c>
      <c r="F81" s="36" t="s">
        <v>697</v>
      </c>
      <c r="G81" s="57" t="s">
        <v>471</v>
      </c>
      <c r="H81" s="36" t="s">
        <v>673</v>
      </c>
      <c r="I81" s="58"/>
      <c r="J81" s="58"/>
      <c r="K81" s="36" t="s">
        <v>698</v>
      </c>
      <c r="L81" s="57" t="s">
        <v>18</v>
      </c>
      <c r="M81" s="36" t="s">
        <v>699</v>
      </c>
    </row>
    <row r="82" spans="1:13" ht="84" x14ac:dyDescent="0.25">
      <c r="A82" s="32" t="s">
        <v>670</v>
      </c>
      <c r="B82" s="32" t="s">
        <v>501</v>
      </c>
      <c r="C82" s="55"/>
      <c r="D82" s="32" t="s">
        <v>696</v>
      </c>
      <c r="E82" s="56" t="s">
        <v>12</v>
      </c>
      <c r="F82" s="32" t="s">
        <v>700</v>
      </c>
      <c r="G82" s="57" t="s">
        <v>471</v>
      </c>
      <c r="H82" s="32" t="s">
        <v>673</v>
      </c>
      <c r="I82" s="55"/>
      <c r="J82" s="55"/>
      <c r="K82" s="32" t="s">
        <v>698</v>
      </c>
      <c r="L82" s="56" t="s">
        <v>12</v>
      </c>
      <c r="M82" s="32" t="s">
        <v>701</v>
      </c>
    </row>
    <row r="83" spans="1:13" ht="84" x14ac:dyDescent="0.25">
      <c r="A83" s="36" t="s">
        <v>670</v>
      </c>
      <c r="B83" s="36" t="s">
        <v>501</v>
      </c>
      <c r="C83" s="58"/>
      <c r="D83" s="36" t="s">
        <v>696</v>
      </c>
      <c r="E83" s="59" t="s">
        <v>15</v>
      </c>
      <c r="F83" s="36" t="s">
        <v>702</v>
      </c>
      <c r="G83" s="57" t="s">
        <v>471</v>
      </c>
      <c r="H83" s="36" t="s">
        <v>673</v>
      </c>
      <c r="I83" s="58"/>
      <c r="J83" s="58"/>
      <c r="K83" s="36" t="s">
        <v>698</v>
      </c>
      <c r="L83" s="59" t="s">
        <v>15</v>
      </c>
      <c r="M83" s="36" t="s">
        <v>703</v>
      </c>
    </row>
    <row r="84" spans="1:13" ht="84" x14ac:dyDescent="0.25">
      <c r="A84" s="32" t="s">
        <v>670</v>
      </c>
      <c r="B84" s="32" t="s">
        <v>501</v>
      </c>
      <c r="C84" s="55"/>
      <c r="D84" s="32" t="s">
        <v>704</v>
      </c>
      <c r="E84" s="56" t="s">
        <v>12</v>
      </c>
      <c r="F84" s="32" t="s">
        <v>705</v>
      </c>
      <c r="G84" s="57" t="s">
        <v>471</v>
      </c>
      <c r="H84" s="32" t="s">
        <v>673</v>
      </c>
      <c r="I84" s="55"/>
      <c r="J84" s="55"/>
      <c r="K84" s="32" t="s">
        <v>706</v>
      </c>
      <c r="L84" s="56" t="s">
        <v>12</v>
      </c>
      <c r="M84" s="32" t="s">
        <v>707</v>
      </c>
    </row>
    <row r="85" spans="1:13" ht="72" x14ac:dyDescent="0.25">
      <c r="A85" s="36" t="s">
        <v>670</v>
      </c>
      <c r="B85" s="58"/>
      <c r="C85" s="61" t="s">
        <v>458</v>
      </c>
      <c r="D85" s="36" t="s">
        <v>708</v>
      </c>
      <c r="E85" s="56" t="s">
        <v>12</v>
      </c>
      <c r="F85" s="36" t="s">
        <v>709</v>
      </c>
      <c r="G85" s="57" t="s">
        <v>471</v>
      </c>
      <c r="H85" s="36" t="s">
        <v>710</v>
      </c>
      <c r="I85" s="58"/>
      <c r="J85" s="61" t="s">
        <v>458</v>
      </c>
      <c r="K85" s="36" t="s">
        <v>711</v>
      </c>
      <c r="L85" s="56" t="s">
        <v>12</v>
      </c>
      <c r="M85" s="36" t="s">
        <v>712</v>
      </c>
    </row>
    <row r="86" spans="1:13" ht="72" x14ac:dyDescent="0.25">
      <c r="A86" s="32" t="s">
        <v>670</v>
      </c>
      <c r="B86" s="55"/>
      <c r="C86" s="55"/>
      <c r="D86" s="32" t="s">
        <v>708</v>
      </c>
      <c r="E86" s="59" t="s">
        <v>15</v>
      </c>
      <c r="F86" s="32" t="s">
        <v>713</v>
      </c>
      <c r="G86" s="57" t="s">
        <v>471</v>
      </c>
      <c r="H86" s="32" t="s">
        <v>710</v>
      </c>
      <c r="I86" s="55"/>
      <c r="J86" s="55"/>
      <c r="K86" s="32" t="s">
        <v>711</v>
      </c>
      <c r="L86" s="59" t="s">
        <v>15</v>
      </c>
      <c r="M86" s="32" t="s">
        <v>714</v>
      </c>
    </row>
    <row r="87" spans="1:13" ht="60" x14ac:dyDescent="0.25">
      <c r="A87" s="36" t="s">
        <v>715</v>
      </c>
      <c r="B87" s="58"/>
      <c r="C87" s="58"/>
      <c r="D87" s="36" t="s">
        <v>716</v>
      </c>
      <c r="E87" s="56" t="s">
        <v>12</v>
      </c>
      <c r="F87" s="36" t="s">
        <v>717</v>
      </c>
      <c r="G87" s="60" t="s">
        <v>477</v>
      </c>
      <c r="H87" s="58"/>
      <c r="I87" s="58"/>
      <c r="J87" s="58"/>
      <c r="K87" s="58"/>
      <c r="L87" s="58"/>
      <c r="M87" s="58"/>
    </row>
    <row r="88" spans="1:13" ht="72" x14ac:dyDescent="0.25">
      <c r="A88" s="32" t="s">
        <v>715</v>
      </c>
      <c r="B88" s="55"/>
      <c r="C88" s="55"/>
      <c r="D88" s="32" t="s">
        <v>718</v>
      </c>
      <c r="E88" s="57" t="s">
        <v>18</v>
      </c>
      <c r="F88" s="32" t="s">
        <v>719</v>
      </c>
      <c r="G88" s="57" t="s">
        <v>471</v>
      </c>
      <c r="H88" s="32" t="s">
        <v>534</v>
      </c>
      <c r="I88" s="55"/>
      <c r="J88" s="55"/>
      <c r="K88" s="32" t="s">
        <v>720</v>
      </c>
      <c r="L88" s="57" t="s">
        <v>18</v>
      </c>
      <c r="M88" s="32" t="s">
        <v>721</v>
      </c>
    </row>
    <row r="89" spans="1:13" ht="60" x14ac:dyDescent="0.25">
      <c r="A89" s="36" t="s">
        <v>715</v>
      </c>
      <c r="B89" s="58"/>
      <c r="C89" s="58"/>
      <c r="D89" s="36" t="s">
        <v>718</v>
      </c>
      <c r="E89" s="56" t="s">
        <v>12</v>
      </c>
      <c r="F89" s="36" t="s">
        <v>722</v>
      </c>
      <c r="G89" s="57" t="s">
        <v>471</v>
      </c>
      <c r="H89" s="36" t="s">
        <v>723</v>
      </c>
      <c r="I89" s="58"/>
      <c r="J89" s="58"/>
      <c r="K89" s="36" t="s">
        <v>724</v>
      </c>
      <c r="L89" s="56" t="s">
        <v>12</v>
      </c>
      <c r="M89" s="36" t="s">
        <v>725</v>
      </c>
    </row>
    <row r="90" spans="1:13" ht="120" x14ac:dyDescent="0.25">
      <c r="A90" s="32" t="s">
        <v>715</v>
      </c>
      <c r="B90" s="55"/>
      <c r="C90" s="55"/>
      <c r="D90" s="32" t="s">
        <v>718</v>
      </c>
      <c r="E90" s="56" t="s">
        <v>12</v>
      </c>
      <c r="F90" s="32" t="s">
        <v>726</v>
      </c>
      <c r="G90" s="57" t="s">
        <v>471</v>
      </c>
      <c r="H90" s="32" t="s">
        <v>539</v>
      </c>
      <c r="I90" s="55"/>
      <c r="J90" s="55"/>
      <c r="K90" s="32" t="s">
        <v>727</v>
      </c>
      <c r="L90" s="56" t="s">
        <v>12</v>
      </c>
      <c r="M90" s="32" t="s">
        <v>728</v>
      </c>
    </row>
    <row r="91" spans="1:13" ht="120" x14ac:dyDescent="0.25">
      <c r="A91" s="36" t="s">
        <v>715</v>
      </c>
      <c r="B91" s="58"/>
      <c r="C91" s="58"/>
      <c r="D91" s="36" t="s">
        <v>718</v>
      </c>
      <c r="E91" s="56" t="s">
        <v>12</v>
      </c>
      <c r="F91" s="36" t="s">
        <v>729</v>
      </c>
      <c r="G91" s="57" t="s">
        <v>471</v>
      </c>
      <c r="H91" s="36" t="s">
        <v>539</v>
      </c>
      <c r="I91" s="58"/>
      <c r="J91" s="58"/>
      <c r="K91" s="36" t="s">
        <v>730</v>
      </c>
      <c r="L91" s="56" t="s">
        <v>12</v>
      </c>
      <c r="M91" s="36" t="s">
        <v>731</v>
      </c>
    </row>
    <row r="92" spans="1:13" ht="120" x14ac:dyDescent="0.25">
      <c r="A92" s="32" t="s">
        <v>715</v>
      </c>
      <c r="B92" s="55"/>
      <c r="C92" s="55"/>
      <c r="D92" s="32" t="s">
        <v>718</v>
      </c>
      <c r="E92" s="56" t="s">
        <v>12</v>
      </c>
      <c r="F92" s="32" t="s">
        <v>732</v>
      </c>
      <c r="G92" s="57" t="s">
        <v>471</v>
      </c>
      <c r="H92" s="32" t="s">
        <v>539</v>
      </c>
      <c r="I92" s="55"/>
      <c r="J92" s="55"/>
      <c r="K92" s="32" t="s">
        <v>730</v>
      </c>
      <c r="L92" s="56" t="s">
        <v>12</v>
      </c>
      <c r="M92" s="32" t="s">
        <v>733</v>
      </c>
    </row>
    <row r="93" spans="1:13" ht="120" x14ac:dyDescent="0.25">
      <c r="A93" s="36" t="s">
        <v>715</v>
      </c>
      <c r="B93" s="58"/>
      <c r="C93" s="58"/>
      <c r="D93" s="36" t="s">
        <v>718</v>
      </c>
      <c r="E93" s="56" t="s">
        <v>12</v>
      </c>
      <c r="F93" s="36" t="s">
        <v>734</v>
      </c>
      <c r="G93" s="57" t="s">
        <v>471</v>
      </c>
      <c r="H93" s="36" t="s">
        <v>539</v>
      </c>
      <c r="I93" s="58"/>
      <c r="J93" s="58"/>
      <c r="K93" s="36" t="s">
        <v>730</v>
      </c>
      <c r="L93" s="56" t="s">
        <v>12</v>
      </c>
      <c r="M93" s="36" t="s">
        <v>735</v>
      </c>
    </row>
    <row r="94" spans="1:13" ht="120" x14ac:dyDescent="0.25">
      <c r="A94" s="32" t="s">
        <v>715</v>
      </c>
      <c r="B94" s="55"/>
      <c r="C94" s="55"/>
      <c r="D94" s="32" t="s">
        <v>718</v>
      </c>
      <c r="E94" s="59" t="s">
        <v>15</v>
      </c>
      <c r="F94" s="32" t="s">
        <v>736</v>
      </c>
      <c r="G94" s="57" t="s">
        <v>471</v>
      </c>
      <c r="H94" s="32" t="s">
        <v>539</v>
      </c>
      <c r="I94" s="55"/>
      <c r="J94" s="55"/>
      <c r="K94" s="32" t="s">
        <v>727</v>
      </c>
      <c r="L94" s="59" t="s">
        <v>15</v>
      </c>
      <c r="M94" s="32" t="s">
        <v>737</v>
      </c>
    </row>
    <row r="95" spans="1:13" ht="120" x14ac:dyDescent="0.25">
      <c r="A95" s="36" t="s">
        <v>715</v>
      </c>
      <c r="B95" s="58"/>
      <c r="C95" s="58"/>
      <c r="D95" s="36" t="s">
        <v>718</v>
      </c>
      <c r="E95" s="59" t="s">
        <v>15</v>
      </c>
      <c r="F95" s="36" t="s">
        <v>738</v>
      </c>
      <c r="G95" s="57" t="s">
        <v>471</v>
      </c>
      <c r="H95" s="36" t="s">
        <v>539</v>
      </c>
      <c r="I95" s="58"/>
      <c r="J95" s="58"/>
      <c r="K95" s="36" t="s">
        <v>727</v>
      </c>
      <c r="L95" s="59" t="s">
        <v>15</v>
      </c>
      <c r="M95" s="36" t="s">
        <v>739</v>
      </c>
    </row>
    <row r="96" spans="1:13" ht="60" x14ac:dyDescent="0.25">
      <c r="A96" s="32" t="s">
        <v>715</v>
      </c>
      <c r="B96" s="32" t="s">
        <v>501</v>
      </c>
      <c r="C96" s="55"/>
      <c r="D96" s="32" t="s">
        <v>718</v>
      </c>
      <c r="E96" s="59" t="s">
        <v>15</v>
      </c>
      <c r="F96" s="32" t="s">
        <v>740</v>
      </c>
      <c r="G96" s="57" t="s">
        <v>471</v>
      </c>
      <c r="H96" s="32" t="s">
        <v>741</v>
      </c>
      <c r="I96" s="55"/>
      <c r="J96" s="55"/>
      <c r="K96" s="32" t="s">
        <v>742</v>
      </c>
      <c r="L96" s="59" t="s">
        <v>15</v>
      </c>
      <c r="M96" s="32" t="s">
        <v>743</v>
      </c>
    </row>
    <row r="97" spans="1:13" ht="120" x14ac:dyDescent="0.25">
      <c r="A97" s="36" t="s">
        <v>715</v>
      </c>
      <c r="B97" s="36" t="s">
        <v>501</v>
      </c>
      <c r="C97" s="58"/>
      <c r="D97" s="36" t="s">
        <v>744</v>
      </c>
      <c r="E97" s="56" t="s">
        <v>12</v>
      </c>
      <c r="F97" s="36" t="s">
        <v>745</v>
      </c>
      <c r="G97" s="57" t="s">
        <v>471</v>
      </c>
      <c r="H97" s="36" t="s">
        <v>539</v>
      </c>
      <c r="I97" s="58"/>
      <c r="J97" s="58"/>
      <c r="K97" s="36" t="s">
        <v>746</v>
      </c>
      <c r="L97" s="56" t="s">
        <v>12</v>
      </c>
      <c r="M97" s="36" t="s">
        <v>747</v>
      </c>
    </row>
    <row r="98" spans="1:13" ht="120" x14ac:dyDescent="0.25">
      <c r="A98" s="32" t="s">
        <v>715</v>
      </c>
      <c r="B98" s="32" t="s">
        <v>501</v>
      </c>
      <c r="C98" s="55"/>
      <c r="D98" s="32" t="s">
        <v>744</v>
      </c>
      <c r="E98" s="59" t="s">
        <v>15</v>
      </c>
      <c r="F98" s="32" t="s">
        <v>748</v>
      </c>
      <c r="G98" s="57" t="s">
        <v>471</v>
      </c>
      <c r="H98" s="32" t="s">
        <v>539</v>
      </c>
      <c r="I98" s="55"/>
      <c r="J98" s="55"/>
      <c r="K98" s="32" t="s">
        <v>746</v>
      </c>
      <c r="L98" s="59" t="s">
        <v>15</v>
      </c>
      <c r="M98" s="32" t="s">
        <v>749</v>
      </c>
    </row>
    <row r="99" spans="1:13" ht="120" x14ac:dyDescent="0.25">
      <c r="A99" s="36" t="s">
        <v>750</v>
      </c>
      <c r="B99" s="58"/>
      <c r="C99" s="61" t="s">
        <v>458</v>
      </c>
      <c r="D99" s="36" t="s">
        <v>751</v>
      </c>
      <c r="E99" s="57" t="s">
        <v>18</v>
      </c>
      <c r="F99" s="36" t="s">
        <v>752</v>
      </c>
      <c r="G99" s="57" t="s">
        <v>471</v>
      </c>
      <c r="H99" s="36" t="s">
        <v>753</v>
      </c>
      <c r="I99" s="58"/>
      <c r="J99" s="61" t="s">
        <v>458</v>
      </c>
      <c r="K99" s="36" t="s">
        <v>754</v>
      </c>
      <c r="L99" s="57" t="s">
        <v>18</v>
      </c>
      <c r="M99" s="36" t="s">
        <v>755</v>
      </c>
    </row>
    <row r="100" spans="1:13" ht="120" x14ac:dyDescent="0.25">
      <c r="A100" s="32" t="s">
        <v>750</v>
      </c>
      <c r="B100" s="55"/>
      <c r="C100" s="55"/>
      <c r="D100" s="32" t="s">
        <v>751</v>
      </c>
      <c r="E100" s="56" t="s">
        <v>12</v>
      </c>
      <c r="F100" s="32" t="s">
        <v>756</v>
      </c>
      <c r="G100" s="57" t="s">
        <v>471</v>
      </c>
      <c r="H100" s="32" t="s">
        <v>753</v>
      </c>
      <c r="I100" s="55"/>
      <c r="J100" s="55"/>
      <c r="K100" s="32" t="s">
        <v>754</v>
      </c>
      <c r="L100" s="56" t="s">
        <v>12</v>
      </c>
      <c r="M100" s="32" t="s">
        <v>757</v>
      </c>
    </row>
    <row r="101" spans="1:13" ht="120" x14ac:dyDescent="0.25">
      <c r="A101" s="36" t="s">
        <v>750</v>
      </c>
      <c r="B101" s="58"/>
      <c r="C101" s="58"/>
      <c r="D101" s="36" t="s">
        <v>751</v>
      </c>
      <c r="E101" s="59" t="s">
        <v>15</v>
      </c>
      <c r="F101" s="36" t="s">
        <v>758</v>
      </c>
      <c r="G101" s="57" t="s">
        <v>471</v>
      </c>
      <c r="H101" s="36" t="s">
        <v>753</v>
      </c>
      <c r="I101" s="58"/>
      <c r="J101" s="58"/>
      <c r="K101" s="36" t="s">
        <v>754</v>
      </c>
      <c r="L101" s="59" t="s">
        <v>15</v>
      </c>
      <c r="M101" s="36" t="s">
        <v>759</v>
      </c>
    </row>
    <row r="102" spans="1:13" ht="120" x14ac:dyDescent="0.25">
      <c r="A102" s="32" t="s">
        <v>750</v>
      </c>
      <c r="B102" s="55"/>
      <c r="C102" s="55"/>
      <c r="D102" s="32" t="s">
        <v>751</v>
      </c>
      <c r="E102" s="59" t="s">
        <v>15</v>
      </c>
      <c r="F102" s="32" t="s">
        <v>760</v>
      </c>
      <c r="G102" s="57" t="s">
        <v>471</v>
      </c>
      <c r="H102" s="32" t="s">
        <v>753</v>
      </c>
      <c r="I102" s="55"/>
      <c r="J102" s="55"/>
      <c r="K102" s="32" t="s">
        <v>754</v>
      </c>
      <c r="L102" s="59" t="s">
        <v>15</v>
      </c>
      <c r="M102" s="32" t="s">
        <v>761</v>
      </c>
    </row>
    <row r="103" spans="1:13" ht="120" x14ac:dyDescent="0.25">
      <c r="A103" s="36" t="s">
        <v>750</v>
      </c>
      <c r="B103" s="58"/>
      <c r="C103" s="58"/>
      <c r="D103" s="36" t="s">
        <v>751</v>
      </c>
      <c r="E103" s="59" t="s">
        <v>15</v>
      </c>
      <c r="F103" s="36" t="s">
        <v>762</v>
      </c>
      <c r="G103" s="57" t="s">
        <v>471</v>
      </c>
      <c r="H103" s="36" t="s">
        <v>753</v>
      </c>
      <c r="I103" s="58"/>
      <c r="J103" s="58"/>
      <c r="K103" s="36" t="s">
        <v>754</v>
      </c>
      <c r="L103" s="59" t="s">
        <v>15</v>
      </c>
      <c r="M103" s="36" t="s">
        <v>763</v>
      </c>
    </row>
    <row r="104" spans="1:13" ht="120" x14ac:dyDescent="0.25">
      <c r="A104" s="32" t="s">
        <v>750</v>
      </c>
      <c r="B104" s="55"/>
      <c r="C104" s="55"/>
      <c r="D104" s="32" t="s">
        <v>764</v>
      </c>
      <c r="E104" s="56" t="s">
        <v>12</v>
      </c>
      <c r="F104" s="32" t="s">
        <v>765</v>
      </c>
      <c r="G104" s="57" t="s">
        <v>471</v>
      </c>
      <c r="H104" s="32" t="s">
        <v>753</v>
      </c>
      <c r="I104" s="55"/>
      <c r="J104" s="55"/>
      <c r="K104" s="32" t="s">
        <v>766</v>
      </c>
      <c r="L104" s="56" t="s">
        <v>12</v>
      </c>
      <c r="M104" s="32" t="s">
        <v>767</v>
      </c>
    </row>
    <row r="105" spans="1:13" ht="120" x14ac:dyDescent="0.25">
      <c r="A105" s="36" t="s">
        <v>750</v>
      </c>
      <c r="B105" s="58"/>
      <c r="C105" s="58"/>
      <c r="D105" s="36" t="s">
        <v>764</v>
      </c>
      <c r="E105" s="59" t="s">
        <v>15</v>
      </c>
      <c r="F105" s="36" t="s">
        <v>768</v>
      </c>
      <c r="G105" s="57" t="s">
        <v>471</v>
      </c>
      <c r="H105" s="36" t="s">
        <v>753</v>
      </c>
      <c r="I105" s="58"/>
      <c r="J105" s="58"/>
      <c r="K105" s="36" t="s">
        <v>766</v>
      </c>
      <c r="L105" s="59" t="s">
        <v>15</v>
      </c>
      <c r="M105" s="36" t="s">
        <v>769</v>
      </c>
    </row>
    <row r="106" spans="1:13" ht="120" x14ac:dyDescent="0.25">
      <c r="A106" s="32" t="s">
        <v>750</v>
      </c>
      <c r="B106" s="55"/>
      <c r="C106" s="55"/>
      <c r="D106" s="32" t="s">
        <v>770</v>
      </c>
      <c r="E106" s="57" t="s">
        <v>18</v>
      </c>
      <c r="F106" s="32" t="s">
        <v>771</v>
      </c>
      <c r="G106" s="57" t="s">
        <v>471</v>
      </c>
      <c r="H106" s="32" t="s">
        <v>753</v>
      </c>
      <c r="I106" s="55"/>
      <c r="J106" s="55"/>
      <c r="K106" s="32" t="s">
        <v>772</v>
      </c>
      <c r="L106" s="57" t="s">
        <v>18</v>
      </c>
      <c r="M106" s="32" t="s">
        <v>773</v>
      </c>
    </row>
    <row r="107" spans="1:13" ht="120" x14ac:dyDescent="0.25">
      <c r="A107" s="36" t="s">
        <v>750</v>
      </c>
      <c r="B107" s="58"/>
      <c r="C107" s="61" t="s">
        <v>458</v>
      </c>
      <c r="D107" s="36" t="s">
        <v>770</v>
      </c>
      <c r="E107" s="57" t="s">
        <v>18</v>
      </c>
      <c r="F107" s="36" t="s">
        <v>774</v>
      </c>
      <c r="G107" s="57" t="s">
        <v>471</v>
      </c>
      <c r="H107" s="36" t="s">
        <v>753</v>
      </c>
      <c r="I107" s="58"/>
      <c r="J107" s="61" t="s">
        <v>458</v>
      </c>
      <c r="K107" s="36" t="s">
        <v>772</v>
      </c>
      <c r="L107" s="57" t="s">
        <v>18</v>
      </c>
      <c r="M107" s="36" t="s">
        <v>775</v>
      </c>
    </row>
    <row r="108" spans="1:13" ht="120" x14ac:dyDescent="0.25">
      <c r="A108" s="32" t="s">
        <v>750</v>
      </c>
      <c r="B108" s="55"/>
      <c r="C108" s="61" t="s">
        <v>458</v>
      </c>
      <c r="D108" s="32" t="s">
        <v>770</v>
      </c>
      <c r="E108" s="56" t="s">
        <v>12</v>
      </c>
      <c r="F108" s="32" t="s">
        <v>776</v>
      </c>
      <c r="G108" s="57" t="s">
        <v>471</v>
      </c>
      <c r="H108" s="32" t="s">
        <v>753</v>
      </c>
      <c r="I108" s="55"/>
      <c r="J108" s="61" t="s">
        <v>458</v>
      </c>
      <c r="K108" s="32" t="s">
        <v>772</v>
      </c>
      <c r="L108" s="56" t="s">
        <v>12</v>
      </c>
      <c r="M108" s="32" t="s">
        <v>777</v>
      </c>
    </row>
    <row r="109" spans="1:13" ht="120" x14ac:dyDescent="0.25">
      <c r="A109" s="36" t="s">
        <v>750</v>
      </c>
      <c r="B109" s="58"/>
      <c r="C109" s="58"/>
      <c r="D109" s="36" t="s">
        <v>770</v>
      </c>
      <c r="E109" s="59" t="s">
        <v>15</v>
      </c>
      <c r="F109" s="36" t="s">
        <v>778</v>
      </c>
      <c r="G109" s="57" t="s">
        <v>471</v>
      </c>
      <c r="H109" s="36" t="s">
        <v>753</v>
      </c>
      <c r="I109" s="58"/>
      <c r="J109" s="58"/>
      <c r="K109" s="36" t="s">
        <v>772</v>
      </c>
      <c r="L109" s="59" t="s">
        <v>15</v>
      </c>
      <c r="M109" s="36" t="s">
        <v>779</v>
      </c>
    </row>
    <row r="110" spans="1:13" ht="120" x14ac:dyDescent="0.25">
      <c r="A110" s="32" t="s">
        <v>750</v>
      </c>
      <c r="B110" s="55"/>
      <c r="C110" s="55"/>
      <c r="D110" s="32" t="s">
        <v>770</v>
      </c>
      <c r="E110" s="59" t="s">
        <v>15</v>
      </c>
      <c r="F110" s="32" t="s">
        <v>780</v>
      </c>
      <c r="G110" s="57" t="s">
        <v>471</v>
      </c>
      <c r="H110" s="32" t="s">
        <v>753</v>
      </c>
      <c r="I110" s="55"/>
      <c r="J110" s="55"/>
      <c r="K110" s="32" t="s">
        <v>772</v>
      </c>
      <c r="L110" s="59" t="s">
        <v>15</v>
      </c>
      <c r="M110" s="32" t="s">
        <v>781</v>
      </c>
    </row>
    <row r="111" spans="1:13" ht="96" x14ac:dyDescent="0.25">
      <c r="A111" s="36" t="s">
        <v>750</v>
      </c>
      <c r="B111" s="58"/>
      <c r="C111" s="58"/>
      <c r="D111" s="36" t="s">
        <v>782</v>
      </c>
      <c r="E111" s="59" t="s">
        <v>15</v>
      </c>
      <c r="F111" s="36" t="s">
        <v>783</v>
      </c>
      <c r="G111" s="60" t="s">
        <v>477</v>
      </c>
      <c r="H111" s="58"/>
      <c r="I111" s="58"/>
      <c r="J111" s="58"/>
      <c r="K111" s="58"/>
      <c r="L111" s="58"/>
      <c r="M111" s="58"/>
    </row>
    <row r="112" spans="1:13" ht="120" x14ac:dyDescent="0.25">
      <c r="A112" s="32" t="s">
        <v>750</v>
      </c>
      <c r="B112" s="55"/>
      <c r="C112" s="61" t="s">
        <v>458</v>
      </c>
      <c r="D112" s="32" t="s">
        <v>784</v>
      </c>
      <c r="E112" s="57" t="s">
        <v>18</v>
      </c>
      <c r="F112" s="32" t="s">
        <v>785</v>
      </c>
      <c r="G112" s="57" t="s">
        <v>471</v>
      </c>
      <c r="H112" s="32" t="s">
        <v>753</v>
      </c>
      <c r="I112" s="55"/>
      <c r="J112" s="61" t="s">
        <v>458</v>
      </c>
      <c r="K112" s="32" t="s">
        <v>786</v>
      </c>
      <c r="L112" s="57" t="s">
        <v>18</v>
      </c>
      <c r="M112" s="32" t="s">
        <v>787</v>
      </c>
    </row>
    <row r="113" spans="1:13" ht="120" x14ac:dyDescent="0.25">
      <c r="A113" s="36" t="s">
        <v>750</v>
      </c>
      <c r="B113" s="58"/>
      <c r="C113" s="61" t="s">
        <v>458</v>
      </c>
      <c r="D113" s="36" t="s">
        <v>784</v>
      </c>
      <c r="E113" s="57" t="s">
        <v>18</v>
      </c>
      <c r="F113" s="36" t="s">
        <v>788</v>
      </c>
      <c r="G113" s="57" t="s">
        <v>471</v>
      </c>
      <c r="H113" s="36" t="s">
        <v>753</v>
      </c>
      <c r="I113" s="58"/>
      <c r="J113" s="61" t="s">
        <v>458</v>
      </c>
      <c r="K113" s="36" t="s">
        <v>786</v>
      </c>
      <c r="L113" s="57" t="s">
        <v>18</v>
      </c>
      <c r="M113" s="36" t="s">
        <v>789</v>
      </c>
    </row>
    <row r="114" spans="1:13" ht="120" x14ac:dyDescent="0.25">
      <c r="A114" s="32" t="s">
        <v>750</v>
      </c>
      <c r="B114" s="55"/>
      <c r="C114" s="61" t="s">
        <v>458</v>
      </c>
      <c r="D114" s="32" t="s">
        <v>784</v>
      </c>
      <c r="E114" s="57" t="s">
        <v>18</v>
      </c>
      <c r="F114" s="32" t="s">
        <v>790</v>
      </c>
      <c r="G114" s="57" t="s">
        <v>471</v>
      </c>
      <c r="H114" s="32" t="s">
        <v>753</v>
      </c>
      <c r="I114" s="55"/>
      <c r="J114" s="61" t="s">
        <v>458</v>
      </c>
      <c r="K114" s="32" t="s">
        <v>786</v>
      </c>
      <c r="L114" s="57" t="s">
        <v>18</v>
      </c>
      <c r="M114" s="32" t="s">
        <v>791</v>
      </c>
    </row>
    <row r="115" spans="1:13" ht="120" x14ac:dyDescent="0.25">
      <c r="A115" s="36" t="s">
        <v>750</v>
      </c>
      <c r="B115" s="58"/>
      <c r="C115" s="61" t="s">
        <v>458</v>
      </c>
      <c r="D115" s="36" t="s">
        <v>784</v>
      </c>
      <c r="E115" s="57" t="s">
        <v>18</v>
      </c>
      <c r="F115" s="36" t="s">
        <v>792</v>
      </c>
      <c r="G115" s="57" t="s">
        <v>471</v>
      </c>
      <c r="H115" s="36" t="s">
        <v>753</v>
      </c>
      <c r="I115" s="58"/>
      <c r="J115" s="61" t="s">
        <v>458</v>
      </c>
      <c r="K115" s="36" t="s">
        <v>786</v>
      </c>
      <c r="L115" s="57" t="s">
        <v>18</v>
      </c>
      <c r="M115" s="36" t="s">
        <v>793</v>
      </c>
    </row>
    <row r="116" spans="1:13" ht="120" x14ac:dyDescent="0.25">
      <c r="A116" s="32" t="s">
        <v>750</v>
      </c>
      <c r="B116" s="55"/>
      <c r="C116" s="55"/>
      <c r="D116" s="32" t="s">
        <v>784</v>
      </c>
      <c r="E116" s="56" t="s">
        <v>12</v>
      </c>
      <c r="F116" s="32" t="s">
        <v>794</v>
      </c>
      <c r="G116" s="57" t="s">
        <v>471</v>
      </c>
      <c r="H116" s="32" t="s">
        <v>753</v>
      </c>
      <c r="I116" s="55"/>
      <c r="J116" s="55"/>
      <c r="K116" s="32" t="s">
        <v>786</v>
      </c>
      <c r="L116" s="56" t="s">
        <v>12</v>
      </c>
      <c r="M116" s="32" t="s">
        <v>795</v>
      </c>
    </row>
    <row r="117" spans="1:13" ht="120" x14ac:dyDescent="0.25">
      <c r="A117" s="36" t="s">
        <v>750</v>
      </c>
      <c r="B117" s="58"/>
      <c r="C117" s="58"/>
      <c r="D117" s="36" t="s">
        <v>784</v>
      </c>
      <c r="E117" s="56" t="s">
        <v>12</v>
      </c>
      <c r="F117" s="36" t="s">
        <v>796</v>
      </c>
      <c r="G117" s="57" t="s">
        <v>471</v>
      </c>
      <c r="H117" s="36" t="s">
        <v>753</v>
      </c>
      <c r="I117" s="58"/>
      <c r="J117" s="58"/>
      <c r="K117" s="36" t="s">
        <v>786</v>
      </c>
      <c r="L117" s="56" t="s">
        <v>12</v>
      </c>
      <c r="M117" s="36" t="s">
        <v>797</v>
      </c>
    </row>
    <row r="118" spans="1:13" ht="120" x14ac:dyDescent="0.25">
      <c r="A118" s="32" t="s">
        <v>750</v>
      </c>
      <c r="B118" s="55"/>
      <c r="C118" s="55"/>
      <c r="D118" s="32" t="s">
        <v>784</v>
      </c>
      <c r="E118" s="56" t="s">
        <v>12</v>
      </c>
      <c r="F118" s="32" t="s">
        <v>798</v>
      </c>
      <c r="G118" s="57" t="s">
        <v>471</v>
      </c>
      <c r="H118" s="32" t="s">
        <v>753</v>
      </c>
      <c r="I118" s="55"/>
      <c r="J118" s="55"/>
      <c r="K118" s="32" t="s">
        <v>786</v>
      </c>
      <c r="L118" s="56" t="s">
        <v>12</v>
      </c>
      <c r="M118" s="32" t="s">
        <v>799</v>
      </c>
    </row>
    <row r="119" spans="1:13" ht="120" x14ac:dyDescent="0.25">
      <c r="A119" s="36" t="s">
        <v>750</v>
      </c>
      <c r="B119" s="58"/>
      <c r="C119" s="58"/>
      <c r="D119" s="36" t="s">
        <v>784</v>
      </c>
      <c r="E119" s="59" t="s">
        <v>15</v>
      </c>
      <c r="F119" s="36" t="s">
        <v>800</v>
      </c>
      <c r="G119" s="57" t="s">
        <v>471</v>
      </c>
      <c r="H119" s="36" t="s">
        <v>753</v>
      </c>
      <c r="I119" s="58"/>
      <c r="J119" s="58"/>
      <c r="K119" s="36" t="s">
        <v>786</v>
      </c>
      <c r="L119" s="59" t="s">
        <v>15</v>
      </c>
      <c r="M119" s="36" t="s">
        <v>801</v>
      </c>
    </row>
    <row r="120" spans="1:13" ht="120" x14ac:dyDescent="0.25">
      <c r="A120" s="32" t="s">
        <v>750</v>
      </c>
      <c r="B120" s="55"/>
      <c r="C120" s="55"/>
      <c r="D120" s="32" t="s">
        <v>784</v>
      </c>
      <c r="E120" s="59" t="s">
        <v>15</v>
      </c>
      <c r="F120" s="32" t="s">
        <v>802</v>
      </c>
      <c r="G120" s="57" t="s">
        <v>471</v>
      </c>
      <c r="H120" s="32" t="s">
        <v>753</v>
      </c>
      <c r="I120" s="55"/>
      <c r="J120" s="55"/>
      <c r="K120" s="32" t="s">
        <v>786</v>
      </c>
      <c r="L120" s="59" t="s">
        <v>15</v>
      </c>
      <c r="M120" s="32" t="s">
        <v>803</v>
      </c>
    </row>
    <row r="121" spans="1:13" ht="120" x14ac:dyDescent="0.25">
      <c r="A121" s="36" t="s">
        <v>750</v>
      </c>
      <c r="B121" s="58"/>
      <c r="C121" s="58"/>
      <c r="D121" s="36" t="s">
        <v>804</v>
      </c>
      <c r="E121" s="57" t="s">
        <v>18</v>
      </c>
      <c r="F121" s="36" t="s">
        <v>805</v>
      </c>
      <c r="G121" s="57" t="s">
        <v>471</v>
      </c>
      <c r="H121" s="36" t="s">
        <v>753</v>
      </c>
      <c r="I121" s="58"/>
      <c r="J121" s="58"/>
      <c r="K121" s="36" t="s">
        <v>806</v>
      </c>
      <c r="L121" s="57" t="s">
        <v>18</v>
      </c>
      <c r="M121" s="36" t="s">
        <v>807</v>
      </c>
    </row>
    <row r="122" spans="1:13" ht="120" x14ac:dyDescent="0.25">
      <c r="A122" s="32" t="s">
        <v>750</v>
      </c>
      <c r="B122" s="55"/>
      <c r="C122" s="55"/>
      <c r="D122" s="32" t="s">
        <v>804</v>
      </c>
      <c r="E122" s="56" t="s">
        <v>12</v>
      </c>
      <c r="F122" s="32" t="s">
        <v>808</v>
      </c>
      <c r="G122" s="57" t="s">
        <v>471</v>
      </c>
      <c r="H122" s="32" t="s">
        <v>753</v>
      </c>
      <c r="I122" s="55"/>
      <c r="J122" s="55"/>
      <c r="K122" s="32" t="s">
        <v>806</v>
      </c>
      <c r="L122" s="56" t="s">
        <v>12</v>
      </c>
      <c r="M122" s="32" t="s">
        <v>809</v>
      </c>
    </row>
    <row r="123" spans="1:13" ht="120" x14ac:dyDescent="0.25">
      <c r="A123" s="36" t="s">
        <v>750</v>
      </c>
      <c r="B123" s="58"/>
      <c r="C123" s="58"/>
      <c r="D123" s="36" t="s">
        <v>804</v>
      </c>
      <c r="E123" s="59" t="s">
        <v>15</v>
      </c>
      <c r="F123" s="36" t="s">
        <v>810</v>
      </c>
      <c r="G123" s="57" t="s">
        <v>471</v>
      </c>
      <c r="H123" s="36" t="s">
        <v>753</v>
      </c>
      <c r="I123" s="58"/>
      <c r="J123" s="58"/>
      <c r="K123" s="36" t="s">
        <v>806</v>
      </c>
      <c r="L123" s="59" t="s">
        <v>15</v>
      </c>
      <c r="M123" s="36" t="s">
        <v>811</v>
      </c>
    </row>
    <row r="124" spans="1:13" ht="120" x14ac:dyDescent="0.25">
      <c r="A124" s="32" t="s">
        <v>750</v>
      </c>
      <c r="B124" s="55"/>
      <c r="C124" s="55"/>
      <c r="D124" s="32" t="s">
        <v>804</v>
      </c>
      <c r="E124" s="59" t="s">
        <v>15</v>
      </c>
      <c r="F124" s="32" t="s">
        <v>812</v>
      </c>
      <c r="G124" s="57" t="s">
        <v>471</v>
      </c>
      <c r="H124" s="32" t="s">
        <v>753</v>
      </c>
      <c r="I124" s="55"/>
      <c r="J124" s="55"/>
      <c r="K124" s="32" t="s">
        <v>806</v>
      </c>
      <c r="L124" s="59" t="s">
        <v>15</v>
      </c>
      <c r="M124" s="32" t="s">
        <v>813</v>
      </c>
    </row>
    <row r="125" spans="1:13" ht="108" x14ac:dyDescent="0.25">
      <c r="A125" s="36" t="s">
        <v>814</v>
      </c>
      <c r="B125" s="58"/>
      <c r="C125" s="58"/>
      <c r="D125" s="36" t="s">
        <v>815</v>
      </c>
      <c r="E125" s="57" t="s">
        <v>18</v>
      </c>
      <c r="F125" s="36" t="s">
        <v>816</v>
      </c>
      <c r="G125" s="57" t="s">
        <v>471</v>
      </c>
      <c r="H125" s="36" t="s">
        <v>562</v>
      </c>
      <c r="I125" s="58"/>
      <c r="J125" s="58"/>
      <c r="K125" s="36" t="s">
        <v>817</v>
      </c>
      <c r="L125" s="57" t="s">
        <v>18</v>
      </c>
      <c r="M125" s="36" t="s">
        <v>818</v>
      </c>
    </row>
    <row r="126" spans="1:13" ht="108" x14ac:dyDescent="0.25">
      <c r="A126" s="32" t="s">
        <v>814</v>
      </c>
      <c r="B126" s="55"/>
      <c r="C126" s="55"/>
      <c r="D126" s="32" t="s">
        <v>815</v>
      </c>
      <c r="E126" s="56" t="s">
        <v>12</v>
      </c>
      <c r="F126" s="32" t="s">
        <v>819</v>
      </c>
      <c r="G126" s="57" t="s">
        <v>471</v>
      </c>
      <c r="H126" s="32" t="s">
        <v>562</v>
      </c>
      <c r="I126" s="55"/>
      <c r="J126" s="55"/>
      <c r="K126" s="32" t="s">
        <v>817</v>
      </c>
      <c r="L126" s="56" t="s">
        <v>12</v>
      </c>
      <c r="M126" s="32" t="s">
        <v>820</v>
      </c>
    </row>
    <row r="127" spans="1:13" ht="72" x14ac:dyDescent="0.25">
      <c r="A127" s="36" t="s">
        <v>814</v>
      </c>
      <c r="B127" s="58"/>
      <c r="C127" s="58"/>
      <c r="D127" s="36" t="s">
        <v>815</v>
      </c>
      <c r="E127" s="56" t="s">
        <v>12</v>
      </c>
      <c r="F127" s="36" t="s">
        <v>821</v>
      </c>
      <c r="G127" s="57" t="s">
        <v>471</v>
      </c>
      <c r="H127" s="36" t="s">
        <v>822</v>
      </c>
      <c r="I127" s="58"/>
      <c r="J127" s="58"/>
      <c r="K127" s="36" t="s">
        <v>823</v>
      </c>
      <c r="L127" s="56" t="s">
        <v>12</v>
      </c>
      <c r="M127" s="36" t="s">
        <v>824</v>
      </c>
    </row>
    <row r="128" spans="1:13" ht="108" x14ac:dyDescent="0.25">
      <c r="A128" s="32" t="s">
        <v>814</v>
      </c>
      <c r="B128" s="55"/>
      <c r="C128" s="55"/>
      <c r="D128" s="32" t="s">
        <v>815</v>
      </c>
      <c r="E128" s="59" t="s">
        <v>15</v>
      </c>
      <c r="F128" s="32" t="s">
        <v>825</v>
      </c>
      <c r="G128" s="57" t="s">
        <v>471</v>
      </c>
      <c r="H128" s="32" t="s">
        <v>562</v>
      </c>
      <c r="I128" s="55"/>
      <c r="J128" s="55"/>
      <c r="K128" s="32" t="s">
        <v>817</v>
      </c>
      <c r="L128" s="59" t="s">
        <v>15</v>
      </c>
      <c r="M128" s="32" t="s">
        <v>826</v>
      </c>
    </row>
    <row r="129" spans="1:13" ht="108" x14ac:dyDescent="0.25">
      <c r="A129" s="36" t="s">
        <v>814</v>
      </c>
      <c r="B129" s="58"/>
      <c r="C129" s="58"/>
      <c r="D129" s="36" t="s">
        <v>827</v>
      </c>
      <c r="E129" s="56" t="s">
        <v>12</v>
      </c>
      <c r="F129" s="36" t="s">
        <v>828</v>
      </c>
      <c r="G129" s="57" t="s">
        <v>471</v>
      </c>
      <c r="H129" s="36" t="s">
        <v>562</v>
      </c>
      <c r="I129" s="58"/>
      <c r="J129" s="58"/>
      <c r="K129" s="36" t="s">
        <v>829</v>
      </c>
      <c r="L129" s="56" t="s">
        <v>12</v>
      </c>
      <c r="M129" s="36" t="s">
        <v>830</v>
      </c>
    </row>
    <row r="130" spans="1:13" ht="108" x14ac:dyDescent="0.25">
      <c r="A130" s="32" t="s">
        <v>814</v>
      </c>
      <c r="B130" s="55"/>
      <c r="C130" s="55"/>
      <c r="D130" s="32" t="s">
        <v>827</v>
      </c>
      <c r="E130" s="56" t="s">
        <v>12</v>
      </c>
      <c r="F130" s="32" t="s">
        <v>831</v>
      </c>
      <c r="G130" s="57" t="s">
        <v>471</v>
      </c>
      <c r="H130" s="32" t="s">
        <v>562</v>
      </c>
      <c r="I130" s="55"/>
      <c r="J130" s="55"/>
      <c r="K130" s="32" t="s">
        <v>832</v>
      </c>
      <c r="L130" s="56" t="s">
        <v>12</v>
      </c>
      <c r="M130" s="32" t="s">
        <v>833</v>
      </c>
    </row>
    <row r="131" spans="1:13" ht="108" x14ac:dyDescent="0.25">
      <c r="A131" s="36" t="s">
        <v>814</v>
      </c>
      <c r="B131" s="58"/>
      <c r="C131" s="58"/>
      <c r="D131" s="36" t="s">
        <v>827</v>
      </c>
      <c r="E131" s="56" t="s">
        <v>12</v>
      </c>
      <c r="F131" s="36" t="s">
        <v>834</v>
      </c>
      <c r="G131" s="57" t="s">
        <v>471</v>
      </c>
      <c r="H131" s="36" t="s">
        <v>562</v>
      </c>
      <c r="I131" s="58"/>
      <c r="J131" s="58"/>
      <c r="K131" s="36" t="s">
        <v>835</v>
      </c>
      <c r="L131" s="56" t="s">
        <v>12</v>
      </c>
      <c r="M131" s="36" t="s">
        <v>836</v>
      </c>
    </row>
    <row r="132" spans="1:13" ht="72" x14ac:dyDescent="0.25">
      <c r="A132" s="32" t="s">
        <v>837</v>
      </c>
      <c r="B132" s="55"/>
      <c r="C132" s="55"/>
      <c r="D132" s="32" t="s">
        <v>838</v>
      </c>
      <c r="E132" s="56" t="s">
        <v>12</v>
      </c>
      <c r="F132" s="32" t="s">
        <v>839</v>
      </c>
      <c r="G132" s="57" t="s">
        <v>471</v>
      </c>
      <c r="H132" s="32" t="s">
        <v>646</v>
      </c>
      <c r="I132" s="55"/>
      <c r="J132" s="55"/>
      <c r="K132" s="32" t="s">
        <v>840</v>
      </c>
      <c r="L132" s="56" t="s">
        <v>12</v>
      </c>
      <c r="M132" s="32" t="s">
        <v>841</v>
      </c>
    </row>
    <row r="133" spans="1:13" ht="72" x14ac:dyDescent="0.25">
      <c r="A133" s="36" t="s">
        <v>837</v>
      </c>
      <c r="B133" s="58"/>
      <c r="C133" s="58"/>
      <c r="D133" s="36" t="s">
        <v>838</v>
      </c>
      <c r="E133" s="59" t="s">
        <v>15</v>
      </c>
      <c r="F133" s="36" t="s">
        <v>842</v>
      </c>
      <c r="G133" s="57" t="s">
        <v>471</v>
      </c>
      <c r="H133" s="36" t="s">
        <v>646</v>
      </c>
      <c r="I133" s="58"/>
      <c r="J133" s="58"/>
      <c r="K133" s="36" t="s">
        <v>840</v>
      </c>
      <c r="L133" s="59" t="s">
        <v>15</v>
      </c>
      <c r="M133" s="36" t="s">
        <v>843</v>
      </c>
    </row>
    <row r="134" spans="1:13" ht="72" x14ac:dyDescent="0.25">
      <c r="A134" s="32" t="s">
        <v>837</v>
      </c>
      <c r="B134" s="55"/>
      <c r="C134" s="55"/>
      <c r="D134" s="32" t="s">
        <v>838</v>
      </c>
      <c r="E134" s="59" t="s">
        <v>15</v>
      </c>
      <c r="F134" s="32" t="s">
        <v>844</v>
      </c>
      <c r="G134" s="57" t="s">
        <v>471</v>
      </c>
      <c r="H134" s="32" t="s">
        <v>646</v>
      </c>
      <c r="I134" s="55"/>
      <c r="J134" s="55"/>
      <c r="K134" s="32" t="s">
        <v>840</v>
      </c>
      <c r="L134" s="59" t="s">
        <v>15</v>
      </c>
      <c r="M134" s="32" t="s">
        <v>845</v>
      </c>
    </row>
    <row r="135" spans="1:13" ht="72" x14ac:dyDescent="0.25">
      <c r="A135" s="36" t="s">
        <v>837</v>
      </c>
      <c r="B135" s="58"/>
      <c r="C135" s="58"/>
      <c r="D135" s="36" t="s">
        <v>838</v>
      </c>
      <c r="E135" s="56" t="s">
        <v>12</v>
      </c>
      <c r="F135" s="36" t="s">
        <v>846</v>
      </c>
      <c r="G135" s="57" t="s">
        <v>471</v>
      </c>
      <c r="H135" s="36" t="s">
        <v>847</v>
      </c>
      <c r="I135" s="58"/>
      <c r="J135" s="58"/>
      <c r="K135" s="36" t="s">
        <v>848</v>
      </c>
      <c r="L135" s="56" t="s">
        <v>12</v>
      </c>
      <c r="M135" s="36" t="s">
        <v>849</v>
      </c>
    </row>
    <row r="136" spans="1:13" ht="72" x14ac:dyDescent="0.25">
      <c r="A136" s="32" t="s">
        <v>837</v>
      </c>
      <c r="B136" s="55"/>
      <c r="C136" s="55"/>
      <c r="D136" s="32" t="s">
        <v>838</v>
      </c>
      <c r="E136" s="56" t="s">
        <v>12</v>
      </c>
      <c r="F136" s="32" t="s">
        <v>850</v>
      </c>
      <c r="G136" s="57" t="s">
        <v>471</v>
      </c>
      <c r="H136" s="32" t="s">
        <v>847</v>
      </c>
      <c r="I136" s="55"/>
      <c r="J136" s="55"/>
      <c r="K136" s="32" t="s">
        <v>848</v>
      </c>
      <c r="L136" s="56" t="s">
        <v>12</v>
      </c>
      <c r="M136" s="32" t="s">
        <v>851</v>
      </c>
    </row>
    <row r="137" spans="1:13" ht="72" x14ac:dyDescent="0.25">
      <c r="A137" s="36" t="s">
        <v>837</v>
      </c>
      <c r="B137" s="58"/>
      <c r="C137" s="58"/>
      <c r="D137" s="36" t="s">
        <v>838</v>
      </c>
      <c r="E137" s="59" t="s">
        <v>15</v>
      </c>
      <c r="F137" s="36" t="s">
        <v>852</v>
      </c>
      <c r="G137" s="57" t="s">
        <v>471</v>
      </c>
      <c r="H137" s="36" t="s">
        <v>646</v>
      </c>
      <c r="I137" s="58"/>
      <c r="J137" s="58"/>
      <c r="K137" s="36" t="s">
        <v>853</v>
      </c>
      <c r="L137" s="59" t="s">
        <v>15</v>
      </c>
      <c r="M137" s="36" t="s">
        <v>854</v>
      </c>
    </row>
    <row r="138" spans="1:13" ht="72" x14ac:dyDescent="0.25">
      <c r="A138" s="32" t="s">
        <v>837</v>
      </c>
      <c r="B138" s="55"/>
      <c r="C138" s="55"/>
      <c r="D138" s="32" t="s">
        <v>838</v>
      </c>
      <c r="E138" s="57" t="s">
        <v>18</v>
      </c>
      <c r="F138" s="32" t="s">
        <v>855</v>
      </c>
      <c r="G138" s="57" t="s">
        <v>471</v>
      </c>
      <c r="H138" s="32" t="s">
        <v>646</v>
      </c>
      <c r="I138" s="55"/>
      <c r="J138" s="55"/>
      <c r="K138" s="32" t="s">
        <v>647</v>
      </c>
      <c r="L138" s="57" t="s">
        <v>18</v>
      </c>
      <c r="M138" s="32" t="s">
        <v>856</v>
      </c>
    </row>
    <row r="139" spans="1:13" ht="72" x14ac:dyDescent="0.25">
      <c r="A139" s="36" t="s">
        <v>837</v>
      </c>
      <c r="B139" s="58"/>
      <c r="C139" s="61" t="s">
        <v>458</v>
      </c>
      <c r="D139" s="36" t="s">
        <v>857</v>
      </c>
      <c r="E139" s="59" t="s">
        <v>15</v>
      </c>
      <c r="F139" s="36" t="s">
        <v>858</v>
      </c>
      <c r="G139" s="57" t="s">
        <v>471</v>
      </c>
      <c r="H139" s="36" t="s">
        <v>847</v>
      </c>
      <c r="I139" s="58"/>
      <c r="J139" s="61" t="s">
        <v>458</v>
      </c>
      <c r="K139" s="36" t="s">
        <v>848</v>
      </c>
      <c r="L139" s="59" t="s">
        <v>15</v>
      </c>
      <c r="M139" s="36" t="s">
        <v>859</v>
      </c>
    </row>
    <row r="140" spans="1:13" ht="72" x14ac:dyDescent="0.25">
      <c r="A140" s="32" t="s">
        <v>837</v>
      </c>
      <c r="B140" s="55"/>
      <c r="C140" s="55"/>
      <c r="D140" s="32" t="s">
        <v>857</v>
      </c>
      <c r="E140" s="59" t="s">
        <v>15</v>
      </c>
      <c r="F140" s="32" t="s">
        <v>860</v>
      </c>
      <c r="G140" s="57" t="s">
        <v>471</v>
      </c>
      <c r="H140" s="32" t="s">
        <v>646</v>
      </c>
      <c r="I140" s="55"/>
      <c r="J140" s="55"/>
      <c r="K140" s="32" t="s">
        <v>861</v>
      </c>
      <c r="L140" s="59" t="s">
        <v>15</v>
      </c>
      <c r="M140" s="32" t="s">
        <v>862</v>
      </c>
    </row>
    <row r="141" spans="1:13" ht="72" x14ac:dyDescent="0.25">
      <c r="A141" s="36" t="s">
        <v>837</v>
      </c>
      <c r="B141" s="58"/>
      <c r="C141" s="58"/>
      <c r="D141" s="36" t="s">
        <v>863</v>
      </c>
      <c r="E141" s="59" t="s">
        <v>15</v>
      </c>
      <c r="F141" s="36" t="s">
        <v>864</v>
      </c>
      <c r="G141" s="57" t="s">
        <v>471</v>
      </c>
      <c r="H141" s="36" t="s">
        <v>646</v>
      </c>
      <c r="I141" s="58"/>
      <c r="J141" s="58"/>
      <c r="K141" s="36" t="s">
        <v>865</v>
      </c>
      <c r="L141" s="59" t="s">
        <v>15</v>
      </c>
      <c r="M141" s="36" t="s">
        <v>866</v>
      </c>
    </row>
    <row r="142" spans="1:13" ht="120" x14ac:dyDescent="0.25">
      <c r="A142" s="32" t="s">
        <v>837</v>
      </c>
      <c r="B142" s="55"/>
      <c r="C142" s="61" t="s">
        <v>458</v>
      </c>
      <c r="D142" s="32" t="s">
        <v>867</v>
      </c>
      <c r="E142" s="57" t="s">
        <v>18</v>
      </c>
      <c r="F142" s="32" t="s">
        <v>868</v>
      </c>
      <c r="G142" s="57" t="s">
        <v>471</v>
      </c>
      <c r="H142" s="32" t="s">
        <v>539</v>
      </c>
      <c r="I142" s="55"/>
      <c r="J142" s="61" t="s">
        <v>458</v>
      </c>
      <c r="K142" s="32" t="s">
        <v>869</v>
      </c>
      <c r="L142" s="57" t="s">
        <v>18</v>
      </c>
      <c r="M142" s="32" t="s">
        <v>870</v>
      </c>
    </row>
    <row r="143" spans="1:13" ht="120" x14ac:dyDescent="0.25">
      <c r="A143" s="36" t="s">
        <v>837</v>
      </c>
      <c r="B143" s="58"/>
      <c r="C143" s="58"/>
      <c r="D143" s="36" t="s">
        <v>867</v>
      </c>
      <c r="E143" s="56" t="s">
        <v>12</v>
      </c>
      <c r="F143" s="36" t="s">
        <v>871</v>
      </c>
      <c r="G143" s="57" t="s">
        <v>471</v>
      </c>
      <c r="H143" s="36" t="s">
        <v>539</v>
      </c>
      <c r="I143" s="58"/>
      <c r="J143" s="58"/>
      <c r="K143" s="36" t="s">
        <v>869</v>
      </c>
      <c r="L143" s="56" t="s">
        <v>12</v>
      </c>
      <c r="M143" s="36" t="s">
        <v>872</v>
      </c>
    </row>
    <row r="144" spans="1:13" ht="120" x14ac:dyDescent="0.25">
      <c r="A144" s="32" t="s">
        <v>837</v>
      </c>
      <c r="B144" s="55"/>
      <c r="C144" s="55"/>
      <c r="D144" s="32" t="s">
        <v>867</v>
      </c>
      <c r="E144" s="56" t="s">
        <v>12</v>
      </c>
      <c r="F144" s="32" t="s">
        <v>873</v>
      </c>
      <c r="G144" s="57" t="s">
        <v>471</v>
      </c>
      <c r="H144" s="32" t="s">
        <v>539</v>
      </c>
      <c r="I144" s="55"/>
      <c r="J144" s="55"/>
      <c r="K144" s="32" t="s">
        <v>869</v>
      </c>
      <c r="L144" s="56" t="s">
        <v>12</v>
      </c>
      <c r="M144" s="32" t="s">
        <v>874</v>
      </c>
    </row>
    <row r="145" spans="1:13" ht="120" x14ac:dyDescent="0.25">
      <c r="A145" s="36" t="s">
        <v>837</v>
      </c>
      <c r="B145" s="58"/>
      <c r="C145" s="58"/>
      <c r="D145" s="36" t="s">
        <v>867</v>
      </c>
      <c r="E145" s="59" t="s">
        <v>15</v>
      </c>
      <c r="F145" s="36" t="s">
        <v>875</v>
      </c>
      <c r="G145" s="57" t="s">
        <v>471</v>
      </c>
      <c r="H145" s="36" t="s">
        <v>539</v>
      </c>
      <c r="I145" s="58"/>
      <c r="J145" s="58"/>
      <c r="K145" s="36" t="s">
        <v>869</v>
      </c>
      <c r="L145" s="59" t="s">
        <v>15</v>
      </c>
      <c r="M145" s="36" t="s">
        <v>876</v>
      </c>
    </row>
    <row r="146" spans="1:13" ht="120" x14ac:dyDescent="0.25">
      <c r="A146" s="32" t="s">
        <v>837</v>
      </c>
      <c r="B146" s="55"/>
      <c r="C146" s="55"/>
      <c r="D146" s="32" t="s">
        <v>867</v>
      </c>
      <c r="E146" s="59" t="s">
        <v>15</v>
      </c>
      <c r="F146" s="32" t="s">
        <v>877</v>
      </c>
      <c r="G146" s="57" t="s">
        <v>471</v>
      </c>
      <c r="H146" s="32" t="s">
        <v>539</v>
      </c>
      <c r="I146" s="55"/>
      <c r="J146" s="55"/>
      <c r="K146" s="32" t="s">
        <v>869</v>
      </c>
      <c r="L146" s="59" t="s">
        <v>15</v>
      </c>
      <c r="M146" s="32" t="s">
        <v>878</v>
      </c>
    </row>
    <row r="147" spans="1:13" ht="120" x14ac:dyDescent="0.25">
      <c r="A147" s="36" t="s">
        <v>879</v>
      </c>
      <c r="B147" s="58"/>
      <c r="C147" s="61" t="s">
        <v>458</v>
      </c>
      <c r="D147" s="36" t="s">
        <v>880</v>
      </c>
      <c r="E147" s="56" t="s">
        <v>12</v>
      </c>
      <c r="F147" s="36" t="s">
        <v>881</v>
      </c>
      <c r="G147" s="57" t="s">
        <v>471</v>
      </c>
      <c r="H147" s="36" t="s">
        <v>539</v>
      </c>
      <c r="I147" s="58"/>
      <c r="J147" s="61" t="s">
        <v>458</v>
      </c>
      <c r="K147" s="36" t="s">
        <v>882</v>
      </c>
      <c r="L147" s="56" t="s">
        <v>12</v>
      </c>
      <c r="M147" s="36" t="s">
        <v>883</v>
      </c>
    </row>
    <row r="148" spans="1:13" ht="120" x14ac:dyDescent="0.25">
      <c r="A148" s="32" t="s">
        <v>879</v>
      </c>
      <c r="B148" s="55"/>
      <c r="C148" s="55"/>
      <c r="D148" s="32" t="s">
        <v>880</v>
      </c>
      <c r="E148" s="59" t="s">
        <v>15</v>
      </c>
      <c r="F148" s="32" t="s">
        <v>884</v>
      </c>
      <c r="G148" s="57" t="s">
        <v>471</v>
      </c>
      <c r="H148" s="32" t="s">
        <v>539</v>
      </c>
      <c r="I148" s="55"/>
      <c r="J148" s="55"/>
      <c r="K148" s="32" t="s">
        <v>882</v>
      </c>
      <c r="L148" s="59" t="s">
        <v>15</v>
      </c>
      <c r="M148" s="32" t="s">
        <v>885</v>
      </c>
    </row>
    <row r="149" spans="1:13" ht="96" x14ac:dyDescent="0.25">
      <c r="A149" s="36" t="s">
        <v>879</v>
      </c>
      <c r="B149" s="58"/>
      <c r="C149" s="58"/>
      <c r="D149" s="36" t="s">
        <v>880</v>
      </c>
      <c r="E149" s="59" t="s">
        <v>15</v>
      </c>
      <c r="F149" s="36" t="s">
        <v>886</v>
      </c>
      <c r="G149" s="57" t="s">
        <v>471</v>
      </c>
      <c r="H149" s="36" t="s">
        <v>847</v>
      </c>
      <c r="I149" s="58"/>
      <c r="J149" s="58"/>
      <c r="K149" s="36" t="s">
        <v>887</v>
      </c>
      <c r="L149" s="59" t="s">
        <v>15</v>
      </c>
      <c r="M149" s="36" t="s">
        <v>888</v>
      </c>
    </row>
    <row r="150" spans="1:13" ht="96" x14ac:dyDescent="0.25">
      <c r="A150" s="32" t="s">
        <v>879</v>
      </c>
      <c r="B150" s="55"/>
      <c r="C150" s="55"/>
      <c r="D150" s="32" t="s">
        <v>880</v>
      </c>
      <c r="E150" s="59" t="s">
        <v>15</v>
      </c>
      <c r="F150" s="32" t="s">
        <v>889</v>
      </c>
      <c r="G150" s="57" t="s">
        <v>471</v>
      </c>
      <c r="H150" s="32" t="s">
        <v>847</v>
      </c>
      <c r="I150" s="55"/>
      <c r="J150" s="55"/>
      <c r="K150" s="32" t="s">
        <v>887</v>
      </c>
      <c r="L150" s="59" t="s">
        <v>15</v>
      </c>
      <c r="M150" s="32" t="s">
        <v>890</v>
      </c>
    </row>
    <row r="151" spans="1:13" ht="96" x14ac:dyDescent="0.25">
      <c r="A151" s="36" t="s">
        <v>879</v>
      </c>
      <c r="B151" s="58"/>
      <c r="C151" s="58"/>
      <c r="D151" s="36" t="s">
        <v>880</v>
      </c>
      <c r="E151" s="59" t="s">
        <v>15</v>
      </c>
      <c r="F151" s="36" t="s">
        <v>891</v>
      </c>
      <c r="G151" s="57" t="s">
        <v>471</v>
      </c>
      <c r="H151" s="36" t="s">
        <v>684</v>
      </c>
      <c r="I151" s="58"/>
      <c r="J151" s="58"/>
      <c r="K151" s="36" t="s">
        <v>892</v>
      </c>
      <c r="L151" s="59" t="s">
        <v>15</v>
      </c>
      <c r="M151" s="36" t="s">
        <v>893</v>
      </c>
    </row>
    <row r="152" spans="1:13" ht="96" x14ac:dyDescent="0.25">
      <c r="A152" s="32" t="s">
        <v>879</v>
      </c>
      <c r="B152" s="55"/>
      <c r="C152" s="55"/>
      <c r="D152" s="32" t="s">
        <v>894</v>
      </c>
      <c r="E152" s="56" t="s">
        <v>12</v>
      </c>
      <c r="F152" s="32" t="s">
        <v>895</v>
      </c>
      <c r="G152" s="57" t="s">
        <v>471</v>
      </c>
      <c r="H152" s="32" t="s">
        <v>684</v>
      </c>
      <c r="I152" s="55"/>
      <c r="J152" s="55"/>
      <c r="K152" s="32" t="s">
        <v>896</v>
      </c>
      <c r="L152" s="56" t="s">
        <v>12</v>
      </c>
      <c r="M152" s="32" t="s">
        <v>897</v>
      </c>
    </row>
    <row r="153" spans="1:13" ht="96" x14ac:dyDescent="0.25">
      <c r="A153" s="36" t="s">
        <v>879</v>
      </c>
      <c r="B153" s="58"/>
      <c r="C153" s="58"/>
      <c r="D153" s="36" t="s">
        <v>898</v>
      </c>
      <c r="E153" s="56" t="s">
        <v>12</v>
      </c>
      <c r="F153" s="36" t="s">
        <v>899</v>
      </c>
      <c r="G153" s="57" t="s">
        <v>471</v>
      </c>
      <c r="H153" s="36" t="s">
        <v>642</v>
      </c>
      <c r="I153" s="58"/>
      <c r="J153" s="58"/>
      <c r="K153" s="36" t="s">
        <v>643</v>
      </c>
      <c r="L153" s="56" t="s">
        <v>12</v>
      </c>
      <c r="M153" s="36" t="s">
        <v>900</v>
      </c>
    </row>
    <row r="154" spans="1:13" ht="96" x14ac:dyDescent="0.25">
      <c r="A154" s="32" t="s">
        <v>879</v>
      </c>
      <c r="B154" s="32" t="s">
        <v>901</v>
      </c>
      <c r="C154" s="61" t="s">
        <v>458</v>
      </c>
      <c r="D154" s="32" t="s">
        <v>902</v>
      </c>
      <c r="E154" s="57" t="s">
        <v>18</v>
      </c>
      <c r="F154" s="32" t="s">
        <v>903</v>
      </c>
      <c r="G154" s="57" t="s">
        <v>471</v>
      </c>
      <c r="H154" s="32" t="s">
        <v>847</v>
      </c>
      <c r="I154" s="55"/>
      <c r="J154" s="61" t="s">
        <v>458</v>
      </c>
      <c r="K154" s="32" t="s">
        <v>904</v>
      </c>
      <c r="L154" s="57" t="s">
        <v>18</v>
      </c>
      <c r="M154" s="32" t="s">
        <v>905</v>
      </c>
    </row>
    <row r="155" spans="1:13" ht="96" x14ac:dyDescent="0.25">
      <c r="A155" s="36" t="s">
        <v>879</v>
      </c>
      <c r="B155" s="58"/>
      <c r="C155" s="58"/>
      <c r="D155" s="36" t="s">
        <v>902</v>
      </c>
      <c r="E155" s="56" t="s">
        <v>12</v>
      </c>
      <c r="F155" s="36" t="s">
        <v>906</v>
      </c>
      <c r="G155" s="57" t="s">
        <v>471</v>
      </c>
      <c r="H155" s="36" t="s">
        <v>847</v>
      </c>
      <c r="I155" s="58"/>
      <c r="J155" s="58"/>
      <c r="K155" s="36" t="s">
        <v>904</v>
      </c>
      <c r="L155" s="56" t="s">
        <v>12</v>
      </c>
      <c r="M155" s="36" t="s">
        <v>907</v>
      </c>
    </row>
    <row r="156" spans="1:13" ht="96" x14ac:dyDescent="0.25">
      <c r="A156" s="32" t="s">
        <v>879</v>
      </c>
      <c r="B156" s="55"/>
      <c r="C156" s="55"/>
      <c r="D156" s="32" t="s">
        <v>902</v>
      </c>
      <c r="E156" s="56" t="s">
        <v>12</v>
      </c>
      <c r="F156" s="32" t="s">
        <v>908</v>
      </c>
      <c r="G156" s="57" t="s">
        <v>471</v>
      </c>
      <c r="H156" s="32" t="s">
        <v>646</v>
      </c>
      <c r="I156" s="55"/>
      <c r="J156" s="55"/>
      <c r="K156" s="32" t="s">
        <v>865</v>
      </c>
      <c r="L156" s="56" t="s">
        <v>12</v>
      </c>
      <c r="M156" s="32" t="s">
        <v>909</v>
      </c>
    </row>
    <row r="157" spans="1:13" ht="96" x14ac:dyDescent="0.25">
      <c r="A157" s="36" t="s">
        <v>879</v>
      </c>
      <c r="B157" s="58"/>
      <c r="C157" s="58"/>
      <c r="D157" s="36" t="s">
        <v>902</v>
      </c>
      <c r="E157" s="59" t="s">
        <v>15</v>
      </c>
      <c r="F157" s="36" t="s">
        <v>910</v>
      </c>
      <c r="G157" s="57" t="s">
        <v>471</v>
      </c>
      <c r="H157" s="36" t="s">
        <v>847</v>
      </c>
      <c r="I157" s="58"/>
      <c r="J157" s="58"/>
      <c r="K157" s="36" t="s">
        <v>904</v>
      </c>
      <c r="L157" s="59" t="s">
        <v>15</v>
      </c>
      <c r="M157" s="36" t="s">
        <v>911</v>
      </c>
    </row>
    <row r="158" spans="1:13" ht="96" x14ac:dyDescent="0.25">
      <c r="A158" s="32" t="s">
        <v>879</v>
      </c>
      <c r="B158" s="55"/>
      <c r="C158" s="55"/>
      <c r="D158" s="32" t="s">
        <v>902</v>
      </c>
      <c r="E158" s="59" t="s">
        <v>15</v>
      </c>
      <c r="F158" s="32" t="s">
        <v>912</v>
      </c>
      <c r="G158" s="57" t="s">
        <v>471</v>
      </c>
      <c r="H158" s="32" t="s">
        <v>847</v>
      </c>
      <c r="I158" s="55"/>
      <c r="J158" s="55"/>
      <c r="K158" s="32" t="s">
        <v>904</v>
      </c>
      <c r="L158" s="59" t="s">
        <v>15</v>
      </c>
      <c r="M158" s="32" t="s">
        <v>913</v>
      </c>
    </row>
    <row r="159" spans="1:13" ht="96" x14ac:dyDescent="0.25">
      <c r="A159" s="36" t="s">
        <v>879</v>
      </c>
      <c r="B159" s="58"/>
      <c r="C159" s="58"/>
      <c r="D159" s="36" t="s">
        <v>914</v>
      </c>
      <c r="E159" s="57" t="s">
        <v>18</v>
      </c>
      <c r="F159" s="36" t="s">
        <v>915</v>
      </c>
      <c r="G159" s="57" t="s">
        <v>471</v>
      </c>
      <c r="H159" s="36" t="s">
        <v>847</v>
      </c>
      <c r="I159" s="58"/>
      <c r="J159" s="58"/>
      <c r="K159" s="36" t="s">
        <v>916</v>
      </c>
      <c r="L159" s="57" t="s">
        <v>18</v>
      </c>
      <c r="M159" s="36" t="s">
        <v>917</v>
      </c>
    </row>
    <row r="160" spans="1:13" ht="96" x14ac:dyDescent="0.25">
      <c r="A160" s="32" t="s">
        <v>879</v>
      </c>
      <c r="B160" s="55"/>
      <c r="C160" s="55"/>
      <c r="D160" s="32" t="s">
        <v>914</v>
      </c>
      <c r="E160" s="56" t="s">
        <v>12</v>
      </c>
      <c r="F160" s="32" t="s">
        <v>918</v>
      </c>
      <c r="G160" s="60" t="s">
        <v>477</v>
      </c>
      <c r="H160" s="55"/>
      <c r="I160" s="55"/>
      <c r="J160" s="55"/>
      <c r="K160" s="55"/>
      <c r="L160" s="55"/>
      <c r="M160" s="55"/>
    </row>
    <row r="161" spans="1:13" ht="120" x14ac:dyDescent="0.25">
      <c r="A161" s="36" t="s">
        <v>879</v>
      </c>
      <c r="B161" s="58"/>
      <c r="C161" s="58"/>
      <c r="D161" s="36" t="s">
        <v>919</v>
      </c>
      <c r="E161" s="56" t="s">
        <v>12</v>
      </c>
      <c r="F161" s="36" t="s">
        <v>920</v>
      </c>
      <c r="G161" s="57" t="s">
        <v>471</v>
      </c>
      <c r="H161" s="36" t="s">
        <v>539</v>
      </c>
      <c r="I161" s="58"/>
      <c r="J161" s="58"/>
      <c r="K161" s="36" t="s">
        <v>921</v>
      </c>
      <c r="L161" s="56" t="s">
        <v>12</v>
      </c>
      <c r="M161" s="36" t="s">
        <v>922</v>
      </c>
    </row>
    <row r="162" spans="1:13" ht="120" x14ac:dyDescent="0.25">
      <c r="A162" s="32" t="s">
        <v>879</v>
      </c>
      <c r="B162" s="55"/>
      <c r="C162" s="55"/>
      <c r="D162" s="32" t="s">
        <v>919</v>
      </c>
      <c r="E162" s="56" t="s">
        <v>12</v>
      </c>
      <c r="F162" s="32" t="s">
        <v>923</v>
      </c>
      <c r="G162" s="57" t="s">
        <v>471</v>
      </c>
      <c r="H162" s="32" t="s">
        <v>539</v>
      </c>
      <c r="I162" s="55"/>
      <c r="J162" s="55"/>
      <c r="K162" s="32" t="s">
        <v>924</v>
      </c>
      <c r="L162" s="56" t="s">
        <v>12</v>
      </c>
      <c r="M162" s="32" t="s">
        <v>925</v>
      </c>
    </row>
    <row r="163" spans="1:13" ht="120" x14ac:dyDescent="0.25">
      <c r="A163" s="36" t="s">
        <v>879</v>
      </c>
      <c r="B163" s="58"/>
      <c r="C163" s="58"/>
      <c r="D163" s="36" t="s">
        <v>919</v>
      </c>
      <c r="E163" s="59" t="s">
        <v>15</v>
      </c>
      <c r="F163" s="36" t="s">
        <v>926</v>
      </c>
      <c r="G163" s="57" t="s">
        <v>471</v>
      </c>
      <c r="H163" s="36" t="s">
        <v>539</v>
      </c>
      <c r="I163" s="58"/>
      <c r="J163" s="58"/>
      <c r="K163" s="36" t="s">
        <v>921</v>
      </c>
      <c r="L163" s="59" t="s">
        <v>15</v>
      </c>
      <c r="M163" s="36" t="s">
        <v>927</v>
      </c>
    </row>
    <row r="164" spans="1:13" ht="120" x14ac:dyDescent="0.25">
      <c r="A164" s="32" t="s">
        <v>879</v>
      </c>
      <c r="B164" s="55"/>
      <c r="C164" s="55"/>
      <c r="D164" s="32" t="s">
        <v>919</v>
      </c>
      <c r="E164" s="59" t="s">
        <v>15</v>
      </c>
      <c r="F164" s="32" t="s">
        <v>928</v>
      </c>
      <c r="G164" s="57" t="s">
        <v>471</v>
      </c>
      <c r="H164" s="32" t="s">
        <v>539</v>
      </c>
      <c r="I164" s="55"/>
      <c r="J164" s="55"/>
      <c r="K164" s="32" t="s">
        <v>924</v>
      </c>
      <c r="L164" s="59" t="s">
        <v>15</v>
      </c>
      <c r="M164" s="32" t="s">
        <v>929</v>
      </c>
    </row>
    <row r="165" spans="1:13" ht="120" x14ac:dyDescent="0.25">
      <c r="A165" s="36" t="s">
        <v>930</v>
      </c>
      <c r="B165" s="58"/>
      <c r="C165" s="61" t="s">
        <v>458</v>
      </c>
      <c r="D165" s="36" t="s">
        <v>931</v>
      </c>
      <c r="E165" s="57" t="s">
        <v>18</v>
      </c>
      <c r="F165" s="36" t="s">
        <v>932</v>
      </c>
      <c r="G165" s="57" t="s">
        <v>471</v>
      </c>
      <c r="H165" s="36" t="s">
        <v>753</v>
      </c>
      <c r="I165" s="58"/>
      <c r="J165" s="61" t="s">
        <v>458</v>
      </c>
      <c r="K165" s="36" t="s">
        <v>933</v>
      </c>
      <c r="L165" s="57" t="s">
        <v>18</v>
      </c>
      <c r="M165" s="36" t="s">
        <v>934</v>
      </c>
    </row>
    <row r="166" spans="1:13" ht="120" x14ac:dyDescent="0.25">
      <c r="A166" s="32" t="s">
        <v>930</v>
      </c>
      <c r="B166" s="55"/>
      <c r="C166" s="61" t="s">
        <v>458</v>
      </c>
      <c r="D166" s="32" t="s">
        <v>931</v>
      </c>
      <c r="E166" s="57" t="s">
        <v>18</v>
      </c>
      <c r="F166" s="32" t="s">
        <v>935</v>
      </c>
      <c r="G166" s="57" t="s">
        <v>471</v>
      </c>
      <c r="H166" s="32" t="s">
        <v>753</v>
      </c>
      <c r="I166" s="55"/>
      <c r="J166" s="61" t="s">
        <v>458</v>
      </c>
      <c r="K166" s="32" t="s">
        <v>933</v>
      </c>
      <c r="L166" s="57" t="s">
        <v>18</v>
      </c>
      <c r="M166" s="32" t="s">
        <v>936</v>
      </c>
    </row>
    <row r="167" spans="1:13" ht="120" x14ac:dyDescent="0.25">
      <c r="A167" s="36" t="s">
        <v>930</v>
      </c>
      <c r="B167" s="58"/>
      <c r="C167" s="61" t="s">
        <v>458</v>
      </c>
      <c r="D167" s="36" t="s">
        <v>931</v>
      </c>
      <c r="E167" s="56" t="s">
        <v>12</v>
      </c>
      <c r="F167" s="36" t="s">
        <v>937</v>
      </c>
      <c r="G167" s="57" t="s">
        <v>471</v>
      </c>
      <c r="H167" s="36" t="s">
        <v>753</v>
      </c>
      <c r="I167" s="58"/>
      <c r="J167" s="61" t="s">
        <v>458</v>
      </c>
      <c r="K167" s="36" t="s">
        <v>933</v>
      </c>
      <c r="L167" s="56" t="s">
        <v>12</v>
      </c>
      <c r="M167" s="36" t="s">
        <v>938</v>
      </c>
    </row>
    <row r="168" spans="1:13" ht="120" x14ac:dyDescent="0.25">
      <c r="A168" s="32" t="s">
        <v>930</v>
      </c>
      <c r="B168" s="55"/>
      <c r="C168" s="61" t="s">
        <v>458</v>
      </c>
      <c r="D168" s="32" t="s">
        <v>931</v>
      </c>
      <c r="E168" s="56" t="s">
        <v>12</v>
      </c>
      <c r="F168" s="32" t="s">
        <v>939</v>
      </c>
      <c r="G168" s="57" t="s">
        <v>471</v>
      </c>
      <c r="H168" s="32" t="s">
        <v>753</v>
      </c>
      <c r="I168" s="55"/>
      <c r="J168" s="61" t="s">
        <v>458</v>
      </c>
      <c r="K168" s="32" t="s">
        <v>933</v>
      </c>
      <c r="L168" s="56" t="s">
        <v>12</v>
      </c>
      <c r="M168" s="32" t="s">
        <v>940</v>
      </c>
    </row>
    <row r="169" spans="1:13" ht="120" x14ac:dyDescent="0.25">
      <c r="A169" s="36" t="s">
        <v>930</v>
      </c>
      <c r="B169" s="58"/>
      <c r="C169" s="58"/>
      <c r="D169" s="36" t="s">
        <v>931</v>
      </c>
      <c r="E169" s="59" t="s">
        <v>15</v>
      </c>
      <c r="F169" s="36" t="s">
        <v>941</v>
      </c>
      <c r="G169" s="57" t="s">
        <v>471</v>
      </c>
      <c r="H169" s="36" t="s">
        <v>753</v>
      </c>
      <c r="I169" s="58"/>
      <c r="J169" s="58"/>
      <c r="K169" s="36" t="s">
        <v>933</v>
      </c>
      <c r="L169" s="59" t="s">
        <v>15</v>
      </c>
      <c r="M169" s="36" t="s">
        <v>942</v>
      </c>
    </row>
    <row r="170" spans="1:13" ht="120" x14ac:dyDescent="0.25">
      <c r="A170" s="32" t="s">
        <v>930</v>
      </c>
      <c r="B170" s="55"/>
      <c r="C170" s="55"/>
      <c r="D170" s="32" t="s">
        <v>931</v>
      </c>
      <c r="E170" s="59" t="s">
        <v>15</v>
      </c>
      <c r="F170" s="32" t="s">
        <v>943</v>
      </c>
      <c r="G170" s="57" t="s">
        <v>471</v>
      </c>
      <c r="H170" s="32" t="s">
        <v>753</v>
      </c>
      <c r="I170" s="55"/>
      <c r="J170" s="55"/>
      <c r="K170" s="32" t="s">
        <v>933</v>
      </c>
      <c r="L170" s="59" t="s">
        <v>15</v>
      </c>
      <c r="M170" s="32" t="s">
        <v>944</v>
      </c>
    </row>
    <row r="171" spans="1:13" ht="84" x14ac:dyDescent="0.25">
      <c r="A171" s="36" t="s">
        <v>930</v>
      </c>
      <c r="B171" s="58"/>
      <c r="C171" s="58"/>
      <c r="D171" s="36" t="s">
        <v>931</v>
      </c>
      <c r="E171" s="59" t="s">
        <v>15</v>
      </c>
      <c r="F171" s="36" t="s">
        <v>945</v>
      </c>
      <c r="G171" s="57" t="s">
        <v>471</v>
      </c>
      <c r="H171" s="36" t="s">
        <v>646</v>
      </c>
      <c r="I171" s="58"/>
      <c r="J171" s="58"/>
      <c r="K171" s="36" t="s">
        <v>946</v>
      </c>
      <c r="L171" s="59" t="s">
        <v>15</v>
      </c>
      <c r="M171" s="36" t="s">
        <v>947</v>
      </c>
    </row>
    <row r="172" spans="1:13" ht="84" x14ac:dyDescent="0.25">
      <c r="A172" s="32" t="s">
        <v>930</v>
      </c>
      <c r="B172" s="55"/>
      <c r="C172" s="55"/>
      <c r="D172" s="32" t="s">
        <v>931</v>
      </c>
      <c r="E172" s="59" t="s">
        <v>15</v>
      </c>
      <c r="F172" s="32" t="s">
        <v>948</v>
      </c>
      <c r="G172" s="57" t="s">
        <v>471</v>
      </c>
      <c r="H172" s="32" t="s">
        <v>847</v>
      </c>
      <c r="I172" s="55"/>
      <c r="J172" s="55"/>
      <c r="K172" s="32" t="s">
        <v>916</v>
      </c>
      <c r="L172" s="59" t="s">
        <v>15</v>
      </c>
      <c r="M172" s="32" t="s">
        <v>949</v>
      </c>
    </row>
    <row r="173" spans="1:13" ht="84" x14ac:dyDescent="0.25">
      <c r="A173" s="36" t="s">
        <v>930</v>
      </c>
      <c r="B173" s="58"/>
      <c r="C173" s="58"/>
      <c r="D173" s="36" t="s">
        <v>931</v>
      </c>
      <c r="E173" s="59" t="s">
        <v>15</v>
      </c>
      <c r="F173" s="36" t="s">
        <v>950</v>
      </c>
      <c r="G173" s="57" t="s">
        <v>471</v>
      </c>
      <c r="H173" s="36" t="s">
        <v>847</v>
      </c>
      <c r="I173" s="58"/>
      <c r="J173" s="58"/>
      <c r="K173" s="36" t="s">
        <v>916</v>
      </c>
      <c r="L173" s="59" t="s">
        <v>15</v>
      </c>
      <c r="M173" s="36" t="s">
        <v>951</v>
      </c>
    </row>
    <row r="174" spans="1:13" ht="120" x14ac:dyDescent="0.25">
      <c r="A174" s="32" t="s">
        <v>930</v>
      </c>
      <c r="B174" s="55"/>
      <c r="C174" s="55"/>
      <c r="D174" s="32" t="s">
        <v>952</v>
      </c>
      <c r="E174" s="56" t="s">
        <v>12</v>
      </c>
      <c r="F174" s="32" t="s">
        <v>953</v>
      </c>
      <c r="G174" s="57" t="s">
        <v>471</v>
      </c>
      <c r="H174" s="32" t="s">
        <v>539</v>
      </c>
      <c r="I174" s="55"/>
      <c r="J174" s="55"/>
      <c r="K174" s="32" t="s">
        <v>954</v>
      </c>
      <c r="L174" s="56" t="s">
        <v>12</v>
      </c>
      <c r="M174" s="32" t="s">
        <v>955</v>
      </c>
    </row>
    <row r="175" spans="1:13" ht="120" x14ac:dyDescent="0.25">
      <c r="A175" s="36" t="s">
        <v>930</v>
      </c>
      <c r="B175" s="58"/>
      <c r="C175" s="58"/>
      <c r="D175" s="36" t="s">
        <v>952</v>
      </c>
      <c r="E175" s="59" t="s">
        <v>15</v>
      </c>
      <c r="F175" s="36" t="s">
        <v>956</v>
      </c>
      <c r="G175" s="57" t="s">
        <v>471</v>
      </c>
      <c r="H175" s="36" t="s">
        <v>539</v>
      </c>
      <c r="I175" s="58"/>
      <c r="J175" s="58"/>
      <c r="K175" s="36" t="s">
        <v>954</v>
      </c>
      <c r="L175" s="59" t="s">
        <v>15</v>
      </c>
      <c r="M175" s="36" t="s">
        <v>957</v>
      </c>
    </row>
    <row r="176" spans="1:13" ht="84" x14ac:dyDescent="0.25">
      <c r="A176" s="32" t="s">
        <v>930</v>
      </c>
      <c r="B176" s="55"/>
      <c r="C176" s="55"/>
      <c r="D176" s="32" t="s">
        <v>958</v>
      </c>
      <c r="E176" s="59" t="s">
        <v>15</v>
      </c>
      <c r="F176" s="32" t="s">
        <v>959</v>
      </c>
      <c r="G176" s="60" t="s">
        <v>477</v>
      </c>
      <c r="H176" s="55"/>
      <c r="I176" s="55"/>
      <c r="J176" s="55"/>
      <c r="K176" s="55"/>
      <c r="L176" s="55"/>
      <c r="M176" s="55"/>
    </row>
    <row r="177" spans="1:13" ht="84" x14ac:dyDescent="0.25">
      <c r="A177" s="36" t="s">
        <v>930</v>
      </c>
      <c r="B177" s="36" t="s">
        <v>501</v>
      </c>
      <c r="C177" s="58"/>
      <c r="D177" s="36" t="s">
        <v>960</v>
      </c>
      <c r="E177" s="56" t="s">
        <v>12</v>
      </c>
      <c r="F177" s="36" t="s">
        <v>961</v>
      </c>
      <c r="G177" s="57" t="s">
        <v>471</v>
      </c>
      <c r="H177" s="36" t="s">
        <v>646</v>
      </c>
      <c r="I177" s="58"/>
      <c r="J177" s="58"/>
      <c r="K177" s="36" t="s">
        <v>865</v>
      </c>
      <c r="L177" s="56" t="s">
        <v>12</v>
      </c>
      <c r="M177" s="36" t="s">
        <v>962</v>
      </c>
    </row>
    <row r="178" spans="1:13" ht="72" x14ac:dyDescent="0.25">
      <c r="A178" s="32" t="s">
        <v>963</v>
      </c>
      <c r="B178" s="55"/>
      <c r="C178" s="55"/>
      <c r="D178" s="32" t="s">
        <v>964</v>
      </c>
      <c r="E178" s="57" t="s">
        <v>18</v>
      </c>
      <c r="F178" s="32" t="s">
        <v>965</v>
      </c>
      <c r="G178" s="57" t="s">
        <v>471</v>
      </c>
      <c r="H178" s="32" t="s">
        <v>684</v>
      </c>
      <c r="I178" s="55"/>
      <c r="J178" s="55"/>
      <c r="K178" s="32" t="s">
        <v>966</v>
      </c>
      <c r="L178" s="57" t="s">
        <v>18</v>
      </c>
      <c r="M178" s="32" t="s">
        <v>967</v>
      </c>
    </row>
    <row r="179" spans="1:13" ht="72" x14ac:dyDescent="0.25">
      <c r="A179" s="36" t="s">
        <v>963</v>
      </c>
      <c r="B179" s="58"/>
      <c r="C179" s="61" t="s">
        <v>458</v>
      </c>
      <c r="D179" s="36" t="s">
        <v>964</v>
      </c>
      <c r="E179" s="57" t="s">
        <v>18</v>
      </c>
      <c r="F179" s="36" t="s">
        <v>968</v>
      </c>
      <c r="G179" s="57" t="s">
        <v>471</v>
      </c>
      <c r="H179" s="36" t="s">
        <v>684</v>
      </c>
      <c r="I179" s="58"/>
      <c r="J179" s="61" t="s">
        <v>458</v>
      </c>
      <c r="K179" s="36" t="s">
        <v>969</v>
      </c>
      <c r="L179" s="57" t="s">
        <v>18</v>
      </c>
      <c r="M179" s="36" t="s">
        <v>970</v>
      </c>
    </row>
    <row r="180" spans="1:13" ht="72" x14ac:dyDescent="0.25">
      <c r="A180" s="32" t="s">
        <v>963</v>
      </c>
      <c r="B180" s="55"/>
      <c r="C180" s="61" t="s">
        <v>458</v>
      </c>
      <c r="D180" s="32" t="s">
        <v>964</v>
      </c>
      <c r="E180" s="56" t="s">
        <v>12</v>
      </c>
      <c r="F180" s="32" t="s">
        <v>971</v>
      </c>
      <c r="G180" s="57" t="s">
        <v>471</v>
      </c>
      <c r="H180" s="32" t="s">
        <v>684</v>
      </c>
      <c r="I180" s="55"/>
      <c r="J180" s="61" t="s">
        <v>458</v>
      </c>
      <c r="K180" s="32" t="s">
        <v>966</v>
      </c>
      <c r="L180" s="56" t="s">
        <v>12</v>
      </c>
      <c r="M180" s="32" t="s">
        <v>972</v>
      </c>
    </row>
    <row r="181" spans="1:13" ht="72" x14ac:dyDescent="0.25">
      <c r="A181" s="36" t="s">
        <v>963</v>
      </c>
      <c r="B181" s="58"/>
      <c r="C181" s="58"/>
      <c r="D181" s="36" t="s">
        <v>964</v>
      </c>
      <c r="E181" s="59" t="s">
        <v>15</v>
      </c>
      <c r="F181" s="36" t="s">
        <v>973</v>
      </c>
      <c r="G181" s="57" t="s">
        <v>471</v>
      </c>
      <c r="H181" s="36" t="s">
        <v>684</v>
      </c>
      <c r="I181" s="58"/>
      <c r="J181" s="58"/>
      <c r="K181" s="36" t="s">
        <v>966</v>
      </c>
      <c r="L181" s="59" t="s">
        <v>15</v>
      </c>
      <c r="M181" s="36" t="s">
        <v>974</v>
      </c>
    </row>
    <row r="182" spans="1:13" ht="72" x14ac:dyDescent="0.25">
      <c r="A182" s="32" t="s">
        <v>963</v>
      </c>
      <c r="B182" s="55"/>
      <c r="C182" s="55"/>
      <c r="D182" s="32" t="s">
        <v>975</v>
      </c>
      <c r="E182" s="56" t="s">
        <v>12</v>
      </c>
      <c r="F182" s="32" t="s">
        <v>976</v>
      </c>
      <c r="G182" s="57" t="s">
        <v>471</v>
      </c>
      <c r="H182" s="32" t="s">
        <v>684</v>
      </c>
      <c r="I182" s="55"/>
      <c r="J182" s="55"/>
      <c r="K182" s="32" t="s">
        <v>977</v>
      </c>
      <c r="L182" s="56" t="s">
        <v>12</v>
      </c>
      <c r="M182" s="32" t="s">
        <v>978</v>
      </c>
    </row>
    <row r="183" spans="1:13" ht="72" x14ac:dyDescent="0.25">
      <c r="A183" s="36" t="s">
        <v>963</v>
      </c>
      <c r="B183" s="58"/>
      <c r="C183" s="58"/>
      <c r="D183" s="36" t="s">
        <v>975</v>
      </c>
      <c r="E183" s="59" t="s">
        <v>15</v>
      </c>
      <c r="F183" s="36" t="s">
        <v>979</v>
      </c>
      <c r="G183" s="57" t="s">
        <v>471</v>
      </c>
      <c r="H183" s="36" t="s">
        <v>684</v>
      </c>
      <c r="I183" s="58"/>
      <c r="J183" s="58"/>
      <c r="K183" s="36" t="s">
        <v>977</v>
      </c>
      <c r="L183" s="59" t="s">
        <v>15</v>
      </c>
      <c r="M183" s="36" t="s">
        <v>980</v>
      </c>
    </row>
    <row r="184" spans="1:13" ht="72" x14ac:dyDescent="0.25">
      <c r="A184" s="32" t="s">
        <v>963</v>
      </c>
      <c r="B184" s="55"/>
      <c r="C184" s="55"/>
      <c r="D184" s="32" t="s">
        <v>981</v>
      </c>
      <c r="E184" s="57" t="s">
        <v>18</v>
      </c>
      <c r="F184" s="32" t="s">
        <v>982</v>
      </c>
      <c r="G184" s="57" t="s">
        <v>471</v>
      </c>
      <c r="H184" s="32" t="s">
        <v>684</v>
      </c>
      <c r="I184" s="55"/>
      <c r="J184" s="55"/>
      <c r="K184" s="32" t="s">
        <v>896</v>
      </c>
      <c r="L184" s="57" t="s">
        <v>18</v>
      </c>
      <c r="M184" s="32" t="s">
        <v>983</v>
      </c>
    </row>
    <row r="185" spans="1:13" ht="72" x14ac:dyDescent="0.25">
      <c r="A185" s="36" t="s">
        <v>963</v>
      </c>
      <c r="B185" s="58"/>
      <c r="C185" s="58"/>
      <c r="D185" s="36" t="s">
        <v>981</v>
      </c>
      <c r="E185" s="56" t="s">
        <v>12</v>
      </c>
      <c r="F185" s="36" t="s">
        <v>984</v>
      </c>
      <c r="G185" s="57" t="s">
        <v>471</v>
      </c>
      <c r="H185" s="36" t="s">
        <v>684</v>
      </c>
      <c r="I185" s="58"/>
      <c r="J185" s="58"/>
      <c r="K185" s="36" t="s">
        <v>896</v>
      </c>
      <c r="L185" s="56" t="s">
        <v>12</v>
      </c>
      <c r="M185" s="36" t="s">
        <v>985</v>
      </c>
    </row>
    <row r="186" spans="1:13" ht="72" x14ac:dyDescent="0.25">
      <c r="A186" s="32" t="s">
        <v>963</v>
      </c>
      <c r="B186" s="55"/>
      <c r="C186" s="55"/>
      <c r="D186" s="32" t="s">
        <v>986</v>
      </c>
      <c r="E186" s="56" t="s">
        <v>12</v>
      </c>
      <c r="F186" s="32" t="s">
        <v>987</v>
      </c>
      <c r="G186" s="57" t="s">
        <v>471</v>
      </c>
      <c r="H186" s="32" t="s">
        <v>684</v>
      </c>
      <c r="I186" s="55"/>
      <c r="J186" s="55"/>
      <c r="K186" s="32" t="s">
        <v>988</v>
      </c>
      <c r="L186" s="56" t="s">
        <v>12</v>
      </c>
      <c r="M186" s="32" t="s">
        <v>989</v>
      </c>
    </row>
    <row r="187" spans="1:13" ht="72" x14ac:dyDescent="0.25">
      <c r="A187" s="36" t="s">
        <v>963</v>
      </c>
      <c r="B187" s="58"/>
      <c r="C187" s="58"/>
      <c r="D187" s="36" t="s">
        <v>986</v>
      </c>
      <c r="E187" s="56" t="s">
        <v>12</v>
      </c>
      <c r="F187" s="36" t="s">
        <v>990</v>
      </c>
      <c r="G187" s="57" t="s">
        <v>471</v>
      </c>
      <c r="H187" s="36" t="s">
        <v>684</v>
      </c>
      <c r="I187" s="58"/>
      <c r="J187" s="58"/>
      <c r="K187" s="36" t="s">
        <v>988</v>
      </c>
      <c r="L187" s="56" t="s">
        <v>12</v>
      </c>
      <c r="M187" s="36" t="s">
        <v>991</v>
      </c>
    </row>
    <row r="188" spans="1:13" ht="72" x14ac:dyDescent="0.25">
      <c r="A188" s="32" t="s">
        <v>963</v>
      </c>
      <c r="B188" s="55"/>
      <c r="C188" s="55"/>
      <c r="D188" s="32" t="s">
        <v>992</v>
      </c>
      <c r="E188" s="56" t="s">
        <v>12</v>
      </c>
      <c r="F188" s="32" t="s">
        <v>993</v>
      </c>
      <c r="G188" s="57" t="s">
        <v>471</v>
      </c>
      <c r="H188" s="32" t="s">
        <v>684</v>
      </c>
      <c r="I188" s="55"/>
      <c r="J188" s="55"/>
      <c r="K188" s="32" t="s">
        <v>994</v>
      </c>
      <c r="L188" s="56" t="s">
        <v>12</v>
      </c>
      <c r="M188" s="32" t="s">
        <v>995</v>
      </c>
    </row>
    <row r="189" spans="1:13" ht="72" x14ac:dyDescent="0.25">
      <c r="A189" s="36" t="s">
        <v>963</v>
      </c>
      <c r="B189" s="58"/>
      <c r="C189" s="58"/>
      <c r="D189" s="36" t="s">
        <v>992</v>
      </c>
      <c r="E189" s="59" t="s">
        <v>15</v>
      </c>
      <c r="F189" s="36" t="s">
        <v>996</v>
      </c>
      <c r="G189" s="57" t="s">
        <v>471</v>
      </c>
      <c r="H189" s="36" t="s">
        <v>646</v>
      </c>
      <c r="I189" s="58"/>
      <c r="J189" s="58"/>
      <c r="K189" s="36" t="s">
        <v>997</v>
      </c>
      <c r="L189" s="59" t="s">
        <v>15</v>
      </c>
      <c r="M189" s="36" t="s">
        <v>998</v>
      </c>
    </row>
    <row r="190" spans="1:13" ht="72" x14ac:dyDescent="0.25">
      <c r="A190" s="32" t="s">
        <v>963</v>
      </c>
      <c r="B190" s="55"/>
      <c r="C190" s="55"/>
      <c r="D190" s="32" t="s">
        <v>992</v>
      </c>
      <c r="E190" s="59" t="s">
        <v>15</v>
      </c>
      <c r="F190" s="32" t="s">
        <v>999</v>
      </c>
      <c r="G190" s="57" t="s">
        <v>471</v>
      </c>
      <c r="H190" s="32" t="s">
        <v>646</v>
      </c>
      <c r="I190" s="55"/>
      <c r="J190" s="55"/>
      <c r="K190" s="32" t="s">
        <v>997</v>
      </c>
      <c r="L190" s="59" t="s">
        <v>15</v>
      </c>
      <c r="M190" s="32" t="s">
        <v>1000</v>
      </c>
    </row>
    <row r="191" spans="1:13" ht="72" x14ac:dyDescent="0.25">
      <c r="A191" s="36" t="s">
        <v>963</v>
      </c>
      <c r="B191" s="58"/>
      <c r="C191" s="58"/>
      <c r="D191" s="36" t="s">
        <v>992</v>
      </c>
      <c r="E191" s="59" t="s">
        <v>15</v>
      </c>
      <c r="F191" s="36" t="s">
        <v>1001</v>
      </c>
      <c r="G191" s="57" t="s">
        <v>471</v>
      </c>
      <c r="H191" s="36" t="s">
        <v>684</v>
      </c>
      <c r="I191" s="58"/>
      <c r="J191" s="58"/>
      <c r="K191" s="36" t="s">
        <v>969</v>
      </c>
      <c r="L191" s="59" t="s">
        <v>15</v>
      </c>
      <c r="M191" s="36" t="s">
        <v>1002</v>
      </c>
    </row>
    <row r="192" spans="1:13" ht="72" x14ac:dyDescent="0.25">
      <c r="A192" s="32" t="s">
        <v>1003</v>
      </c>
      <c r="B192" s="55"/>
      <c r="C192" s="55"/>
      <c r="D192" s="32" t="s">
        <v>1004</v>
      </c>
      <c r="E192" s="56" t="s">
        <v>12</v>
      </c>
      <c r="F192" s="32" t="s">
        <v>1005</v>
      </c>
      <c r="G192" s="57" t="s">
        <v>471</v>
      </c>
      <c r="H192" s="32" t="s">
        <v>1006</v>
      </c>
      <c r="I192" s="55"/>
      <c r="J192" s="55"/>
      <c r="K192" s="32" t="s">
        <v>1007</v>
      </c>
      <c r="L192" s="56" t="s">
        <v>12</v>
      </c>
      <c r="M192" s="32" t="s">
        <v>1008</v>
      </c>
    </row>
    <row r="193" spans="1:13" ht="72" x14ac:dyDescent="0.25">
      <c r="A193" s="36" t="s">
        <v>1003</v>
      </c>
      <c r="B193" s="58"/>
      <c r="C193" s="58"/>
      <c r="D193" s="36" t="s">
        <v>1004</v>
      </c>
      <c r="E193" s="59" t="s">
        <v>15</v>
      </c>
      <c r="F193" s="36" t="s">
        <v>1009</v>
      </c>
      <c r="G193" s="57" t="s">
        <v>471</v>
      </c>
      <c r="H193" s="36" t="s">
        <v>1006</v>
      </c>
      <c r="I193" s="58"/>
      <c r="J193" s="58"/>
      <c r="K193" s="36" t="s">
        <v>1007</v>
      </c>
      <c r="L193" s="59" t="s">
        <v>15</v>
      </c>
      <c r="M193" s="36" t="s">
        <v>1010</v>
      </c>
    </row>
    <row r="194" spans="1:13" ht="72" x14ac:dyDescent="0.25">
      <c r="A194" s="32" t="s">
        <v>1003</v>
      </c>
      <c r="B194" s="55"/>
      <c r="C194" s="61" t="s">
        <v>458</v>
      </c>
      <c r="D194" s="32" t="s">
        <v>1011</v>
      </c>
      <c r="E194" s="57" t="s">
        <v>18</v>
      </c>
      <c r="F194" s="32" t="s">
        <v>1012</v>
      </c>
      <c r="G194" s="57" t="s">
        <v>471</v>
      </c>
      <c r="H194" s="32" t="s">
        <v>1006</v>
      </c>
      <c r="I194" s="55"/>
      <c r="J194" s="61" t="s">
        <v>458</v>
      </c>
      <c r="K194" s="32" t="s">
        <v>1013</v>
      </c>
      <c r="L194" s="57" t="s">
        <v>18</v>
      </c>
      <c r="M194" s="32" t="s">
        <v>1014</v>
      </c>
    </row>
    <row r="195" spans="1:13" ht="72" x14ac:dyDescent="0.25">
      <c r="A195" s="36" t="s">
        <v>1003</v>
      </c>
      <c r="B195" s="58"/>
      <c r="C195" s="58"/>
      <c r="D195" s="36" t="s">
        <v>1011</v>
      </c>
      <c r="E195" s="56" t="s">
        <v>12</v>
      </c>
      <c r="F195" s="36" t="s">
        <v>1015</v>
      </c>
      <c r="G195" s="57" t="s">
        <v>471</v>
      </c>
      <c r="H195" s="36" t="s">
        <v>1006</v>
      </c>
      <c r="I195" s="58"/>
      <c r="J195" s="58"/>
      <c r="K195" s="36" t="s">
        <v>1013</v>
      </c>
      <c r="L195" s="56" t="s">
        <v>12</v>
      </c>
      <c r="M195" s="36" t="s">
        <v>1016</v>
      </c>
    </row>
    <row r="196" spans="1:13" ht="72" x14ac:dyDescent="0.25">
      <c r="A196" s="32" t="s">
        <v>1003</v>
      </c>
      <c r="B196" s="55"/>
      <c r="C196" s="55"/>
      <c r="D196" s="32" t="s">
        <v>1011</v>
      </c>
      <c r="E196" s="59" t="s">
        <v>15</v>
      </c>
      <c r="F196" s="32" t="s">
        <v>1017</v>
      </c>
      <c r="G196" s="57" t="s">
        <v>471</v>
      </c>
      <c r="H196" s="32" t="s">
        <v>1006</v>
      </c>
      <c r="I196" s="55"/>
      <c r="J196" s="55"/>
      <c r="K196" s="32" t="s">
        <v>1013</v>
      </c>
      <c r="L196" s="59" t="s">
        <v>15</v>
      </c>
      <c r="M196" s="32" t="s">
        <v>1018</v>
      </c>
    </row>
    <row r="197" spans="1:13" ht="72" x14ac:dyDescent="0.25">
      <c r="A197" s="36" t="s">
        <v>1003</v>
      </c>
      <c r="B197" s="36" t="s">
        <v>501</v>
      </c>
      <c r="C197" s="58"/>
      <c r="D197" s="36" t="s">
        <v>1019</v>
      </c>
      <c r="E197" s="59" t="s">
        <v>15</v>
      </c>
      <c r="F197" s="36" t="s">
        <v>1020</v>
      </c>
      <c r="G197" s="57" t="s">
        <v>471</v>
      </c>
      <c r="H197" s="36" t="s">
        <v>1006</v>
      </c>
      <c r="I197" s="58"/>
      <c r="J197" s="58"/>
      <c r="K197" s="36" t="s">
        <v>1021</v>
      </c>
      <c r="L197" s="59" t="s">
        <v>15</v>
      </c>
      <c r="M197" s="36" t="s">
        <v>1022</v>
      </c>
    </row>
    <row r="198" spans="1:13" ht="72" x14ac:dyDescent="0.25">
      <c r="A198" s="32" t="s">
        <v>1003</v>
      </c>
      <c r="B198" s="55"/>
      <c r="C198" s="55"/>
      <c r="D198" s="32" t="s">
        <v>1023</v>
      </c>
      <c r="E198" s="56" t="s">
        <v>12</v>
      </c>
      <c r="F198" s="32" t="s">
        <v>1024</v>
      </c>
      <c r="G198" s="57" t="s">
        <v>471</v>
      </c>
      <c r="H198" s="32" t="s">
        <v>741</v>
      </c>
      <c r="I198" s="55"/>
      <c r="J198" s="55"/>
      <c r="K198" s="32" t="s">
        <v>1025</v>
      </c>
      <c r="L198" s="56" t="s">
        <v>12</v>
      </c>
      <c r="M198" s="32" t="s">
        <v>1026</v>
      </c>
    </row>
    <row r="199" spans="1:13" ht="72" x14ac:dyDescent="0.25">
      <c r="A199" s="36" t="s">
        <v>1003</v>
      </c>
      <c r="B199" s="58"/>
      <c r="C199" s="58"/>
      <c r="D199" s="36" t="s">
        <v>1027</v>
      </c>
      <c r="E199" s="56" t="s">
        <v>12</v>
      </c>
      <c r="F199" s="36" t="s">
        <v>1028</v>
      </c>
      <c r="G199" s="57" t="s">
        <v>471</v>
      </c>
      <c r="H199" s="36" t="s">
        <v>1006</v>
      </c>
      <c r="I199" s="58"/>
      <c r="J199" s="58"/>
      <c r="K199" s="36" t="s">
        <v>1029</v>
      </c>
      <c r="L199" s="56" t="s">
        <v>12</v>
      </c>
      <c r="M199" s="36" t="s">
        <v>1030</v>
      </c>
    </row>
    <row r="200" spans="1:13" ht="60" x14ac:dyDescent="0.25">
      <c r="A200" s="32" t="s">
        <v>1031</v>
      </c>
      <c r="B200" s="55"/>
      <c r="C200" s="55"/>
      <c r="D200" s="32" t="s">
        <v>1032</v>
      </c>
      <c r="E200" s="57" t="s">
        <v>18</v>
      </c>
      <c r="F200" s="32" t="s">
        <v>1033</v>
      </c>
      <c r="G200" s="57" t="s">
        <v>471</v>
      </c>
      <c r="H200" s="32" t="s">
        <v>1034</v>
      </c>
      <c r="I200" s="55"/>
      <c r="J200" s="55"/>
      <c r="K200" s="32" t="s">
        <v>1035</v>
      </c>
      <c r="L200" s="57" t="s">
        <v>18</v>
      </c>
      <c r="M200" s="32" t="s">
        <v>1036</v>
      </c>
    </row>
    <row r="201" spans="1:13" ht="60" x14ac:dyDescent="0.25">
      <c r="A201" s="36" t="s">
        <v>1031</v>
      </c>
      <c r="B201" s="58"/>
      <c r="C201" s="58"/>
      <c r="D201" s="36" t="s">
        <v>1032</v>
      </c>
      <c r="E201" s="56" t="s">
        <v>12</v>
      </c>
      <c r="F201" s="36" t="s">
        <v>1037</v>
      </c>
      <c r="G201" s="57" t="s">
        <v>471</v>
      </c>
      <c r="H201" s="36" t="s">
        <v>822</v>
      </c>
      <c r="I201" s="58"/>
      <c r="J201" s="58"/>
      <c r="K201" s="36" t="s">
        <v>1038</v>
      </c>
      <c r="L201" s="56" t="s">
        <v>12</v>
      </c>
      <c r="M201" s="36" t="s">
        <v>1039</v>
      </c>
    </row>
    <row r="202" spans="1:13" ht="48" x14ac:dyDescent="0.25">
      <c r="A202" s="32" t="s">
        <v>1031</v>
      </c>
      <c r="B202" s="55"/>
      <c r="C202" s="55"/>
      <c r="D202" s="32" t="s">
        <v>1040</v>
      </c>
      <c r="E202" s="56" t="s">
        <v>12</v>
      </c>
      <c r="F202" s="32" t="s">
        <v>1041</v>
      </c>
      <c r="G202" s="57" t="s">
        <v>471</v>
      </c>
      <c r="H202" s="32" t="s">
        <v>710</v>
      </c>
      <c r="I202" s="55"/>
      <c r="J202" s="55"/>
      <c r="K202" s="32" t="s">
        <v>1042</v>
      </c>
      <c r="L202" s="56" t="s">
        <v>12</v>
      </c>
      <c r="M202" s="32" t="s">
        <v>1043</v>
      </c>
    </row>
    <row r="203" spans="1:13" ht="48" x14ac:dyDescent="0.25">
      <c r="A203" s="36" t="s">
        <v>1031</v>
      </c>
      <c r="B203" s="58"/>
      <c r="C203" s="58"/>
      <c r="D203" s="36" t="s">
        <v>1040</v>
      </c>
      <c r="E203" s="59" t="s">
        <v>15</v>
      </c>
      <c r="F203" s="36" t="s">
        <v>1044</v>
      </c>
      <c r="G203" s="57" t="s">
        <v>471</v>
      </c>
      <c r="H203" s="36" t="s">
        <v>710</v>
      </c>
      <c r="I203" s="58"/>
      <c r="J203" s="58"/>
      <c r="K203" s="36" t="s">
        <v>1042</v>
      </c>
      <c r="L203" s="59" t="s">
        <v>15</v>
      </c>
      <c r="M203" s="36" t="s">
        <v>1045</v>
      </c>
    </row>
    <row r="204" spans="1:13" ht="48" x14ac:dyDescent="0.25">
      <c r="A204" s="32" t="s">
        <v>1031</v>
      </c>
      <c r="B204" s="55"/>
      <c r="C204" s="55"/>
      <c r="D204" s="32" t="s">
        <v>1046</v>
      </c>
      <c r="E204" s="56" t="s">
        <v>12</v>
      </c>
      <c r="F204" s="32" t="s">
        <v>1047</v>
      </c>
      <c r="G204" s="57" t="s">
        <v>471</v>
      </c>
      <c r="H204" s="32" t="s">
        <v>710</v>
      </c>
      <c r="I204" s="55"/>
      <c r="J204" s="55"/>
      <c r="K204" s="32" t="s">
        <v>1048</v>
      </c>
      <c r="L204" s="56" t="s">
        <v>12</v>
      </c>
      <c r="M204" s="32" t="s">
        <v>1049</v>
      </c>
    </row>
    <row r="205" spans="1:13" ht="36" x14ac:dyDescent="0.25">
      <c r="A205" s="36" t="s">
        <v>1031</v>
      </c>
      <c r="B205" s="58"/>
      <c r="C205" s="58"/>
      <c r="D205" s="36" t="s">
        <v>1050</v>
      </c>
      <c r="E205" s="56" t="s">
        <v>12</v>
      </c>
      <c r="F205" s="36" t="s">
        <v>1051</v>
      </c>
      <c r="G205" s="60" t="s">
        <v>477</v>
      </c>
      <c r="H205" s="58"/>
      <c r="I205" s="58"/>
      <c r="J205" s="58"/>
      <c r="K205" s="58"/>
      <c r="L205" s="58"/>
      <c r="M205" s="58"/>
    </row>
    <row r="206" spans="1:13" ht="60" x14ac:dyDescent="0.25">
      <c r="A206" s="32" t="s">
        <v>1052</v>
      </c>
      <c r="B206" s="55"/>
      <c r="C206" s="55"/>
      <c r="D206" s="32" t="s">
        <v>1053</v>
      </c>
      <c r="E206" s="59" t="s">
        <v>15</v>
      </c>
      <c r="F206" s="32" t="s">
        <v>1054</v>
      </c>
      <c r="G206" s="57" t="s">
        <v>471</v>
      </c>
      <c r="H206" s="32" t="s">
        <v>710</v>
      </c>
      <c r="I206" s="55"/>
      <c r="J206" s="55"/>
      <c r="K206" s="32" t="s">
        <v>1055</v>
      </c>
      <c r="L206" s="59" t="s">
        <v>15</v>
      </c>
      <c r="M206" s="32" t="s">
        <v>1056</v>
      </c>
    </row>
    <row r="207" spans="1:13" ht="60" x14ac:dyDescent="0.25">
      <c r="A207" s="36" t="s">
        <v>1052</v>
      </c>
      <c r="B207" s="58"/>
      <c r="C207" s="58"/>
      <c r="D207" s="36" t="s">
        <v>1057</v>
      </c>
      <c r="E207" s="59" t="s">
        <v>15</v>
      </c>
      <c r="F207" s="36" t="s">
        <v>1058</v>
      </c>
      <c r="G207" s="57" t="s">
        <v>471</v>
      </c>
      <c r="H207" s="36" t="s">
        <v>710</v>
      </c>
      <c r="I207" s="58"/>
      <c r="J207" s="58"/>
      <c r="K207" s="36" t="s">
        <v>1055</v>
      </c>
      <c r="L207" s="59" t="s">
        <v>15</v>
      </c>
      <c r="M207" s="36" t="s">
        <v>1059</v>
      </c>
    </row>
    <row r="208" spans="1:13" ht="60" x14ac:dyDescent="0.25">
      <c r="A208" s="32" t="s">
        <v>1052</v>
      </c>
      <c r="B208" s="55"/>
      <c r="C208" s="55"/>
      <c r="D208" s="32" t="s">
        <v>1060</v>
      </c>
      <c r="E208" s="59" t="s">
        <v>15</v>
      </c>
      <c r="F208" s="32" t="s">
        <v>1061</v>
      </c>
      <c r="G208" s="60" t="s">
        <v>477</v>
      </c>
      <c r="H208" s="55"/>
      <c r="I208" s="55"/>
      <c r="J208" s="55"/>
      <c r="K208" s="55"/>
      <c r="L208" s="55"/>
      <c r="M208" s="55"/>
    </row>
    <row r="209" spans="1:13" ht="60" x14ac:dyDescent="0.25">
      <c r="A209" s="36" t="s">
        <v>1052</v>
      </c>
      <c r="B209" s="58"/>
      <c r="C209" s="58"/>
      <c r="D209" s="36" t="s">
        <v>1062</v>
      </c>
      <c r="E209" s="59" t="s">
        <v>15</v>
      </c>
      <c r="F209" s="36" t="s">
        <v>1063</v>
      </c>
      <c r="G209" s="60" t="s">
        <v>477</v>
      </c>
      <c r="H209" s="58"/>
      <c r="I209" s="58"/>
      <c r="J209" s="58"/>
      <c r="K209" s="58"/>
      <c r="L209" s="58"/>
      <c r="M209" s="58"/>
    </row>
    <row r="210" spans="1:13" ht="72" x14ac:dyDescent="0.25">
      <c r="A210" s="32" t="s">
        <v>1064</v>
      </c>
      <c r="B210" s="55"/>
      <c r="C210" s="55"/>
      <c r="D210" s="32" t="s">
        <v>1065</v>
      </c>
      <c r="E210" s="57" t="s">
        <v>18</v>
      </c>
      <c r="F210" s="32" t="s">
        <v>1066</v>
      </c>
      <c r="G210" s="57" t="s">
        <v>471</v>
      </c>
      <c r="H210" s="32" t="s">
        <v>822</v>
      </c>
      <c r="I210" s="55"/>
      <c r="J210" s="55"/>
      <c r="K210" s="32" t="s">
        <v>1067</v>
      </c>
      <c r="L210" s="57" t="s">
        <v>18</v>
      </c>
      <c r="M210" s="32" t="s">
        <v>1068</v>
      </c>
    </row>
    <row r="211" spans="1:13" ht="72" x14ac:dyDescent="0.25">
      <c r="A211" s="36" t="s">
        <v>1064</v>
      </c>
      <c r="B211" s="58"/>
      <c r="C211" s="61" t="s">
        <v>458</v>
      </c>
      <c r="D211" s="36" t="s">
        <v>1065</v>
      </c>
      <c r="E211" s="56" t="s">
        <v>12</v>
      </c>
      <c r="F211" s="36" t="s">
        <v>1069</v>
      </c>
      <c r="G211" s="57" t="s">
        <v>471</v>
      </c>
      <c r="H211" s="36" t="s">
        <v>822</v>
      </c>
      <c r="I211" s="58"/>
      <c r="J211" s="58"/>
      <c r="K211" s="36" t="s">
        <v>1067</v>
      </c>
      <c r="L211" s="56" t="s">
        <v>12</v>
      </c>
      <c r="M211" s="36" t="s">
        <v>1070</v>
      </c>
    </row>
    <row r="212" spans="1:13" ht="48" x14ac:dyDescent="0.25">
      <c r="A212" s="32" t="s">
        <v>1071</v>
      </c>
      <c r="B212" s="55"/>
      <c r="C212" s="55"/>
      <c r="D212" s="32" t="s">
        <v>1072</v>
      </c>
      <c r="E212" s="56" t="s">
        <v>12</v>
      </c>
      <c r="F212" s="32" t="s">
        <v>1073</v>
      </c>
      <c r="G212" s="57" t="s">
        <v>471</v>
      </c>
      <c r="H212" s="32" t="s">
        <v>1074</v>
      </c>
      <c r="I212" s="55"/>
      <c r="J212" s="55"/>
      <c r="K212" s="32" t="s">
        <v>1075</v>
      </c>
      <c r="L212" s="56" t="s">
        <v>12</v>
      </c>
      <c r="M212" s="32" t="s">
        <v>1076</v>
      </c>
    </row>
    <row r="213" spans="1:13" ht="72" x14ac:dyDescent="0.25">
      <c r="A213" s="36" t="s">
        <v>1071</v>
      </c>
      <c r="B213" s="58"/>
      <c r="C213" s="61" t="s">
        <v>458</v>
      </c>
      <c r="D213" s="36" t="s">
        <v>1072</v>
      </c>
      <c r="E213" s="56" t="s">
        <v>12</v>
      </c>
      <c r="F213" s="36" t="s">
        <v>1077</v>
      </c>
      <c r="G213" s="57" t="s">
        <v>471</v>
      </c>
      <c r="H213" s="36" t="s">
        <v>646</v>
      </c>
      <c r="I213" s="58"/>
      <c r="J213" s="61" t="s">
        <v>458</v>
      </c>
      <c r="K213" s="36" t="s">
        <v>1078</v>
      </c>
      <c r="L213" s="56" t="s">
        <v>12</v>
      </c>
      <c r="M213" s="36" t="s">
        <v>1079</v>
      </c>
    </row>
    <row r="214" spans="1:13" ht="60" x14ac:dyDescent="0.25">
      <c r="A214" s="32" t="s">
        <v>1080</v>
      </c>
      <c r="B214" s="55"/>
      <c r="C214" s="55"/>
      <c r="D214" s="32" t="s">
        <v>1081</v>
      </c>
      <c r="E214" s="57" t="s">
        <v>18</v>
      </c>
      <c r="F214" s="32" t="s">
        <v>1082</v>
      </c>
      <c r="G214" s="57" t="s">
        <v>471</v>
      </c>
      <c r="H214" s="32" t="s">
        <v>1083</v>
      </c>
      <c r="I214" s="55"/>
      <c r="J214" s="55"/>
      <c r="K214" s="32" t="s">
        <v>1084</v>
      </c>
      <c r="L214" s="57" t="s">
        <v>18</v>
      </c>
      <c r="M214" s="32" t="s">
        <v>1085</v>
      </c>
    </row>
    <row r="215" spans="1:13" ht="60" x14ac:dyDescent="0.25">
      <c r="A215" s="36" t="s">
        <v>1080</v>
      </c>
      <c r="B215" s="58"/>
      <c r="C215" s="58"/>
      <c r="D215" s="36" t="s">
        <v>1086</v>
      </c>
      <c r="E215" s="59" t="s">
        <v>15</v>
      </c>
      <c r="F215" s="36" t="s">
        <v>1087</v>
      </c>
      <c r="G215" s="57" t="s">
        <v>471</v>
      </c>
      <c r="H215" s="36" t="s">
        <v>1083</v>
      </c>
      <c r="I215" s="58"/>
      <c r="J215" s="58"/>
      <c r="K215" s="36" t="s">
        <v>1084</v>
      </c>
      <c r="L215" s="59" t="s">
        <v>15</v>
      </c>
      <c r="M215" s="36" t="s">
        <v>1088</v>
      </c>
    </row>
    <row r="216" spans="1:13" ht="60" x14ac:dyDescent="0.25">
      <c r="A216" s="32" t="s">
        <v>1080</v>
      </c>
      <c r="B216" s="55"/>
      <c r="C216" s="55"/>
      <c r="D216" s="32" t="s">
        <v>1089</v>
      </c>
      <c r="E216" s="56" t="s">
        <v>12</v>
      </c>
      <c r="F216" s="32" t="s">
        <v>1090</v>
      </c>
      <c r="G216" s="60" t="s">
        <v>477</v>
      </c>
      <c r="H216" s="55"/>
      <c r="I216" s="55"/>
      <c r="J216" s="55"/>
      <c r="K216" s="55"/>
      <c r="L216" s="55"/>
      <c r="M216" s="55"/>
    </row>
    <row r="217" spans="1:13" ht="60" x14ac:dyDescent="0.25">
      <c r="A217" s="36" t="s">
        <v>1080</v>
      </c>
      <c r="B217" s="58"/>
      <c r="C217" s="58"/>
      <c r="D217" s="36" t="s">
        <v>1091</v>
      </c>
      <c r="E217" s="56" t="s">
        <v>12</v>
      </c>
      <c r="F217" s="36" t="s">
        <v>1092</v>
      </c>
      <c r="G217" s="60" t="s">
        <v>477</v>
      </c>
      <c r="H217" s="58"/>
      <c r="I217" s="58"/>
      <c r="J217" s="58"/>
      <c r="K217" s="58"/>
      <c r="L217" s="58"/>
      <c r="M217" s="58"/>
    </row>
    <row r="218" spans="1:13" ht="84" x14ac:dyDescent="0.25">
      <c r="A218" s="32" t="s">
        <v>1093</v>
      </c>
      <c r="B218" s="32" t="s">
        <v>501</v>
      </c>
      <c r="C218" s="55"/>
      <c r="D218" s="32" t="s">
        <v>1094</v>
      </c>
      <c r="E218" s="56" t="s">
        <v>12</v>
      </c>
      <c r="F218" s="32" t="s">
        <v>1095</v>
      </c>
      <c r="G218" s="57" t="s">
        <v>471</v>
      </c>
      <c r="H218" s="32" t="s">
        <v>1096</v>
      </c>
      <c r="I218" s="55"/>
      <c r="J218" s="55"/>
      <c r="K218" s="32" t="s">
        <v>1097</v>
      </c>
      <c r="L218" s="56" t="s">
        <v>12</v>
      </c>
      <c r="M218" s="32" t="s">
        <v>1098</v>
      </c>
    </row>
    <row r="219" spans="1:13" ht="84" x14ac:dyDescent="0.25">
      <c r="A219" s="36" t="s">
        <v>1093</v>
      </c>
      <c r="B219" s="58"/>
      <c r="C219" s="58"/>
      <c r="D219" s="36" t="s">
        <v>1099</v>
      </c>
      <c r="E219" s="56" t="s">
        <v>12</v>
      </c>
      <c r="F219" s="36" t="s">
        <v>1100</v>
      </c>
      <c r="G219" s="57" t="s">
        <v>471</v>
      </c>
      <c r="H219" s="36" t="s">
        <v>1096</v>
      </c>
      <c r="I219" s="58"/>
      <c r="J219" s="58"/>
      <c r="K219" s="36" t="s">
        <v>1101</v>
      </c>
      <c r="L219" s="56" t="s">
        <v>12</v>
      </c>
      <c r="M219" s="36" t="s">
        <v>1102</v>
      </c>
    </row>
    <row r="220" spans="1:13" ht="84" x14ac:dyDescent="0.25">
      <c r="A220" s="32" t="s">
        <v>1093</v>
      </c>
      <c r="B220" s="55"/>
      <c r="C220" s="55"/>
      <c r="D220" s="32" t="s">
        <v>1099</v>
      </c>
      <c r="E220" s="59" t="s">
        <v>15</v>
      </c>
      <c r="F220" s="32" t="s">
        <v>1103</v>
      </c>
      <c r="G220" s="57" t="s">
        <v>471</v>
      </c>
      <c r="H220" s="32" t="s">
        <v>1096</v>
      </c>
      <c r="I220" s="55"/>
      <c r="J220" s="55"/>
      <c r="K220" s="32" t="s">
        <v>1101</v>
      </c>
      <c r="L220" s="59" t="s">
        <v>15</v>
      </c>
      <c r="M220" s="32" t="s">
        <v>1104</v>
      </c>
    </row>
    <row r="221" spans="1:13" ht="84" x14ac:dyDescent="0.25">
      <c r="A221" s="36" t="s">
        <v>1093</v>
      </c>
      <c r="B221" s="58"/>
      <c r="C221" s="58"/>
      <c r="D221" s="36" t="s">
        <v>1099</v>
      </c>
      <c r="E221" s="59" t="s">
        <v>15</v>
      </c>
      <c r="F221" s="36" t="s">
        <v>1105</v>
      </c>
      <c r="G221" s="57" t="s">
        <v>471</v>
      </c>
      <c r="H221" s="36" t="s">
        <v>1096</v>
      </c>
      <c r="I221" s="58"/>
      <c r="J221" s="58"/>
      <c r="K221" s="36" t="s">
        <v>1106</v>
      </c>
      <c r="L221" s="59" t="s">
        <v>15</v>
      </c>
      <c r="M221" s="36" t="s">
        <v>1107</v>
      </c>
    </row>
    <row r="222" spans="1:13" ht="24" customHeight="1" x14ac:dyDescent="0.25">
      <c r="A222" s="119" t="s">
        <v>1108</v>
      </c>
      <c r="B222" s="85"/>
      <c r="C222" s="85"/>
      <c r="D222" s="85"/>
      <c r="E222" s="85"/>
      <c r="F222" s="85"/>
      <c r="G222" s="85"/>
      <c r="H222" s="85"/>
      <c r="I222" s="85"/>
      <c r="J222" s="85"/>
      <c r="K222" s="85"/>
      <c r="L222" s="85"/>
      <c r="M222" s="85"/>
    </row>
    <row r="223" spans="1:13" ht="84" x14ac:dyDescent="0.25">
      <c r="A223" s="58"/>
      <c r="B223" s="58"/>
      <c r="C223" s="58"/>
      <c r="D223" s="58"/>
      <c r="E223" s="58"/>
      <c r="F223" s="58"/>
      <c r="G223" s="62" t="s">
        <v>1109</v>
      </c>
      <c r="H223" s="36" t="s">
        <v>472</v>
      </c>
      <c r="I223" s="58"/>
      <c r="J223" s="58"/>
      <c r="K223" s="36" t="s">
        <v>1110</v>
      </c>
      <c r="L223" s="56" t="s">
        <v>12</v>
      </c>
      <c r="M223" s="36" t="s">
        <v>1111</v>
      </c>
    </row>
    <row r="224" spans="1:13" ht="72" x14ac:dyDescent="0.25">
      <c r="A224" s="55"/>
      <c r="B224" s="55"/>
      <c r="C224" s="55"/>
      <c r="D224" s="55"/>
      <c r="E224" s="55"/>
      <c r="F224" s="55"/>
      <c r="G224" s="62" t="s">
        <v>1109</v>
      </c>
      <c r="H224" s="32" t="s">
        <v>504</v>
      </c>
      <c r="I224" s="55"/>
      <c r="J224" s="55"/>
      <c r="K224" s="32" t="s">
        <v>1112</v>
      </c>
      <c r="L224" s="56" t="s">
        <v>12</v>
      </c>
      <c r="M224" s="32" t="s">
        <v>1113</v>
      </c>
    </row>
    <row r="225" spans="1:13" ht="132" x14ac:dyDescent="0.25">
      <c r="A225" s="58"/>
      <c r="B225" s="58"/>
      <c r="C225" s="58"/>
      <c r="D225" s="58"/>
      <c r="E225" s="58"/>
      <c r="F225" s="58"/>
      <c r="G225" s="62" t="s">
        <v>1109</v>
      </c>
      <c r="H225" s="36" t="s">
        <v>569</v>
      </c>
      <c r="I225" s="58"/>
      <c r="J225" s="58"/>
      <c r="K225" s="36" t="s">
        <v>587</v>
      </c>
      <c r="L225" s="56" t="s">
        <v>12</v>
      </c>
      <c r="M225" s="36" t="s">
        <v>1114</v>
      </c>
    </row>
    <row r="226" spans="1:13" ht="120" x14ac:dyDescent="0.25">
      <c r="A226" s="55"/>
      <c r="B226" s="55"/>
      <c r="C226" s="55"/>
      <c r="D226" s="55"/>
      <c r="E226" s="55"/>
      <c r="F226" s="55"/>
      <c r="G226" s="62" t="s">
        <v>1109</v>
      </c>
      <c r="H226" s="32" t="s">
        <v>753</v>
      </c>
      <c r="I226" s="55"/>
      <c r="J226" s="61" t="s">
        <v>458</v>
      </c>
      <c r="K226" s="32" t="s">
        <v>1115</v>
      </c>
      <c r="L226" s="56" t="s">
        <v>12</v>
      </c>
      <c r="M226" s="32" t="s">
        <v>1116</v>
      </c>
    </row>
    <row r="227" spans="1:13" ht="108" x14ac:dyDescent="0.25">
      <c r="A227" s="58"/>
      <c r="B227" s="58"/>
      <c r="C227" s="58"/>
      <c r="D227" s="58"/>
      <c r="E227" s="58"/>
      <c r="F227" s="58"/>
      <c r="G227" s="62" t="s">
        <v>1109</v>
      </c>
      <c r="H227" s="36" t="s">
        <v>562</v>
      </c>
      <c r="I227" s="58"/>
      <c r="J227" s="58"/>
      <c r="K227" s="36" t="s">
        <v>563</v>
      </c>
      <c r="L227" s="56" t="s">
        <v>12</v>
      </c>
      <c r="M227" s="36" t="s">
        <v>1117</v>
      </c>
    </row>
    <row r="228" spans="1:13" ht="108" x14ac:dyDescent="0.25">
      <c r="A228" s="55"/>
      <c r="B228" s="55"/>
      <c r="C228" s="55"/>
      <c r="D228" s="55"/>
      <c r="E228" s="55"/>
      <c r="F228" s="55"/>
      <c r="G228" s="62" t="s">
        <v>1109</v>
      </c>
      <c r="H228" s="32" t="s">
        <v>562</v>
      </c>
      <c r="I228" s="55"/>
      <c r="J228" s="55"/>
      <c r="K228" s="32" t="s">
        <v>563</v>
      </c>
      <c r="L228" s="56" t="s">
        <v>12</v>
      </c>
      <c r="M228" s="32" t="s">
        <v>1118</v>
      </c>
    </row>
    <row r="229" spans="1:13" ht="120" x14ac:dyDescent="0.25">
      <c r="A229" s="58"/>
      <c r="B229" s="58"/>
      <c r="C229" s="58"/>
      <c r="D229" s="58"/>
      <c r="E229" s="58"/>
      <c r="F229" s="58"/>
      <c r="G229" s="62" t="s">
        <v>1109</v>
      </c>
      <c r="H229" s="36" t="s">
        <v>539</v>
      </c>
      <c r="I229" s="58"/>
      <c r="J229" s="58"/>
      <c r="K229" s="36" t="s">
        <v>1119</v>
      </c>
      <c r="L229" s="56" t="s">
        <v>12</v>
      </c>
      <c r="M229" s="36" t="s">
        <v>1120</v>
      </c>
    </row>
    <row r="230" spans="1:13" ht="72" x14ac:dyDescent="0.25">
      <c r="A230" s="55"/>
      <c r="B230" s="55"/>
      <c r="C230" s="55"/>
      <c r="D230" s="55"/>
      <c r="E230" s="55"/>
      <c r="F230" s="55"/>
      <c r="G230" s="62" t="s">
        <v>1109</v>
      </c>
      <c r="H230" s="32" t="s">
        <v>847</v>
      </c>
      <c r="I230" s="55"/>
      <c r="J230" s="55"/>
      <c r="K230" s="32" t="s">
        <v>887</v>
      </c>
      <c r="L230" s="56" t="s">
        <v>12</v>
      </c>
      <c r="M230" s="32" t="s">
        <v>1121</v>
      </c>
    </row>
    <row r="231" spans="1:13" ht="48" x14ac:dyDescent="0.25">
      <c r="A231" s="58"/>
      <c r="B231" s="58"/>
      <c r="C231" s="58"/>
      <c r="D231" s="58"/>
      <c r="E231" s="58"/>
      <c r="F231" s="58"/>
      <c r="G231" s="62" t="s">
        <v>1109</v>
      </c>
      <c r="H231" s="36" t="s">
        <v>1006</v>
      </c>
      <c r="I231" s="58"/>
      <c r="J231" s="58"/>
      <c r="K231" s="36" t="s">
        <v>1029</v>
      </c>
      <c r="L231" s="56" t="s">
        <v>12</v>
      </c>
      <c r="M231" s="36" t="s">
        <v>1122</v>
      </c>
    </row>
    <row r="232" spans="1:13" ht="72" x14ac:dyDescent="0.25">
      <c r="A232" s="55"/>
      <c r="B232" s="55"/>
      <c r="C232" s="55"/>
      <c r="D232" s="55"/>
      <c r="E232" s="55"/>
      <c r="F232" s="55"/>
      <c r="G232" s="62" t="s">
        <v>1109</v>
      </c>
      <c r="H232" s="32" t="s">
        <v>684</v>
      </c>
      <c r="I232" s="55"/>
      <c r="J232" s="55"/>
      <c r="K232" s="32" t="s">
        <v>892</v>
      </c>
      <c r="L232" s="56" t="s">
        <v>12</v>
      </c>
      <c r="M232" s="32" t="s">
        <v>1123</v>
      </c>
    </row>
    <row r="233" spans="1:13" ht="72" x14ac:dyDescent="0.25">
      <c r="A233" s="58"/>
      <c r="B233" s="58"/>
      <c r="C233" s="58"/>
      <c r="D233" s="58"/>
      <c r="E233" s="58"/>
      <c r="F233" s="58"/>
      <c r="G233" s="62" t="s">
        <v>1109</v>
      </c>
      <c r="H233" s="36" t="s">
        <v>684</v>
      </c>
      <c r="I233" s="58"/>
      <c r="J233" s="58"/>
      <c r="K233" s="36" t="s">
        <v>685</v>
      </c>
      <c r="L233" s="56" t="s">
        <v>12</v>
      </c>
      <c r="M233" s="36" t="s">
        <v>1124</v>
      </c>
    </row>
    <row r="234" spans="1:13" ht="60" x14ac:dyDescent="0.25">
      <c r="A234" s="55"/>
      <c r="B234" s="55"/>
      <c r="C234" s="55"/>
      <c r="D234" s="55"/>
      <c r="E234" s="55"/>
      <c r="F234" s="55"/>
      <c r="G234" s="62" t="s">
        <v>1109</v>
      </c>
      <c r="H234" s="32" t="s">
        <v>741</v>
      </c>
      <c r="I234" s="55"/>
      <c r="J234" s="55"/>
      <c r="K234" s="32" t="s">
        <v>1125</v>
      </c>
      <c r="L234" s="56" t="s">
        <v>12</v>
      </c>
      <c r="M234" s="32" t="s">
        <v>1126</v>
      </c>
    </row>
    <row r="235" spans="1:13" ht="60" x14ac:dyDescent="0.25">
      <c r="A235" s="58"/>
      <c r="B235" s="58"/>
      <c r="C235" s="58"/>
      <c r="D235" s="58"/>
      <c r="E235" s="58"/>
      <c r="F235" s="58"/>
      <c r="G235" s="62" t="s">
        <v>1109</v>
      </c>
      <c r="H235" s="36" t="s">
        <v>741</v>
      </c>
      <c r="I235" s="58"/>
      <c r="J235" s="58"/>
      <c r="K235" s="36" t="s">
        <v>1127</v>
      </c>
      <c r="L235" s="56" t="s">
        <v>12</v>
      </c>
      <c r="M235" s="36" t="s">
        <v>1128</v>
      </c>
    </row>
    <row r="236" spans="1:13" ht="60" x14ac:dyDescent="0.25">
      <c r="A236" s="55"/>
      <c r="B236" s="55"/>
      <c r="C236" s="55"/>
      <c r="D236" s="55"/>
      <c r="E236" s="55"/>
      <c r="F236" s="55"/>
      <c r="G236" s="62" t="s">
        <v>1109</v>
      </c>
      <c r="H236" s="32" t="s">
        <v>741</v>
      </c>
      <c r="I236" s="32" t="s">
        <v>501</v>
      </c>
      <c r="J236" s="55"/>
      <c r="K236" s="32" t="s">
        <v>742</v>
      </c>
      <c r="L236" s="56" t="s">
        <v>12</v>
      </c>
      <c r="M236" s="32" t="s">
        <v>1129</v>
      </c>
    </row>
    <row r="237" spans="1:13" ht="60" x14ac:dyDescent="0.25">
      <c r="A237" s="58"/>
      <c r="B237" s="58"/>
      <c r="C237" s="58"/>
      <c r="D237" s="58"/>
      <c r="E237" s="58"/>
      <c r="F237" s="58"/>
      <c r="G237" s="62" t="s">
        <v>1109</v>
      </c>
      <c r="H237" s="36" t="s">
        <v>822</v>
      </c>
      <c r="I237" s="58"/>
      <c r="J237" s="58"/>
      <c r="K237" s="36" t="s">
        <v>1130</v>
      </c>
      <c r="L237" s="56" t="s">
        <v>12</v>
      </c>
      <c r="M237" s="36" t="s">
        <v>1131</v>
      </c>
    </row>
    <row r="238" spans="1:13" ht="60" x14ac:dyDescent="0.25">
      <c r="A238" s="55"/>
      <c r="B238" s="55"/>
      <c r="C238" s="55"/>
      <c r="D238" s="55"/>
      <c r="E238" s="55"/>
      <c r="F238" s="55"/>
      <c r="G238" s="62" t="s">
        <v>1109</v>
      </c>
      <c r="H238" s="32" t="s">
        <v>822</v>
      </c>
      <c r="I238" s="55"/>
      <c r="J238" s="55"/>
      <c r="K238" s="32" t="s">
        <v>1132</v>
      </c>
      <c r="L238" s="56" t="s">
        <v>12</v>
      </c>
      <c r="M238" s="32" t="s">
        <v>1133</v>
      </c>
    </row>
    <row r="239" spans="1:13" ht="48" x14ac:dyDescent="0.25">
      <c r="A239" s="58"/>
      <c r="B239" s="58"/>
      <c r="C239" s="58"/>
      <c r="D239" s="58"/>
      <c r="E239" s="58"/>
      <c r="F239" s="58"/>
      <c r="G239" s="62" t="s">
        <v>1109</v>
      </c>
      <c r="H239" s="36" t="s">
        <v>710</v>
      </c>
      <c r="I239" s="58"/>
      <c r="J239" s="58"/>
      <c r="K239" s="36" t="s">
        <v>1134</v>
      </c>
      <c r="L239" s="56" t="s">
        <v>12</v>
      </c>
      <c r="M239" s="36" t="s">
        <v>1135</v>
      </c>
    </row>
    <row r="240" spans="1:13" ht="72" x14ac:dyDescent="0.25">
      <c r="A240" s="55"/>
      <c r="B240" s="55"/>
      <c r="C240" s="55"/>
      <c r="D240" s="55"/>
      <c r="E240" s="55"/>
      <c r="F240" s="55"/>
      <c r="G240" s="62" t="s">
        <v>1109</v>
      </c>
      <c r="H240" s="32" t="s">
        <v>534</v>
      </c>
      <c r="I240" s="55"/>
      <c r="J240" s="55"/>
      <c r="K240" s="32" t="s">
        <v>720</v>
      </c>
      <c r="L240" s="56" t="s">
        <v>12</v>
      </c>
      <c r="M240" s="32" t="s">
        <v>1136</v>
      </c>
    </row>
    <row r="241" spans="1:13" ht="132" x14ac:dyDescent="0.25">
      <c r="A241" s="58"/>
      <c r="B241" s="58"/>
      <c r="C241" s="58"/>
      <c r="D241" s="58"/>
      <c r="E241" s="58"/>
      <c r="F241" s="58"/>
      <c r="G241" s="62" t="s">
        <v>1109</v>
      </c>
      <c r="H241" s="36" t="s">
        <v>569</v>
      </c>
      <c r="I241" s="36" t="s">
        <v>501</v>
      </c>
      <c r="J241" s="58"/>
      <c r="K241" s="36" t="s">
        <v>1137</v>
      </c>
      <c r="L241" s="59" t="s">
        <v>15</v>
      </c>
      <c r="M241" s="36" t="s">
        <v>1138</v>
      </c>
    </row>
    <row r="242" spans="1:13" ht="132" x14ac:dyDescent="0.25">
      <c r="A242" s="55"/>
      <c r="B242" s="55"/>
      <c r="C242" s="55"/>
      <c r="D242" s="55"/>
      <c r="E242" s="55"/>
      <c r="F242" s="55"/>
      <c r="G242" s="62" t="s">
        <v>1109</v>
      </c>
      <c r="H242" s="32" t="s">
        <v>569</v>
      </c>
      <c r="I242" s="55"/>
      <c r="J242" s="55"/>
      <c r="K242" s="32" t="s">
        <v>591</v>
      </c>
      <c r="L242" s="59" t="s">
        <v>15</v>
      </c>
      <c r="M242" s="32" t="s">
        <v>1139</v>
      </c>
    </row>
    <row r="243" spans="1:13" ht="120" x14ac:dyDescent="0.25">
      <c r="A243" s="58"/>
      <c r="B243" s="58"/>
      <c r="C243" s="58"/>
      <c r="D243" s="58"/>
      <c r="E243" s="58"/>
      <c r="F243" s="58"/>
      <c r="G243" s="62" t="s">
        <v>1109</v>
      </c>
      <c r="H243" s="36" t="s">
        <v>539</v>
      </c>
      <c r="I243" s="58"/>
      <c r="J243" s="58"/>
      <c r="K243" s="36" t="s">
        <v>1119</v>
      </c>
      <c r="L243" s="59" t="s">
        <v>15</v>
      </c>
      <c r="M243" s="36" t="s">
        <v>1140</v>
      </c>
    </row>
    <row r="244" spans="1:13" ht="48" x14ac:dyDescent="0.25">
      <c r="A244" s="55"/>
      <c r="B244" s="55"/>
      <c r="C244" s="55"/>
      <c r="D244" s="55"/>
      <c r="E244" s="55"/>
      <c r="F244" s="55"/>
      <c r="G244" s="62" t="s">
        <v>1109</v>
      </c>
      <c r="H244" s="32" t="s">
        <v>1006</v>
      </c>
      <c r="I244" s="55"/>
      <c r="J244" s="61" t="s">
        <v>458</v>
      </c>
      <c r="K244" s="32" t="s">
        <v>1141</v>
      </c>
      <c r="L244" s="59" t="s">
        <v>15</v>
      </c>
      <c r="M244" s="32" t="s">
        <v>1142</v>
      </c>
    </row>
    <row r="245" spans="1:13" ht="48" x14ac:dyDescent="0.25">
      <c r="A245" s="58"/>
      <c r="B245" s="58"/>
      <c r="C245" s="58"/>
      <c r="D245" s="58"/>
      <c r="E245" s="58"/>
      <c r="F245" s="58"/>
      <c r="G245" s="62" t="s">
        <v>1109</v>
      </c>
      <c r="H245" s="36" t="s">
        <v>710</v>
      </c>
      <c r="I245" s="58"/>
      <c r="J245" s="58"/>
      <c r="K245" s="36" t="s">
        <v>1048</v>
      </c>
      <c r="L245" s="59" t="s">
        <v>15</v>
      </c>
      <c r="M245" s="36" t="s">
        <v>1143</v>
      </c>
    </row>
    <row r="246" spans="1:13" ht="60" x14ac:dyDescent="0.25">
      <c r="A246" s="55"/>
      <c r="B246" s="55"/>
      <c r="C246" s="55"/>
      <c r="D246" s="55"/>
      <c r="E246" s="55"/>
      <c r="F246" s="55"/>
      <c r="G246" s="62" t="s">
        <v>1109</v>
      </c>
      <c r="H246" s="32" t="s">
        <v>822</v>
      </c>
      <c r="I246" s="55"/>
      <c r="J246" s="55"/>
      <c r="K246" s="32" t="s">
        <v>1130</v>
      </c>
      <c r="L246" s="59" t="s">
        <v>15</v>
      </c>
      <c r="M246" s="32" t="s">
        <v>1144</v>
      </c>
    </row>
  </sheetData>
  <autoFilter ref="A3:M3" xr:uid="{00000000-0009-0000-0000-000009000000}"/>
  <mergeCells count="4">
    <mergeCell ref="A2:F2"/>
    <mergeCell ref="H2:M2"/>
    <mergeCell ref="A1:M1"/>
    <mergeCell ref="A222:M222"/>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dimension ref="A1:G223"/>
  <sheetViews>
    <sheetView showGridLines="0" workbookViewId="0">
      <pane xSplit="2" ySplit="5" topLeftCell="C6" activePane="bottomRight" state="frozen"/>
      <selection pane="topRight"/>
      <selection pane="bottomLeft"/>
      <selection pane="bottomRight"/>
    </sheetView>
  </sheetViews>
  <sheetFormatPr defaultRowHeight="15" x14ac:dyDescent="0.25"/>
  <cols>
    <col min="1" max="1" width="15" customWidth="1"/>
    <col min="2" max="2" width="65" customWidth="1"/>
    <col min="3" max="7" width="14" customWidth="1"/>
  </cols>
  <sheetData>
    <row r="1" spans="1:7" ht="33.950000000000003" customHeight="1" x14ac:dyDescent="0.25">
      <c r="A1" s="120" t="s">
        <v>1145</v>
      </c>
      <c r="B1" s="85"/>
      <c r="C1" s="85"/>
      <c r="D1" s="85"/>
      <c r="E1" s="85"/>
      <c r="F1" s="85"/>
      <c r="G1" s="85"/>
    </row>
    <row r="2" spans="1:7" ht="54.95" customHeight="1" x14ac:dyDescent="0.25">
      <c r="A2" s="5" t="s">
        <v>6</v>
      </c>
      <c r="B2" s="5" t="s">
        <v>7</v>
      </c>
      <c r="C2" s="63"/>
      <c r="D2" s="64"/>
      <c r="E2" s="64"/>
      <c r="F2" s="64"/>
      <c r="G2" s="64"/>
    </row>
    <row r="3" spans="1:7" ht="18" customHeight="1" x14ac:dyDescent="0.25">
      <c r="A3" s="65" t="s">
        <v>1146</v>
      </c>
      <c r="B3" s="66" t="s">
        <v>1147</v>
      </c>
      <c r="C3" s="67"/>
      <c r="D3" s="68"/>
      <c r="E3" s="68"/>
      <c r="F3" s="68"/>
      <c r="G3" s="68"/>
    </row>
    <row r="4" spans="1:7" ht="18" customHeight="1" x14ac:dyDescent="0.25">
      <c r="A4" s="69" t="s">
        <v>1148</v>
      </c>
      <c r="B4" s="66" t="s">
        <v>1149</v>
      </c>
      <c r="C4" s="70"/>
      <c r="D4" s="71"/>
      <c r="E4" s="71"/>
      <c r="F4" s="71"/>
      <c r="G4" s="71"/>
    </row>
    <row r="5" spans="1:7" ht="18" customHeight="1" x14ac:dyDescent="0.25">
      <c r="A5" s="72" t="s">
        <v>1150</v>
      </c>
      <c r="B5" s="66" t="s">
        <v>1151</v>
      </c>
      <c r="C5" s="73"/>
      <c r="D5" s="74"/>
      <c r="E5" s="74"/>
      <c r="F5" s="74"/>
      <c r="G5" s="74"/>
    </row>
    <row r="6" spans="1:7" ht="30" customHeight="1" x14ac:dyDescent="0.25">
      <c r="A6" s="75" t="s">
        <v>10</v>
      </c>
      <c r="B6" s="32" t="s">
        <v>11</v>
      </c>
      <c r="C6" s="76"/>
      <c r="D6" s="77"/>
      <c r="E6" s="77"/>
      <c r="F6" s="77"/>
      <c r="G6" s="77"/>
    </row>
    <row r="7" spans="1:7" ht="30" customHeight="1" x14ac:dyDescent="0.25">
      <c r="A7" s="78" t="s">
        <v>13</v>
      </c>
      <c r="B7" s="36" t="s">
        <v>14</v>
      </c>
      <c r="C7" s="79"/>
      <c r="D7" s="80"/>
      <c r="E7" s="80"/>
      <c r="F7" s="80"/>
      <c r="G7" s="80"/>
    </row>
    <row r="8" spans="1:7" ht="30" customHeight="1" x14ac:dyDescent="0.25">
      <c r="A8" s="81" t="s">
        <v>16</v>
      </c>
      <c r="B8" s="32" t="s">
        <v>17</v>
      </c>
      <c r="C8" s="76"/>
      <c r="D8" s="77"/>
      <c r="E8" s="77"/>
      <c r="F8" s="77"/>
      <c r="G8" s="77"/>
    </row>
    <row r="9" spans="1:7" ht="30" customHeight="1" x14ac:dyDescent="0.25">
      <c r="A9" s="75" t="s">
        <v>19</v>
      </c>
      <c r="B9" s="36" t="s">
        <v>20</v>
      </c>
      <c r="C9" s="79"/>
      <c r="D9" s="80"/>
      <c r="E9" s="80"/>
      <c r="F9" s="80"/>
      <c r="G9" s="80"/>
    </row>
    <row r="10" spans="1:7" ht="30" customHeight="1" x14ac:dyDescent="0.25">
      <c r="A10" s="75" t="s">
        <v>21</v>
      </c>
      <c r="B10" s="32" t="s">
        <v>22</v>
      </c>
      <c r="C10" s="76"/>
      <c r="D10" s="77"/>
      <c r="E10" s="77"/>
      <c r="F10" s="77"/>
      <c r="G10" s="77"/>
    </row>
    <row r="11" spans="1:7" ht="30" customHeight="1" x14ac:dyDescent="0.25">
      <c r="A11" s="75" t="s">
        <v>23</v>
      </c>
      <c r="B11" s="36" t="s">
        <v>24</v>
      </c>
      <c r="C11" s="79"/>
      <c r="D11" s="80"/>
      <c r="E11" s="80"/>
      <c r="F11" s="80"/>
      <c r="G11" s="80"/>
    </row>
    <row r="12" spans="1:7" ht="30" customHeight="1" x14ac:dyDescent="0.25">
      <c r="A12" s="78" t="s">
        <v>25</v>
      </c>
      <c r="B12" s="32" t="s">
        <v>26</v>
      </c>
      <c r="C12" s="76"/>
      <c r="D12" s="77"/>
      <c r="E12" s="77"/>
      <c r="F12" s="77"/>
      <c r="G12" s="77"/>
    </row>
    <row r="13" spans="1:7" ht="30" customHeight="1" x14ac:dyDescent="0.25">
      <c r="A13" s="78" t="s">
        <v>27</v>
      </c>
      <c r="B13" s="36" t="s">
        <v>28</v>
      </c>
      <c r="C13" s="79"/>
      <c r="D13" s="80"/>
      <c r="E13" s="80"/>
      <c r="F13" s="80"/>
      <c r="G13" s="80"/>
    </row>
    <row r="14" spans="1:7" ht="30" customHeight="1" x14ac:dyDescent="0.25">
      <c r="A14" s="75" t="s">
        <v>29</v>
      </c>
      <c r="B14" s="32" t="s">
        <v>30</v>
      </c>
      <c r="C14" s="76"/>
      <c r="D14" s="77"/>
      <c r="E14" s="77"/>
      <c r="F14" s="77"/>
      <c r="G14" s="77"/>
    </row>
    <row r="15" spans="1:7" ht="30" customHeight="1" x14ac:dyDescent="0.25">
      <c r="A15" s="75" t="s">
        <v>31</v>
      </c>
      <c r="B15" s="36" t="s">
        <v>32</v>
      </c>
      <c r="C15" s="79"/>
      <c r="D15" s="80"/>
      <c r="E15" s="80"/>
      <c r="F15" s="80"/>
      <c r="G15" s="80"/>
    </row>
    <row r="16" spans="1:7" ht="30" customHeight="1" x14ac:dyDescent="0.25">
      <c r="A16" s="75" t="s">
        <v>33</v>
      </c>
      <c r="B16" s="32" t="s">
        <v>34</v>
      </c>
      <c r="C16" s="76"/>
      <c r="D16" s="77"/>
      <c r="E16" s="77"/>
      <c r="F16" s="77"/>
      <c r="G16" s="77"/>
    </row>
    <row r="17" spans="1:7" ht="30" customHeight="1" x14ac:dyDescent="0.25">
      <c r="A17" s="81" t="s">
        <v>35</v>
      </c>
      <c r="B17" s="36" t="s">
        <v>36</v>
      </c>
      <c r="C17" s="79"/>
      <c r="D17" s="80"/>
      <c r="E17" s="80"/>
      <c r="F17" s="80"/>
      <c r="G17" s="80"/>
    </row>
    <row r="18" spans="1:7" ht="30" customHeight="1" x14ac:dyDescent="0.25">
      <c r="A18" s="75" t="s">
        <v>37</v>
      </c>
      <c r="B18" s="32" t="s">
        <v>38</v>
      </c>
      <c r="C18" s="76"/>
      <c r="D18" s="77"/>
      <c r="E18" s="77"/>
      <c r="F18" s="77"/>
      <c r="G18" s="77"/>
    </row>
    <row r="19" spans="1:7" ht="30" customHeight="1" x14ac:dyDescent="0.25">
      <c r="A19" s="75" t="s">
        <v>39</v>
      </c>
      <c r="B19" s="36" t="s">
        <v>40</v>
      </c>
      <c r="C19" s="79"/>
      <c r="D19" s="80"/>
      <c r="E19" s="80"/>
      <c r="F19" s="80"/>
      <c r="G19" s="80"/>
    </row>
    <row r="20" spans="1:7" ht="30" customHeight="1" x14ac:dyDescent="0.25">
      <c r="A20" s="75" t="s">
        <v>41</v>
      </c>
      <c r="B20" s="32" t="s">
        <v>42</v>
      </c>
      <c r="C20" s="76"/>
      <c r="D20" s="77"/>
      <c r="E20" s="77"/>
      <c r="F20" s="77"/>
      <c r="G20" s="77"/>
    </row>
    <row r="21" spans="1:7" ht="30" customHeight="1" x14ac:dyDescent="0.25">
      <c r="A21" s="78" t="s">
        <v>43</v>
      </c>
      <c r="B21" s="36" t="s">
        <v>44</v>
      </c>
      <c r="C21" s="79"/>
      <c r="D21" s="80"/>
      <c r="E21" s="80"/>
      <c r="F21" s="80"/>
      <c r="G21" s="80"/>
    </row>
    <row r="22" spans="1:7" ht="30" customHeight="1" x14ac:dyDescent="0.25">
      <c r="A22" s="75" t="s">
        <v>45</v>
      </c>
      <c r="B22" s="32" t="s">
        <v>46</v>
      </c>
      <c r="C22" s="76"/>
      <c r="D22" s="77"/>
      <c r="E22" s="77"/>
      <c r="F22" s="77"/>
      <c r="G22" s="77"/>
    </row>
    <row r="23" spans="1:7" ht="30" customHeight="1" x14ac:dyDescent="0.25">
      <c r="A23" s="78" t="s">
        <v>48</v>
      </c>
      <c r="B23" s="36" t="s">
        <v>49</v>
      </c>
      <c r="C23" s="79"/>
      <c r="D23" s="80"/>
      <c r="E23" s="80"/>
      <c r="F23" s="80"/>
      <c r="G23" s="80"/>
    </row>
    <row r="24" spans="1:7" ht="30" customHeight="1" x14ac:dyDescent="0.25">
      <c r="A24" s="75" t="s">
        <v>50</v>
      </c>
      <c r="B24" s="32" t="s">
        <v>51</v>
      </c>
      <c r="C24" s="76"/>
      <c r="D24" s="77"/>
      <c r="E24" s="77"/>
      <c r="F24" s="77"/>
      <c r="G24" s="77"/>
    </row>
    <row r="25" spans="1:7" ht="30" customHeight="1" x14ac:dyDescent="0.25">
      <c r="A25" s="75" t="s">
        <v>52</v>
      </c>
      <c r="B25" s="36" t="s">
        <v>53</v>
      </c>
      <c r="C25" s="79"/>
      <c r="D25" s="80"/>
      <c r="E25" s="80"/>
      <c r="F25" s="80"/>
      <c r="G25" s="80"/>
    </row>
    <row r="26" spans="1:7" ht="30" customHeight="1" x14ac:dyDescent="0.25">
      <c r="A26" s="81" t="s">
        <v>54</v>
      </c>
      <c r="B26" s="32" t="s">
        <v>55</v>
      </c>
      <c r="C26" s="76"/>
      <c r="D26" s="77"/>
      <c r="E26" s="77"/>
      <c r="F26" s="77"/>
      <c r="G26" s="77"/>
    </row>
    <row r="27" spans="1:7" ht="30" customHeight="1" x14ac:dyDescent="0.25">
      <c r="A27" s="75" t="s">
        <v>56</v>
      </c>
      <c r="B27" s="36" t="s">
        <v>57</v>
      </c>
      <c r="C27" s="79"/>
      <c r="D27" s="80"/>
      <c r="E27" s="80"/>
      <c r="F27" s="80"/>
      <c r="G27" s="80"/>
    </row>
    <row r="28" spans="1:7" ht="30" customHeight="1" x14ac:dyDescent="0.25">
      <c r="A28" s="81" t="s">
        <v>58</v>
      </c>
      <c r="B28" s="32" t="s">
        <v>59</v>
      </c>
      <c r="C28" s="76"/>
      <c r="D28" s="77"/>
      <c r="E28" s="77"/>
      <c r="F28" s="77"/>
      <c r="G28" s="77"/>
    </row>
    <row r="29" spans="1:7" ht="30" customHeight="1" x14ac:dyDescent="0.25">
      <c r="A29" s="75" t="s">
        <v>60</v>
      </c>
      <c r="B29" s="36" t="s">
        <v>61</v>
      </c>
      <c r="C29" s="79"/>
      <c r="D29" s="80"/>
      <c r="E29" s="80"/>
      <c r="F29" s="80"/>
      <c r="G29" s="80"/>
    </row>
    <row r="30" spans="1:7" ht="30" customHeight="1" x14ac:dyDescent="0.25">
      <c r="A30" s="78" t="s">
        <v>62</v>
      </c>
      <c r="B30" s="32" t="s">
        <v>63</v>
      </c>
      <c r="C30" s="76"/>
      <c r="D30" s="77"/>
      <c r="E30" s="77"/>
      <c r="F30" s="77"/>
      <c r="G30" s="77"/>
    </row>
    <row r="31" spans="1:7" ht="30" customHeight="1" x14ac:dyDescent="0.25">
      <c r="A31" s="78" t="s">
        <v>64</v>
      </c>
      <c r="B31" s="36" t="s">
        <v>65</v>
      </c>
      <c r="C31" s="79"/>
      <c r="D31" s="80"/>
      <c r="E31" s="80"/>
      <c r="F31" s="80"/>
      <c r="G31" s="80"/>
    </row>
    <row r="32" spans="1:7" ht="30" customHeight="1" x14ac:dyDescent="0.25">
      <c r="A32" s="78" t="s">
        <v>66</v>
      </c>
      <c r="B32" s="32" t="s">
        <v>67</v>
      </c>
      <c r="C32" s="76"/>
      <c r="D32" s="77"/>
      <c r="E32" s="77"/>
      <c r="F32" s="77"/>
      <c r="G32" s="77"/>
    </row>
    <row r="33" spans="1:7" ht="30" customHeight="1" x14ac:dyDescent="0.25">
      <c r="A33" s="75" t="s">
        <v>68</v>
      </c>
      <c r="B33" s="36" t="s">
        <v>69</v>
      </c>
      <c r="C33" s="79"/>
      <c r="D33" s="80"/>
      <c r="E33" s="80"/>
      <c r="F33" s="80"/>
      <c r="G33" s="80"/>
    </row>
    <row r="34" spans="1:7" ht="30" customHeight="1" x14ac:dyDescent="0.25">
      <c r="A34" s="78" t="s">
        <v>70</v>
      </c>
      <c r="B34" s="32" t="s">
        <v>71</v>
      </c>
      <c r="C34" s="76"/>
      <c r="D34" s="77"/>
      <c r="E34" s="77"/>
      <c r="F34" s="77"/>
      <c r="G34" s="77"/>
    </row>
    <row r="35" spans="1:7" ht="30" customHeight="1" x14ac:dyDescent="0.25">
      <c r="A35" s="75" t="s">
        <v>72</v>
      </c>
      <c r="B35" s="36" t="s">
        <v>73</v>
      </c>
      <c r="C35" s="79"/>
      <c r="D35" s="80"/>
      <c r="E35" s="80"/>
      <c r="F35" s="80"/>
      <c r="G35" s="80"/>
    </row>
    <row r="36" spans="1:7" ht="30" customHeight="1" x14ac:dyDescent="0.25">
      <c r="A36" s="78" t="s">
        <v>74</v>
      </c>
      <c r="B36" s="32" t="s">
        <v>75</v>
      </c>
      <c r="C36" s="76"/>
      <c r="D36" s="77"/>
      <c r="E36" s="77"/>
      <c r="F36" s="77"/>
      <c r="G36" s="77"/>
    </row>
    <row r="37" spans="1:7" ht="30" customHeight="1" x14ac:dyDescent="0.25">
      <c r="A37" s="78" t="s">
        <v>76</v>
      </c>
      <c r="B37" s="36" t="s">
        <v>77</v>
      </c>
      <c r="C37" s="79"/>
      <c r="D37" s="80"/>
      <c r="E37" s="80"/>
      <c r="F37" s="80"/>
      <c r="G37" s="80"/>
    </row>
    <row r="38" spans="1:7" ht="30" customHeight="1" x14ac:dyDescent="0.25">
      <c r="A38" s="78" t="s">
        <v>78</v>
      </c>
      <c r="B38" s="32" t="s">
        <v>79</v>
      </c>
      <c r="C38" s="76"/>
      <c r="D38" s="77"/>
      <c r="E38" s="77"/>
      <c r="F38" s="77"/>
      <c r="G38" s="77"/>
    </row>
    <row r="39" spans="1:7" ht="30" customHeight="1" x14ac:dyDescent="0.25">
      <c r="A39" s="75" t="s">
        <v>80</v>
      </c>
      <c r="B39" s="36" t="s">
        <v>81</v>
      </c>
      <c r="C39" s="79"/>
      <c r="D39" s="80"/>
      <c r="E39" s="80"/>
      <c r="F39" s="80"/>
      <c r="G39" s="80"/>
    </row>
    <row r="40" spans="1:7" ht="30" customHeight="1" x14ac:dyDescent="0.25">
      <c r="A40" s="78" t="s">
        <v>82</v>
      </c>
      <c r="B40" s="32" t="s">
        <v>83</v>
      </c>
      <c r="C40" s="76"/>
      <c r="D40" s="77"/>
      <c r="E40" s="77"/>
      <c r="F40" s="77"/>
      <c r="G40" s="77"/>
    </row>
    <row r="41" spans="1:7" ht="30" customHeight="1" x14ac:dyDescent="0.25">
      <c r="A41" s="78" t="s">
        <v>84</v>
      </c>
      <c r="B41" s="36" t="s">
        <v>85</v>
      </c>
      <c r="C41" s="79"/>
      <c r="D41" s="80"/>
      <c r="E41" s="80"/>
      <c r="F41" s="80"/>
      <c r="G41" s="80"/>
    </row>
    <row r="42" spans="1:7" ht="30" customHeight="1" x14ac:dyDescent="0.25">
      <c r="A42" s="78" t="s">
        <v>86</v>
      </c>
      <c r="B42" s="32" t="s">
        <v>87</v>
      </c>
      <c r="C42" s="76"/>
      <c r="D42" s="77"/>
      <c r="E42" s="77"/>
      <c r="F42" s="77"/>
      <c r="G42" s="77"/>
    </row>
    <row r="43" spans="1:7" ht="30" customHeight="1" x14ac:dyDescent="0.25">
      <c r="A43" s="75" t="s">
        <v>88</v>
      </c>
      <c r="B43" s="36" t="s">
        <v>89</v>
      </c>
      <c r="C43" s="79"/>
      <c r="D43" s="80"/>
      <c r="E43" s="80"/>
      <c r="F43" s="80"/>
      <c r="G43" s="80"/>
    </row>
    <row r="44" spans="1:7" ht="30" customHeight="1" x14ac:dyDescent="0.25">
      <c r="A44" s="78" t="s">
        <v>90</v>
      </c>
      <c r="B44" s="32" t="s">
        <v>91</v>
      </c>
      <c r="C44" s="76"/>
      <c r="D44" s="77"/>
      <c r="E44" s="77"/>
      <c r="F44" s="77"/>
      <c r="G44" s="77"/>
    </row>
    <row r="45" spans="1:7" ht="30" customHeight="1" x14ac:dyDescent="0.25">
      <c r="A45" s="78" t="s">
        <v>92</v>
      </c>
      <c r="B45" s="36" t="s">
        <v>93</v>
      </c>
      <c r="C45" s="79"/>
      <c r="D45" s="80"/>
      <c r="E45" s="80"/>
      <c r="F45" s="80"/>
      <c r="G45" s="80"/>
    </row>
    <row r="46" spans="1:7" ht="30" customHeight="1" x14ac:dyDescent="0.25">
      <c r="A46" s="81" t="s">
        <v>94</v>
      </c>
      <c r="B46" s="32" t="s">
        <v>95</v>
      </c>
      <c r="C46" s="76"/>
      <c r="D46" s="77"/>
      <c r="E46" s="77"/>
      <c r="F46" s="77"/>
      <c r="G46" s="77"/>
    </row>
    <row r="47" spans="1:7" ht="30" customHeight="1" x14ac:dyDescent="0.25">
      <c r="A47" s="75" t="s">
        <v>96</v>
      </c>
      <c r="B47" s="36" t="s">
        <v>97</v>
      </c>
      <c r="C47" s="79"/>
      <c r="D47" s="80"/>
      <c r="E47" s="80"/>
      <c r="F47" s="80"/>
      <c r="G47" s="80"/>
    </row>
    <row r="48" spans="1:7" ht="30" customHeight="1" x14ac:dyDescent="0.25">
      <c r="A48" s="75" t="s">
        <v>98</v>
      </c>
      <c r="B48" s="32" t="s">
        <v>99</v>
      </c>
      <c r="C48" s="76"/>
      <c r="D48" s="77"/>
      <c r="E48" s="77"/>
      <c r="F48" s="77"/>
      <c r="G48" s="77"/>
    </row>
    <row r="49" spans="1:7" ht="30" customHeight="1" x14ac:dyDescent="0.25">
      <c r="A49" s="78" t="s">
        <v>100</v>
      </c>
      <c r="B49" s="36" t="s">
        <v>101</v>
      </c>
      <c r="C49" s="79"/>
      <c r="D49" s="80"/>
      <c r="E49" s="80"/>
      <c r="F49" s="80"/>
      <c r="G49" s="80"/>
    </row>
    <row r="50" spans="1:7" ht="30" customHeight="1" x14ac:dyDescent="0.25">
      <c r="A50" s="81" t="s">
        <v>102</v>
      </c>
      <c r="B50" s="32" t="s">
        <v>103</v>
      </c>
      <c r="C50" s="76"/>
      <c r="D50" s="77"/>
      <c r="E50" s="77"/>
      <c r="F50" s="77"/>
      <c r="G50" s="77"/>
    </row>
    <row r="51" spans="1:7" ht="30" customHeight="1" x14ac:dyDescent="0.25">
      <c r="A51" s="75" t="s">
        <v>104</v>
      </c>
      <c r="B51" s="36" t="s">
        <v>105</v>
      </c>
      <c r="C51" s="79"/>
      <c r="D51" s="80"/>
      <c r="E51" s="80"/>
      <c r="F51" s="80"/>
      <c r="G51" s="80"/>
    </row>
    <row r="52" spans="1:7" ht="30" customHeight="1" x14ac:dyDescent="0.25">
      <c r="A52" s="75" t="s">
        <v>106</v>
      </c>
      <c r="B52" s="32" t="s">
        <v>107</v>
      </c>
      <c r="C52" s="76"/>
      <c r="D52" s="77"/>
      <c r="E52" s="77"/>
      <c r="F52" s="77"/>
      <c r="G52" s="77"/>
    </row>
    <row r="53" spans="1:7" ht="30" customHeight="1" x14ac:dyDescent="0.25">
      <c r="A53" s="75" t="s">
        <v>108</v>
      </c>
      <c r="B53" s="36" t="s">
        <v>109</v>
      </c>
      <c r="C53" s="79"/>
      <c r="D53" s="80"/>
      <c r="E53" s="80"/>
      <c r="F53" s="80"/>
      <c r="G53" s="80"/>
    </row>
    <row r="54" spans="1:7" ht="30" customHeight="1" x14ac:dyDescent="0.25">
      <c r="A54" s="78" t="s">
        <v>110</v>
      </c>
      <c r="B54" s="32" t="s">
        <v>111</v>
      </c>
      <c r="C54" s="76"/>
      <c r="D54" s="77"/>
      <c r="E54" s="77"/>
      <c r="F54" s="77"/>
      <c r="G54" s="77"/>
    </row>
    <row r="55" spans="1:7" ht="30" customHeight="1" x14ac:dyDescent="0.25">
      <c r="A55" s="75" t="s">
        <v>112</v>
      </c>
      <c r="B55" s="36" t="s">
        <v>113</v>
      </c>
      <c r="C55" s="79"/>
      <c r="D55" s="80"/>
      <c r="E55" s="80"/>
      <c r="F55" s="80"/>
      <c r="G55" s="80"/>
    </row>
    <row r="56" spans="1:7" ht="30" customHeight="1" x14ac:dyDescent="0.25">
      <c r="A56" s="78" t="s">
        <v>114</v>
      </c>
      <c r="B56" s="32" t="s">
        <v>115</v>
      </c>
      <c r="C56" s="76"/>
      <c r="D56" s="77"/>
      <c r="E56" s="77"/>
      <c r="F56" s="77"/>
      <c r="G56" s="77"/>
    </row>
    <row r="57" spans="1:7" ht="30" customHeight="1" x14ac:dyDescent="0.25">
      <c r="A57" s="75" t="s">
        <v>116</v>
      </c>
      <c r="B57" s="36" t="s">
        <v>117</v>
      </c>
      <c r="C57" s="79"/>
      <c r="D57" s="80"/>
      <c r="E57" s="80"/>
      <c r="F57" s="80"/>
      <c r="G57" s="80"/>
    </row>
    <row r="58" spans="1:7" ht="30" customHeight="1" x14ac:dyDescent="0.25">
      <c r="A58" s="78" t="s">
        <v>118</v>
      </c>
      <c r="B58" s="32" t="s">
        <v>119</v>
      </c>
      <c r="C58" s="76"/>
      <c r="D58" s="77"/>
      <c r="E58" s="77"/>
      <c r="F58" s="77"/>
      <c r="G58" s="77"/>
    </row>
    <row r="59" spans="1:7" ht="30" customHeight="1" x14ac:dyDescent="0.25">
      <c r="A59" s="81" t="s">
        <v>120</v>
      </c>
      <c r="B59" s="36" t="s">
        <v>121</v>
      </c>
      <c r="C59" s="79"/>
      <c r="D59" s="80"/>
      <c r="E59" s="80"/>
      <c r="F59" s="80"/>
      <c r="G59" s="80"/>
    </row>
    <row r="60" spans="1:7" ht="30" customHeight="1" x14ac:dyDescent="0.25">
      <c r="A60" s="81" t="s">
        <v>122</v>
      </c>
      <c r="B60" s="32" t="s">
        <v>123</v>
      </c>
      <c r="C60" s="76"/>
      <c r="D60" s="77"/>
      <c r="E60" s="77"/>
      <c r="F60" s="77"/>
      <c r="G60" s="77"/>
    </row>
    <row r="61" spans="1:7" ht="30" customHeight="1" x14ac:dyDescent="0.25">
      <c r="A61" s="75" t="s">
        <v>124</v>
      </c>
      <c r="B61" s="36" t="s">
        <v>125</v>
      </c>
      <c r="C61" s="79"/>
      <c r="D61" s="80"/>
      <c r="E61" s="80"/>
      <c r="F61" s="80"/>
      <c r="G61" s="80"/>
    </row>
    <row r="62" spans="1:7" ht="30" customHeight="1" x14ac:dyDescent="0.25">
      <c r="A62" s="81" t="s">
        <v>126</v>
      </c>
      <c r="B62" s="32" t="s">
        <v>127</v>
      </c>
      <c r="C62" s="76"/>
      <c r="D62" s="77"/>
      <c r="E62" s="77"/>
      <c r="F62" s="77"/>
      <c r="G62" s="77"/>
    </row>
    <row r="63" spans="1:7" ht="30" customHeight="1" x14ac:dyDescent="0.25">
      <c r="A63" s="75" t="s">
        <v>128</v>
      </c>
      <c r="B63" s="36" t="s">
        <v>129</v>
      </c>
      <c r="C63" s="79"/>
      <c r="D63" s="80"/>
      <c r="E63" s="80"/>
      <c r="F63" s="80"/>
      <c r="G63" s="80"/>
    </row>
    <row r="64" spans="1:7" ht="30" customHeight="1" x14ac:dyDescent="0.25">
      <c r="A64" s="75" t="s">
        <v>130</v>
      </c>
      <c r="B64" s="32" t="s">
        <v>131</v>
      </c>
      <c r="C64" s="76"/>
      <c r="D64" s="77"/>
      <c r="E64" s="77"/>
      <c r="F64" s="77"/>
      <c r="G64" s="77"/>
    </row>
    <row r="65" spans="1:7" ht="30" customHeight="1" x14ac:dyDescent="0.25">
      <c r="A65" s="78" t="s">
        <v>132</v>
      </c>
      <c r="B65" s="36" t="s">
        <v>133</v>
      </c>
      <c r="C65" s="79"/>
      <c r="D65" s="80"/>
      <c r="E65" s="80"/>
      <c r="F65" s="80"/>
      <c r="G65" s="80"/>
    </row>
    <row r="66" spans="1:7" ht="30" customHeight="1" x14ac:dyDescent="0.25">
      <c r="A66" s="75" t="s">
        <v>134</v>
      </c>
      <c r="B66" s="32" t="s">
        <v>135</v>
      </c>
      <c r="C66" s="76"/>
      <c r="D66" s="77"/>
      <c r="E66" s="77"/>
      <c r="F66" s="77"/>
      <c r="G66" s="77"/>
    </row>
    <row r="67" spans="1:7" ht="30" customHeight="1" x14ac:dyDescent="0.25">
      <c r="A67" s="78" t="s">
        <v>136</v>
      </c>
      <c r="B67" s="36" t="s">
        <v>137</v>
      </c>
      <c r="C67" s="79"/>
      <c r="D67" s="80"/>
      <c r="E67" s="80"/>
      <c r="F67" s="80"/>
      <c r="G67" s="80"/>
    </row>
    <row r="68" spans="1:7" ht="30" customHeight="1" x14ac:dyDescent="0.25">
      <c r="A68" s="75" t="s">
        <v>138</v>
      </c>
      <c r="B68" s="32" t="s">
        <v>139</v>
      </c>
      <c r="C68" s="76"/>
      <c r="D68" s="77"/>
      <c r="E68" s="77"/>
      <c r="F68" s="77"/>
      <c r="G68" s="77"/>
    </row>
    <row r="69" spans="1:7" ht="30" customHeight="1" x14ac:dyDescent="0.25">
      <c r="A69" s="78" t="s">
        <v>140</v>
      </c>
      <c r="B69" s="36" t="s">
        <v>141</v>
      </c>
      <c r="C69" s="79"/>
      <c r="D69" s="80"/>
      <c r="E69" s="80"/>
      <c r="F69" s="80"/>
      <c r="G69" s="80"/>
    </row>
    <row r="70" spans="1:7" ht="30" customHeight="1" x14ac:dyDescent="0.25">
      <c r="A70" s="78" t="s">
        <v>142</v>
      </c>
      <c r="B70" s="32" t="s">
        <v>143</v>
      </c>
      <c r="C70" s="76"/>
      <c r="D70" s="77"/>
      <c r="E70" s="77"/>
      <c r="F70" s="77"/>
      <c r="G70" s="77"/>
    </row>
    <row r="71" spans="1:7" ht="30" customHeight="1" x14ac:dyDescent="0.25">
      <c r="A71" s="75" t="s">
        <v>144</v>
      </c>
      <c r="B71" s="36" t="s">
        <v>145</v>
      </c>
      <c r="C71" s="79"/>
      <c r="D71" s="80"/>
      <c r="E71" s="80"/>
      <c r="F71" s="80"/>
      <c r="G71" s="80"/>
    </row>
    <row r="72" spans="1:7" ht="30" customHeight="1" x14ac:dyDescent="0.25">
      <c r="A72" s="75" t="s">
        <v>146</v>
      </c>
      <c r="B72" s="32" t="s">
        <v>147</v>
      </c>
      <c r="C72" s="76"/>
      <c r="D72" s="77"/>
      <c r="E72" s="77"/>
      <c r="F72" s="77"/>
      <c r="G72" s="77"/>
    </row>
    <row r="73" spans="1:7" ht="30" customHeight="1" x14ac:dyDescent="0.25">
      <c r="A73" s="78" t="s">
        <v>148</v>
      </c>
      <c r="B73" s="36" t="s">
        <v>149</v>
      </c>
      <c r="C73" s="79"/>
      <c r="D73" s="80"/>
      <c r="E73" s="80"/>
      <c r="F73" s="80"/>
      <c r="G73" s="80"/>
    </row>
    <row r="74" spans="1:7" ht="30" customHeight="1" x14ac:dyDescent="0.25">
      <c r="A74" s="81" t="s">
        <v>150</v>
      </c>
      <c r="B74" s="32" t="s">
        <v>151</v>
      </c>
      <c r="C74" s="76"/>
      <c r="D74" s="77"/>
      <c r="E74" s="77"/>
      <c r="F74" s="77"/>
      <c r="G74" s="77"/>
    </row>
    <row r="75" spans="1:7" ht="30" customHeight="1" x14ac:dyDescent="0.25">
      <c r="A75" s="75" t="s">
        <v>152</v>
      </c>
      <c r="B75" s="36" t="s">
        <v>153</v>
      </c>
      <c r="C75" s="79"/>
      <c r="D75" s="80"/>
      <c r="E75" s="80"/>
      <c r="F75" s="80"/>
      <c r="G75" s="80"/>
    </row>
    <row r="76" spans="1:7" ht="30" customHeight="1" x14ac:dyDescent="0.25">
      <c r="A76" s="75" t="s">
        <v>154</v>
      </c>
      <c r="B76" s="32" t="s">
        <v>155</v>
      </c>
      <c r="C76" s="76"/>
      <c r="D76" s="77"/>
      <c r="E76" s="77"/>
      <c r="F76" s="77"/>
      <c r="G76" s="77"/>
    </row>
    <row r="77" spans="1:7" ht="30" customHeight="1" x14ac:dyDescent="0.25">
      <c r="A77" s="78" t="s">
        <v>156</v>
      </c>
      <c r="B77" s="36" t="s">
        <v>157</v>
      </c>
      <c r="C77" s="79"/>
      <c r="D77" s="80"/>
      <c r="E77" s="80"/>
      <c r="F77" s="80"/>
      <c r="G77" s="80"/>
    </row>
    <row r="78" spans="1:7" ht="30" customHeight="1" x14ac:dyDescent="0.25">
      <c r="A78" s="75" t="s">
        <v>158</v>
      </c>
      <c r="B78" s="32" t="s">
        <v>159</v>
      </c>
      <c r="C78" s="76"/>
      <c r="D78" s="77"/>
      <c r="E78" s="77"/>
      <c r="F78" s="77"/>
      <c r="G78" s="77"/>
    </row>
    <row r="79" spans="1:7" ht="30" customHeight="1" x14ac:dyDescent="0.25">
      <c r="A79" s="75" t="s">
        <v>160</v>
      </c>
      <c r="B79" s="36" t="s">
        <v>161</v>
      </c>
      <c r="C79" s="79"/>
      <c r="D79" s="80"/>
      <c r="E79" s="80"/>
      <c r="F79" s="80"/>
      <c r="G79" s="80"/>
    </row>
    <row r="80" spans="1:7" ht="30" customHeight="1" x14ac:dyDescent="0.25">
      <c r="A80" s="75" t="s">
        <v>162</v>
      </c>
      <c r="B80" s="32" t="s">
        <v>163</v>
      </c>
      <c r="C80" s="76"/>
      <c r="D80" s="77"/>
      <c r="E80" s="77"/>
      <c r="F80" s="77"/>
      <c r="G80" s="77"/>
    </row>
    <row r="81" spans="1:7" ht="30" customHeight="1" x14ac:dyDescent="0.25">
      <c r="A81" s="78" t="s">
        <v>164</v>
      </c>
      <c r="B81" s="36" t="s">
        <v>165</v>
      </c>
      <c r="C81" s="79"/>
      <c r="D81" s="80"/>
      <c r="E81" s="80"/>
      <c r="F81" s="80"/>
      <c r="G81" s="80"/>
    </row>
    <row r="82" spans="1:7" ht="30" customHeight="1" x14ac:dyDescent="0.25">
      <c r="A82" s="75" t="s">
        <v>166</v>
      </c>
      <c r="B82" s="32" t="s">
        <v>167</v>
      </c>
      <c r="C82" s="76"/>
      <c r="D82" s="77"/>
      <c r="E82" s="77"/>
      <c r="F82" s="77"/>
      <c r="G82" s="77"/>
    </row>
    <row r="83" spans="1:7" ht="30" customHeight="1" x14ac:dyDescent="0.25">
      <c r="A83" s="81" t="s">
        <v>168</v>
      </c>
      <c r="B83" s="36" t="s">
        <v>169</v>
      </c>
      <c r="C83" s="79"/>
      <c r="D83" s="80"/>
      <c r="E83" s="80"/>
      <c r="F83" s="80"/>
      <c r="G83" s="80"/>
    </row>
    <row r="84" spans="1:7" ht="30" customHeight="1" x14ac:dyDescent="0.25">
      <c r="A84" s="75" t="s">
        <v>170</v>
      </c>
      <c r="B84" s="32" t="s">
        <v>171</v>
      </c>
      <c r="C84" s="76"/>
      <c r="D84" s="77"/>
      <c r="E84" s="77"/>
      <c r="F84" s="77"/>
      <c r="G84" s="77"/>
    </row>
    <row r="85" spans="1:7" ht="30" customHeight="1" x14ac:dyDescent="0.25">
      <c r="A85" s="78" t="s">
        <v>172</v>
      </c>
      <c r="B85" s="36" t="s">
        <v>173</v>
      </c>
      <c r="C85" s="79"/>
      <c r="D85" s="80"/>
      <c r="E85" s="80"/>
      <c r="F85" s="80"/>
      <c r="G85" s="80"/>
    </row>
    <row r="86" spans="1:7" ht="30" customHeight="1" x14ac:dyDescent="0.25">
      <c r="A86" s="75" t="s">
        <v>174</v>
      </c>
      <c r="B86" s="32" t="s">
        <v>175</v>
      </c>
      <c r="C86" s="76"/>
      <c r="D86" s="77"/>
      <c r="E86" s="77"/>
      <c r="F86" s="77"/>
      <c r="G86" s="77"/>
    </row>
    <row r="87" spans="1:7" ht="30" customHeight="1" x14ac:dyDescent="0.25">
      <c r="A87" s="75" t="s">
        <v>176</v>
      </c>
      <c r="B87" s="36" t="s">
        <v>177</v>
      </c>
      <c r="C87" s="79"/>
      <c r="D87" s="80"/>
      <c r="E87" s="80"/>
      <c r="F87" s="80"/>
      <c r="G87" s="80"/>
    </row>
    <row r="88" spans="1:7" ht="30" customHeight="1" x14ac:dyDescent="0.25">
      <c r="A88" s="78" t="s">
        <v>178</v>
      </c>
      <c r="B88" s="32" t="s">
        <v>179</v>
      </c>
      <c r="C88" s="76"/>
      <c r="D88" s="77"/>
      <c r="E88" s="77"/>
      <c r="F88" s="77"/>
      <c r="G88" s="77"/>
    </row>
    <row r="89" spans="1:7" ht="30" customHeight="1" x14ac:dyDescent="0.25">
      <c r="A89" s="75" t="s">
        <v>180</v>
      </c>
      <c r="B89" s="36" t="s">
        <v>181</v>
      </c>
      <c r="C89" s="79"/>
      <c r="D89" s="80"/>
      <c r="E89" s="80"/>
      <c r="F89" s="80"/>
      <c r="G89" s="80"/>
    </row>
    <row r="90" spans="1:7" ht="30" customHeight="1" x14ac:dyDescent="0.25">
      <c r="A90" s="81" t="s">
        <v>182</v>
      </c>
      <c r="B90" s="32" t="s">
        <v>183</v>
      </c>
      <c r="C90" s="76"/>
      <c r="D90" s="77"/>
      <c r="E90" s="77"/>
      <c r="F90" s="77"/>
      <c r="G90" s="77"/>
    </row>
    <row r="91" spans="1:7" ht="30" customHeight="1" x14ac:dyDescent="0.25">
      <c r="A91" s="75" t="s">
        <v>184</v>
      </c>
      <c r="B91" s="36" t="s">
        <v>185</v>
      </c>
      <c r="C91" s="79"/>
      <c r="D91" s="80"/>
      <c r="E91" s="80"/>
      <c r="F91" s="80"/>
      <c r="G91" s="80"/>
    </row>
    <row r="92" spans="1:7" ht="30" customHeight="1" x14ac:dyDescent="0.25">
      <c r="A92" s="75" t="s">
        <v>186</v>
      </c>
      <c r="B92" s="32" t="s">
        <v>187</v>
      </c>
      <c r="C92" s="76"/>
      <c r="D92" s="77"/>
      <c r="E92" s="77"/>
      <c r="F92" s="77"/>
      <c r="G92" s="77"/>
    </row>
    <row r="93" spans="1:7" ht="30" customHeight="1" x14ac:dyDescent="0.25">
      <c r="A93" s="75" t="s">
        <v>188</v>
      </c>
      <c r="B93" s="36" t="s">
        <v>189</v>
      </c>
      <c r="C93" s="79"/>
      <c r="D93" s="80"/>
      <c r="E93" s="80"/>
      <c r="F93" s="80"/>
      <c r="G93" s="80"/>
    </row>
    <row r="94" spans="1:7" ht="30" customHeight="1" x14ac:dyDescent="0.25">
      <c r="A94" s="75" t="s">
        <v>190</v>
      </c>
      <c r="B94" s="32" t="s">
        <v>191</v>
      </c>
      <c r="C94" s="76"/>
      <c r="D94" s="77"/>
      <c r="E94" s="77"/>
      <c r="F94" s="77"/>
      <c r="G94" s="77"/>
    </row>
    <row r="95" spans="1:7" ht="30" customHeight="1" x14ac:dyDescent="0.25">
      <c r="A95" s="75" t="s">
        <v>192</v>
      </c>
      <c r="B95" s="36" t="s">
        <v>193</v>
      </c>
      <c r="C95" s="79"/>
      <c r="D95" s="80"/>
      <c r="E95" s="80"/>
      <c r="F95" s="80"/>
      <c r="G95" s="80"/>
    </row>
    <row r="96" spans="1:7" ht="30" customHeight="1" x14ac:dyDescent="0.25">
      <c r="A96" s="78" t="s">
        <v>194</v>
      </c>
      <c r="B96" s="32" t="s">
        <v>195</v>
      </c>
      <c r="C96" s="76"/>
      <c r="D96" s="77"/>
      <c r="E96" s="77"/>
      <c r="F96" s="77"/>
      <c r="G96" s="77"/>
    </row>
    <row r="97" spans="1:7" ht="30" customHeight="1" x14ac:dyDescent="0.25">
      <c r="A97" s="78" t="s">
        <v>196</v>
      </c>
      <c r="B97" s="36" t="s">
        <v>197</v>
      </c>
      <c r="C97" s="79"/>
      <c r="D97" s="80"/>
      <c r="E97" s="80"/>
      <c r="F97" s="80"/>
      <c r="G97" s="80"/>
    </row>
    <row r="98" spans="1:7" ht="30" customHeight="1" x14ac:dyDescent="0.25">
      <c r="A98" s="78" t="s">
        <v>198</v>
      </c>
      <c r="B98" s="32" t="s">
        <v>199</v>
      </c>
      <c r="C98" s="76"/>
      <c r="D98" s="77"/>
      <c r="E98" s="77"/>
      <c r="F98" s="77"/>
      <c r="G98" s="77"/>
    </row>
    <row r="99" spans="1:7" ht="30" customHeight="1" x14ac:dyDescent="0.25">
      <c r="A99" s="75" t="s">
        <v>200</v>
      </c>
      <c r="B99" s="36" t="s">
        <v>201</v>
      </c>
      <c r="C99" s="79"/>
      <c r="D99" s="80"/>
      <c r="E99" s="80"/>
      <c r="F99" s="80"/>
      <c r="G99" s="80"/>
    </row>
    <row r="100" spans="1:7" ht="30" customHeight="1" x14ac:dyDescent="0.25">
      <c r="A100" s="78" t="s">
        <v>202</v>
      </c>
      <c r="B100" s="32" t="s">
        <v>203</v>
      </c>
      <c r="C100" s="76"/>
      <c r="D100" s="77"/>
      <c r="E100" s="77"/>
      <c r="F100" s="77"/>
      <c r="G100" s="77"/>
    </row>
    <row r="101" spans="1:7" ht="30" customHeight="1" x14ac:dyDescent="0.25">
      <c r="A101" s="81" t="s">
        <v>204</v>
      </c>
      <c r="B101" s="36" t="s">
        <v>205</v>
      </c>
      <c r="C101" s="79"/>
      <c r="D101" s="80"/>
      <c r="E101" s="80"/>
      <c r="F101" s="80"/>
      <c r="G101" s="80"/>
    </row>
    <row r="102" spans="1:7" ht="30" customHeight="1" x14ac:dyDescent="0.25">
      <c r="A102" s="75" t="s">
        <v>206</v>
      </c>
      <c r="B102" s="32" t="s">
        <v>207</v>
      </c>
      <c r="C102" s="76"/>
      <c r="D102" s="77"/>
      <c r="E102" s="77"/>
      <c r="F102" s="77"/>
      <c r="G102" s="77"/>
    </row>
    <row r="103" spans="1:7" ht="30" customHeight="1" x14ac:dyDescent="0.25">
      <c r="A103" s="78" t="s">
        <v>208</v>
      </c>
      <c r="B103" s="36" t="s">
        <v>209</v>
      </c>
      <c r="C103" s="79"/>
      <c r="D103" s="80"/>
      <c r="E103" s="80"/>
      <c r="F103" s="80"/>
      <c r="G103" s="80"/>
    </row>
    <row r="104" spans="1:7" ht="30" customHeight="1" x14ac:dyDescent="0.25">
      <c r="A104" s="78" t="s">
        <v>210</v>
      </c>
      <c r="B104" s="32" t="s">
        <v>211</v>
      </c>
      <c r="C104" s="76"/>
      <c r="D104" s="77"/>
      <c r="E104" s="77"/>
      <c r="F104" s="77"/>
      <c r="G104" s="77"/>
    </row>
    <row r="105" spans="1:7" ht="30" customHeight="1" x14ac:dyDescent="0.25">
      <c r="A105" s="78" t="s">
        <v>212</v>
      </c>
      <c r="B105" s="36" t="s">
        <v>213</v>
      </c>
      <c r="C105" s="79"/>
      <c r="D105" s="80"/>
      <c r="E105" s="80"/>
      <c r="F105" s="80"/>
      <c r="G105" s="80"/>
    </row>
    <row r="106" spans="1:7" ht="30" customHeight="1" x14ac:dyDescent="0.25">
      <c r="A106" s="75" t="s">
        <v>214</v>
      </c>
      <c r="B106" s="32" t="s">
        <v>215</v>
      </c>
      <c r="C106" s="76"/>
      <c r="D106" s="77"/>
      <c r="E106" s="77"/>
      <c r="F106" s="77"/>
      <c r="G106" s="77"/>
    </row>
    <row r="107" spans="1:7" ht="30" customHeight="1" x14ac:dyDescent="0.25">
      <c r="A107" s="78" t="s">
        <v>216</v>
      </c>
      <c r="B107" s="36" t="s">
        <v>217</v>
      </c>
      <c r="C107" s="79"/>
      <c r="D107" s="80"/>
      <c r="E107" s="80"/>
      <c r="F107" s="80"/>
      <c r="G107" s="80"/>
    </row>
    <row r="108" spans="1:7" ht="30" customHeight="1" x14ac:dyDescent="0.25">
      <c r="A108" s="81" t="s">
        <v>218</v>
      </c>
      <c r="B108" s="32" t="s">
        <v>219</v>
      </c>
      <c r="C108" s="76"/>
      <c r="D108" s="77"/>
      <c r="E108" s="77"/>
      <c r="F108" s="77"/>
      <c r="G108" s="77"/>
    </row>
    <row r="109" spans="1:7" ht="30" customHeight="1" x14ac:dyDescent="0.25">
      <c r="A109" s="81" t="s">
        <v>220</v>
      </c>
      <c r="B109" s="36" t="s">
        <v>221</v>
      </c>
      <c r="C109" s="79"/>
      <c r="D109" s="80"/>
      <c r="E109" s="80"/>
      <c r="F109" s="80"/>
      <c r="G109" s="80"/>
    </row>
    <row r="110" spans="1:7" ht="30" customHeight="1" x14ac:dyDescent="0.25">
      <c r="A110" s="75" t="s">
        <v>222</v>
      </c>
      <c r="B110" s="32" t="s">
        <v>223</v>
      </c>
      <c r="C110" s="76"/>
      <c r="D110" s="77"/>
      <c r="E110" s="77"/>
      <c r="F110" s="77"/>
      <c r="G110" s="77"/>
    </row>
    <row r="111" spans="1:7" ht="30" customHeight="1" x14ac:dyDescent="0.25">
      <c r="A111" s="78" t="s">
        <v>224</v>
      </c>
      <c r="B111" s="36" t="s">
        <v>225</v>
      </c>
      <c r="C111" s="79"/>
      <c r="D111" s="80"/>
      <c r="E111" s="80"/>
      <c r="F111" s="80"/>
      <c r="G111" s="80"/>
    </row>
    <row r="112" spans="1:7" ht="30" customHeight="1" x14ac:dyDescent="0.25">
      <c r="A112" s="78" t="s">
        <v>226</v>
      </c>
      <c r="B112" s="32" t="s">
        <v>227</v>
      </c>
      <c r="C112" s="76"/>
      <c r="D112" s="77"/>
      <c r="E112" s="77"/>
      <c r="F112" s="77"/>
      <c r="G112" s="77"/>
    </row>
    <row r="113" spans="1:7" ht="30" customHeight="1" x14ac:dyDescent="0.25">
      <c r="A113" s="78" t="s">
        <v>228</v>
      </c>
      <c r="B113" s="36" t="s">
        <v>229</v>
      </c>
      <c r="C113" s="79"/>
      <c r="D113" s="80"/>
      <c r="E113" s="80"/>
      <c r="F113" s="80"/>
      <c r="G113" s="80"/>
    </row>
    <row r="114" spans="1:7" ht="30" customHeight="1" x14ac:dyDescent="0.25">
      <c r="A114" s="81" t="s">
        <v>230</v>
      </c>
      <c r="B114" s="32" t="s">
        <v>231</v>
      </c>
      <c r="C114" s="76"/>
      <c r="D114" s="77"/>
      <c r="E114" s="77"/>
      <c r="F114" s="77"/>
      <c r="G114" s="77"/>
    </row>
    <row r="115" spans="1:7" ht="30" customHeight="1" x14ac:dyDescent="0.25">
      <c r="A115" s="81" t="s">
        <v>232</v>
      </c>
      <c r="B115" s="36" t="s">
        <v>233</v>
      </c>
      <c r="C115" s="79"/>
      <c r="D115" s="80"/>
      <c r="E115" s="80"/>
      <c r="F115" s="80"/>
      <c r="G115" s="80"/>
    </row>
    <row r="116" spans="1:7" ht="30" customHeight="1" x14ac:dyDescent="0.25">
      <c r="A116" s="81" t="s">
        <v>234</v>
      </c>
      <c r="B116" s="32" t="s">
        <v>235</v>
      </c>
      <c r="C116" s="76"/>
      <c r="D116" s="77"/>
      <c r="E116" s="77"/>
      <c r="F116" s="77"/>
      <c r="G116" s="77"/>
    </row>
    <row r="117" spans="1:7" ht="30" customHeight="1" x14ac:dyDescent="0.25">
      <c r="A117" s="81" t="s">
        <v>236</v>
      </c>
      <c r="B117" s="36" t="s">
        <v>237</v>
      </c>
      <c r="C117" s="79"/>
      <c r="D117" s="80"/>
      <c r="E117" s="80"/>
      <c r="F117" s="80"/>
      <c r="G117" s="80"/>
    </row>
    <row r="118" spans="1:7" ht="30" customHeight="1" x14ac:dyDescent="0.25">
      <c r="A118" s="75" t="s">
        <v>238</v>
      </c>
      <c r="B118" s="32" t="s">
        <v>239</v>
      </c>
      <c r="C118" s="76"/>
      <c r="D118" s="77"/>
      <c r="E118" s="77"/>
      <c r="F118" s="77"/>
      <c r="G118" s="77"/>
    </row>
    <row r="119" spans="1:7" ht="30" customHeight="1" x14ac:dyDescent="0.25">
      <c r="A119" s="75" t="s">
        <v>240</v>
      </c>
      <c r="B119" s="36" t="s">
        <v>241</v>
      </c>
      <c r="C119" s="79"/>
      <c r="D119" s="80"/>
      <c r="E119" s="80"/>
      <c r="F119" s="80"/>
      <c r="G119" s="80"/>
    </row>
    <row r="120" spans="1:7" ht="30" customHeight="1" x14ac:dyDescent="0.25">
      <c r="A120" s="75" t="s">
        <v>242</v>
      </c>
      <c r="B120" s="32" t="s">
        <v>243</v>
      </c>
      <c r="C120" s="76"/>
      <c r="D120" s="77"/>
      <c r="E120" s="77"/>
      <c r="F120" s="77"/>
      <c r="G120" s="77"/>
    </row>
    <row r="121" spans="1:7" ht="30" customHeight="1" x14ac:dyDescent="0.25">
      <c r="A121" s="78" t="s">
        <v>244</v>
      </c>
      <c r="B121" s="36" t="s">
        <v>245</v>
      </c>
      <c r="C121" s="79"/>
      <c r="D121" s="80"/>
      <c r="E121" s="80"/>
      <c r="F121" s="80"/>
      <c r="G121" s="80"/>
    </row>
    <row r="122" spans="1:7" ht="30" customHeight="1" x14ac:dyDescent="0.25">
      <c r="A122" s="78" t="s">
        <v>246</v>
      </c>
      <c r="B122" s="32" t="s">
        <v>247</v>
      </c>
      <c r="C122" s="76"/>
      <c r="D122" s="77"/>
      <c r="E122" s="77"/>
      <c r="F122" s="77"/>
      <c r="G122" s="77"/>
    </row>
    <row r="123" spans="1:7" ht="30" customHeight="1" x14ac:dyDescent="0.25">
      <c r="A123" s="81" t="s">
        <v>248</v>
      </c>
      <c r="B123" s="36" t="s">
        <v>249</v>
      </c>
      <c r="C123" s="79"/>
      <c r="D123" s="80"/>
      <c r="E123" s="80"/>
      <c r="F123" s="80"/>
      <c r="G123" s="80"/>
    </row>
    <row r="124" spans="1:7" ht="30" customHeight="1" x14ac:dyDescent="0.25">
      <c r="A124" s="75" t="s">
        <v>250</v>
      </c>
      <c r="B124" s="32" t="s">
        <v>251</v>
      </c>
      <c r="C124" s="76"/>
      <c r="D124" s="77"/>
      <c r="E124" s="77"/>
      <c r="F124" s="77"/>
      <c r="G124" s="77"/>
    </row>
    <row r="125" spans="1:7" ht="30" customHeight="1" x14ac:dyDescent="0.25">
      <c r="A125" s="78" t="s">
        <v>252</v>
      </c>
      <c r="B125" s="36" t="s">
        <v>253</v>
      </c>
      <c r="C125" s="79"/>
      <c r="D125" s="80"/>
      <c r="E125" s="80"/>
      <c r="F125" s="80"/>
      <c r="G125" s="80"/>
    </row>
    <row r="126" spans="1:7" ht="30" customHeight="1" x14ac:dyDescent="0.25">
      <c r="A126" s="78" t="s">
        <v>254</v>
      </c>
      <c r="B126" s="32" t="s">
        <v>255</v>
      </c>
      <c r="C126" s="76"/>
      <c r="D126" s="77"/>
      <c r="E126" s="77"/>
      <c r="F126" s="77"/>
      <c r="G126" s="77"/>
    </row>
    <row r="127" spans="1:7" ht="30" customHeight="1" x14ac:dyDescent="0.25">
      <c r="A127" s="81" t="s">
        <v>256</v>
      </c>
      <c r="B127" s="36" t="s">
        <v>257</v>
      </c>
      <c r="C127" s="79"/>
      <c r="D127" s="80"/>
      <c r="E127" s="80"/>
      <c r="F127" s="80"/>
      <c r="G127" s="80"/>
    </row>
    <row r="128" spans="1:7" ht="30" customHeight="1" x14ac:dyDescent="0.25">
      <c r="A128" s="75" t="s">
        <v>258</v>
      </c>
      <c r="B128" s="32" t="s">
        <v>259</v>
      </c>
      <c r="C128" s="76"/>
      <c r="D128" s="77"/>
      <c r="E128" s="77"/>
      <c r="F128" s="77"/>
      <c r="G128" s="77"/>
    </row>
    <row r="129" spans="1:7" ht="30" customHeight="1" x14ac:dyDescent="0.25">
      <c r="A129" s="75" t="s">
        <v>260</v>
      </c>
      <c r="B129" s="36" t="s">
        <v>261</v>
      </c>
      <c r="C129" s="79"/>
      <c r="D129" s="80"/>
      <c r="E129" s="80"/>
      <c r="F129" s="80"/>
      <c r="G129" s="80"/>
    </row>
    <row r="130" spans="1:7" ht="30" customHeight="1" x14ac:dyDescent="0.25">
      <c r="A130" s="78" t="s">
        <v>262</v>
      </c>
      <c r="B130" s="32" t="s">
        <v>263</v>
      </c>
      <c r="C130" s="76"/>
      <c r="D130" s="77"/>
      <c r="E130" s="77"/>
      <c r="F130" s="77"/>
      <c r="G130" s="77"/>
    </row>
    <row r="131" spans="1:7" ht="30" customHeight="1" x14ac:dyDescent="0.25">
      <c r="A131" s="75" t="s">
        <v>264</v>
      </c>
      <c r="B131" s="36" t="s">
        <v>265</v>
      </c>
      <c r="C131" s="79"/>
      <c r="D131" s="80"/>
      <c r="E131" s="80"/>
      <c r="F131" s="80"/>
      <c r="G131" s="80"/>
    </row>
    <row r="132" spans="1:7" ht="30" customHeight="1" x14ac:dyDescent="0.25">
      <c r="A132" s="75" t="s">
        <v>266</v>
      </c>
      <c r="B132" s="32" t="s">
        <v>267</v>
      </c>
      <c r="C132" s="76"/>
      <c r="D132" s="77"/>
      <c r="E132" s="77"/>
      <c r="F132" s="77"/>
      <c r="G132" s="77"/>
    </row>
    <row r="133" spans="1:7" ht="30" customHeight="1" x14ac:dyDescent="0.25">
      <c r="A133" s="75" t="s">
        <v>268</v>
      </c>
      <c r="B133" s="36" t="s">
        <v>269</v>
      </c>
      <c r="C133" s="79"/>
      <c r="D133" s="80"/>
      <c r="E133" s="80"/>
      <c r="F133" s="80"/>
      <c r="G133" s="80"/>
    </row>
    <row r="134" spans="1:7" ht="30" customHeight="1" x14ac:dyDescent="0.25">
      <c r="A134" s="75" t="s">
        <v>270</v>
      </c>
      <c r="B134" s="32" t="s">
        <v>271</v>
      </c>
      <c r="C134" s="76"/>
      <c r="D134" s="77"/>
      <c r="E134" s="77"/>
      <c r="F134" s="77"/>
      <c r="G134" s="77"/>
    </row>
    <row r="135" spans="1:7" ht="30" customHeight="1" x14ac:dyDescent="0.25">
      <c r="A135" s="78" t="s">
        <v>272</v>
      </c>
      <c r="B135" s="36" t="s">
        <v>273</v>
      </c>
      <c r="C135" s="79"/>
      <c r="D135" s="80"/>
      <c r="E135" s="80"/>
      <c r="F135" s="80"/>
      <c r="G135" s="80"/>
    </row>
    <row r="136" spans="1:7" ht="30" customHeight="1" x14ac:dyDescent="0.25">
      <c r="A136" s="78" t="s">
        <v>274</v>
      </c>
      <c r="B136" s="32" t="s">
        <v>275</v>
      </c>
      <c r="C136" s="76"/>
      <c r="D136" s="77"/>
      <c r="E136" s="77"/>
      <c r="F136" s="77"/>
      <c r="G136" s="77"/>
    </row>
    <row r="137" spans="1:7" ht="30" customHeight="1" x14ac:dyDescent="0.25">
      <c r="A137" s="75" t="s">
        <v>276</v>
      </c>
      <c r="B137" s="36" t="s">
        <v>277</v>
      </c>
      <c r="C137" s="79"/>
      <c r="D137" s="80"/>
      <c r="E137" s="80"/>
      <c r="F137" s="80"/>
      <c r="G137" s="80"/>
    </row>
    <row r="138" spans="1:7" ht="30" customHeight="1" x14ac:dyDescent="0.25">
      <c r="A138" s="75" t="s">
        <v>278</v>
      </c>
      <c r="B138" s="32" t="s">
        <v>279</v>
      </c>
      <c r="C138" s="76"/>
      <c r="D138" s="77"/>
      <c r="E138" s="77"/>
      <c r="F138" s="77"/>
      <c r="G138" s="77"/>
    </row>
    <row r="139" spans="1:7" ht="30" customHeight="1" x14ac:dyDescent="0.25">
      <c r="A139" s="78" t="s">
        <v>280</v>
      </c>
      <c r="B139" s="36" t="s">
        <v>281</v>
      </c>
      <c r="C139" s="79"/>
      <c r="D139" s="80"/>
      <c r="E139" s="80"/>
      <c r="F139" s="80"/>
      <c r="G139" s="80"/>
    </row>
    <row r="140" spans="1:7" ht="30" customHeight="1" x14ac:dyDescent="0.25">
      <c r="A140" s="81" t="s">
        <v>282</v>
      </c>
      <c r="B140" s="32" t="s">
        <v>283</v>
      </c>
      <c r="C140" s="76"/>
      <c r="D140" s="77"/>
      <c r="E140" s="77"/>
      <c r="F140" s="77"/>
      <c r="G140" s="77"/>
    </row>
    <row r="141" spans="1:7" ht="30" customHeight="1" x14ac:dyDescent="0.25">
      <c r="A141" s="78" t="s">
        <v>284</v>
      </c>
      <c r="B141" s="36" t="s">
        <v>285</v>
      </c>
      <c r="C141" s="79"/>
      <c r="D141" s="80"/>
      <c r="E141" s="80"/>
      <c r="F141" s="80"/>
      <c r="G141" s="80"/>
    </row>
    <row r="142" spans="1:7" ht="30" customHeight="1" x14ac:dyDescent="0.25">
      <c r="A142" s="78" t="s">
        <v>286</v>
      </c>
      <c r="B142" s="32" t="s">
        <v>287</v>
      </c>
      <c r="C142" s="76"/>
      <c r="D142" s="77"/>
      <c r="E142" s="77"/>
      <c r="F142" s="77"/>
      <c r="G142" s="77"/>
    </row>
    <row r="143" spans="1:7" ht="30" customHeight="1" x14ac:dyDescent="0.25">
      <c r="A143" s="78" t="s">
        <v>288</v>
      </c>
      <c r="B143" s="36" t="s">
        <v>289</v>
      </c>
      <c r="C143" s="79"/>
      <c r="D143" s="80"/>
      <c r="E143" s="80"/>
      <c r="F143" s="80"/>
      <c r="G143" s="80"/>
    </row>
    <row r="144" spans="1:7" ht="30" customHeight="1" x14ac:dyDescent="0.25">
      <c r="A144" s="81" t="s">
        <v>290</v>
      </c>
      <c r="B144" s="32" t="s">
        <v>291</v>
      </c>
      <c r="C144" s="76"/>
      <c r="D144" s="77"/>
      <c r="E144" s="77"/>
      <c r="F144" s="77"/>
      <c r="G144" s="77"/>
    </row>
    <row r="145" spans="1:7" ht="30" customHeight="1" x14ac:dyDescent="0.25">
      <c r="A145" s="75" t="s">
        <v>292</v>
      </c>
      <c r="B145" s="36" t="s">
        <v>293</v>
      </c>
      <c r="C145" s="79"/>
      <c r="D145" s="80"/>
      <c r="E145" s="80"/>
      <c r="F145" s="80"/>
      <c r="G145" s="80"/>
    </row>
    <row r="146" spans="1:7" ht="30" customHeight="1" x14ac:dyDescent="0.25">
      <c r="A146" s="75" t="s">
        <v>294</v>
      </c>
      <c r="B146" s="32" t="s">
        <v>295</v>
      </c>
      <c r="C146" s="76"/>
      <c r="D146" s="77"/>
      <c r="E146" s="77"/>
      <c r="F146" s="77"/>
      <c r="G146" s="77"/>
    </row>
    <row r="147" spans="1:7" ht="30" customHeight="1" x14ac:dyDescent="0.25">
      <c r="A147" s="78" t="s">
        <v>296</v>
      </c>
      <c r="B147" s="36" t="s">
        <v>297</v>
      </c>
      <c r="C147" s="79"/>
      <c r="D147" s="80"/>
      <c r="E147" s="80"/>
      <c r="F147" s="80"/>
      <c r="G147" s="80"/>
    </row>
    <row r="148" spans="1:7" ht="30" customHeight="1" x14ac:dyDescent="0.25">
      <c r="A148" s="78" t="s">
        <v>298</v>
      </c>
      <c r="B148" s="32" t="s">
        <v>299</v>
      </c>
      <c r="C148" s="76"/>
      <c r="D148" s="77"/>
      <c r="E148" s="77"/>
      <c r="F148" s="77"/>
      <c r="G148" s="77"/>
    </row>
    <row r="149" spans="1:7" ht="30" customHeight="1" x14ac:dyDescent="0.25">
      <c r="A149" s="75" t="s">
        <v>300</v>
      </c>
      <c r="B149" s="36" t="s">
        <v>301</v>
      </c>
      <c r="C149" s="79"/>
      <c r="D149" s="80"/>
      <c r="E149" s="80"/>
      <c r="F149" s="80"/>
      <c r="G149" s="80"/>
    </row>
    <row r="150" spans="1:7" ht="30" customHeight="1" x14ac:dyDescent="0.25">
      <c r="A150" s="78" t="s">
        <v>302</v>
      </c>
      <c r="B150" s="32" t="s">
        <v>303</v>
      </c>
      <c r="C150" s="76"/>
      <c r="D150" s="77"/>
      <c r="E150" s="77"/>
      <c r="F150" s="77"/>
      <c r="G150" s="77"/>
    </row>
    <row r="151" spans="1:7" ht="30" customHeight="1" x14ac:dyDescent="0.25">
      <c r="A151" s="78" t="s">
        <v>304</v>
      </c>
      <c r="B151" s="36" t="s">
        <v>305</v>
      </c>
      <c r="C151" s="79"/>
      <c r="D151" s="80"/>
      <c r="E151" s="80"/>
      <c r="F151" s="80"/>
      <c r="G151" s="80"/>
    </row>
    <row r="152" spans="1:7" ht="30" customHeight="1" x14ac:dyDescent="0.25">
      <c r="A152" s="78" t="s">
        <v>306</v>
      </c>
      <c r="B152" s="32" t="s">
        <v>307</v>
      </c>
      <c r="C152" s="76"/>
      <c r="D152" s="77"/>
      <c r="E152" s="77"/>
      <c r="F152" s="77"/>
      <c r="G152" s="77"/>
    </row>
    <row r="153" spans="1:7" ht="30" customHeight="1" x14ac:dyDescent="0.25">
      <c r="A153" s="78" t="s">
        <v>308</v>
      </c>
      <c r="B153" s="36" t="s">
        <v>309</v>
      </c>
      <c r="C153" s="79"/>
      <c r="D153" s="80"/>
      <c r="E153" s="80"/>
      <c r="F153" s="80"/>
      <c r="G153" s="80"/>
    </row>
    <row r="154" spans="1:7" ht="30" customHeight="1" x14ac:dyDescent="0.25">
      <c r="A154" s="75" t="s">
        <v>310</v>
      </c>
      <c r="B154" s="32" t="s">
        <v>311</v>
      </c>
      <c r="C154" s="76"/>
      <c r="D154" s="77"/>
      <c r="E154" s="77"/>
      <c r="F154" s="77"/>
      <c r="G154" s="77"/>
    </row>
    <row r="155" spans="1:7" ht="30" customHeight="1" x14ac:dyDescent="0.25">
      <c r="A155" s="75" t="s">
        <v>312</v>
      </c>
      <c r="B155" s="36" t="s">
        <v>313</v>
      </c>
      <c r="C155" s="79"/>
      <c r="D155" s="80"/>
      <c r="E155" s="80"/>
      <c r="F155" s="80"/>
      <c r="G155" s="80"/>
    </row>
    <row r="156" spans="1:7" ht="30" customHeight="1" x14ac:dyDescent="0.25">
      <c r="A156" s="81" t="s">
        <v>314</v>
      </c>
      <c r="B156" s="32" t="s">
        <v>315</v>
      </c>
      <c r="C156" s="76"/>
      <c r="D156" s="77"/>
      <c r="E156" s="77"/>
      <c r="F156" s="77"/>
      <c r="G156" s="77"/>
    </row>
    <row r="157" spans="1:7" ht="30" customHeight="1" x14ac:dyDescent="0.25">
      <c r="A157" s="75" t="s">
        <v>316</v>
      </c>
      <c r="B157" s="36" t="s">
        <v>317</v>
      </c>
      <c r="C157" s="79"/>
      <c r="D157" s="80"/>
      <c r="E157" s="80"/>
      <c r="F157" s="80"/>
      <c r="G157" s="80"/>
    </row>
    <row r="158" spans="1:7" ht="30" customHeight="1" x14ac:dyDescent="0.25">
      <c r="A158" s="75" t="s">
        <v>318</v>
      </c>
      <c r="B158" s="32" t="s">
        <v>319</v>
      </c>
      <c r="C158" s="76"/>
      <c r="D158" s="77"/>
      <c r="E158" s="77"/>
      <c r="F158" s="77"/>
      <c r="G158" s="77"/>
    </row>
    <row r="159" spans="1:7" ht="30" customHeight="1" x14ac:dyDescent="0.25">
      <c r="A159" s="78" t="s">
        <v>320</v>
      </c>
      <c r="B159" s="36" t="s">
        <v>321</v>
      </c>
      <c r="C159" s="79"/>
      <c r="D159" s="80"/>
      <c r="E159" s="80"/>
      <c r="F159" s="80"/>
      <c r="G159" s="80"/>
    </row>
    <row r="160" spans="1:7" ht="30" customHeight="1" x14ac:dyDescent="0.25">
      <c r="A160" s="78" t="s">
        <v>322</v>
      </c>
      <c r="B160" s="32" t="s">
        <v>323</v>
      </c>
      <c r="C160" s="76"/>
      <c r="D160" s="77"/>
      <c r="E160" s="77"/>
      <c r="F160" s="77"/>
      <c r="G160" s="77"/>
    </row>
    <row r="161" spans="1:7" ht="30" customHeight="1" x14ac:dyDescent="0.25">
      <c r="A161" s="81" t="s">
        <v>324</v>
      </c>
      <c r="B161" s="36" t="s">
        <v>325</v>
      </c>
      <c r="C161" s="79"/>
      <c r="D161" s="80"/>
      <c r="E161" s="80"/>
      <c r="F161" s="80"/>
      <c r="G161" s="80"/>
    </row>
    <row r="162" spans="1:7" ht="30" customHeight="1" x14ac:dyDescent="0.25">
      <c r="A162" s="75" t="s">
        <v>326</v>
      </c>
      <c r="B162" s="32" t="s">
        <v>327</v>
      </c>
      <c r="C162" s="76"/>
      <c r="D162" s="77"/>
      <c r="E162" s="77"/>
      <c r="F162" s="77"/>
      <c r="G162" s="77"/>
    </row>
    <row r="163" spans="1:7" ht="30" customHeight="1" x14ac:dyDescent="0.25">
      <c r="A163" s="75" t="s">
        <v>328</v>
      </c>
      <c r="B163" s="36" t="s">
        <v>329</v>
      </c>
      <c r="C163" s="79"/>
      <c r="D163" s="80"/>
      <c r="E163" s="80"/>
      <c r="F163" s="80"/>
      <c r="G163" s="80"/>
    </row>
    <row r="164" spans="1:7" ht="30" customHeight="1" x14ac:dyDescent="0.25">
      <c r="A164" s="75" t="s">
        <v>330</v>
      </c>
      <c r="B164" s="32" t="s">
        <v>331</v>
      </c>
      <c r="C164" s="76"/>
      <c r="D164" s="77"/>
      <c r="E164" s="77"/>
      <c r="F164" s="77"/>
      <c r="G164" s="77"/>
    </row>
    <row r="165" spans="1:7" ht="30" customHeight="1" x14ac:dyDescent="0.25">
      <c r="A165" s="78" t="s">
        <v>332</v>
      </c>
      <c r="B165" s="36" t="s">
        <v>333</v>
      </c>
      <c r="C165" s="79"/>
      <c r="D165" s="80"/>
      <c r="E165" s="80"/>
      <c r="F165" s="80"/>
      <c r="G165" s="80"/>
    </row>
    <row r="166" spans="1:7" ht="30" customHeight="1" x14ac:dyDescent="0.25">
      <c r="A166" s="78" t="s">
        <v>334</v>
      </c>
      <c r="B166" s="32" t="s">
        <v>335</v>
      </c>
      <c r="C166" s="76"/>
      <c r="D166" s="77"/>
      <c r="E166" s="77"/>
      <c r="F166" s="77"/>
      <c r="G166" s="77"/>
    </row>
    <row r="167" spans="1:7" ht="30" customHeight="1" x14ac:dyDescent="0.25">
      <c r="A167" s="81" t="s">
        <v>336</v>
      </c>
      <c r="B167" s="36" t="s">
        <v>337</v>
      </c>
      <c r="C167" s="79"/>
      <c r="D167" s="80"/>
      <c r="E167" s="80"/>
      <c r="F167" s="80"/>
      <c r="G167" s="80"/>
    </row>
    <row r="168" spans="1:7" ht="30" customHeight="1" x14ac:dyDescent="0.25">
      <c r="A168" s="81" t="s">
        <v>338</v>
      </c>
      <c r="B168" s="32" t="s">
        <v>339</v>
      </c>
      <c r="C168" s="76"/>
      <c r="D168" s="77"/>
      <c r="E168" s="77"/>
      <c r="F168" s="77"/>
      <c r="G168" s="77"/>
    </row>
    <row r="169" spans="1:7" ht="30" customHeight="1" x14ac:dyDescent="0.25">
      <c r="A169" s="75" t="s">
        <v>340</v>
      </c>
      <c r="B169" s="36" t="s">
        <v>341</v>
      </c>
      <c r="C169" s="79"/>
      <c r="D169" s="80"/>
      <c r="E169" s="80"/>
      <c r="F169" s="80"/>
      <c r="G169" s="80"/>
    </row>
    <row r="170" spans="1:7" ht="30" customHeight="1" x14ac:dyDescent="0.25">
      <c r="A170" s="75" t="s">
        <v>342</v>
      </c>
      <c r="B170" s="32" t="s">
        <v>343</v>
      </c>
      <c r="C170" s="76"/>
      <c r="D170" s="77"/>
      <c r="E170" s="77"/>
      <c r="F170" s="77"/>
      <c r="G170" s="77"/>
    </row>
    <row r="171" spans="1:7" ht="30" customHeight="1" x14ac:dyDescent="0.25">
      <c r="A171" s="78" t="s">
        <v>344</v>
      </c>
      <c r="B171" s="36" t="s">
        <v>345</v>
      </c>
      <c r="C171" s="79"/>
      <c r="D171" s="80"/>
      <c r="E171" s="80"/>
      <c r="F171" s="80"/>
      <c r="G171" s="80"/>
    </row>
    <row r="172" spans="1:7" ht="30" customHeight="1" x14ac:dyDescent="0.25">
      <c r="A172" s="78" t="s">
        <v>346</v>
      </c>
      <c r="B172" s="32" t="s">
        <v>347</v>
      </c>
      <c r="C172" s="76"/>
      <c r="D172" s="77"/>
      <c r="E172" s="77"/>
      <c r="F172" s="77"/>
      <c r="G172" s="77"/>
    </row>
    <row r="173" spans="1:7" ht="30" customHeight="1" x14ac:dyDescent="0.25">
      <c r="A173" s="78" t="s">
        <v>348</v>
      </c>
      <c r="B173" s="36" t="s">
        <v>349</v>
      </c>
      <c r="C173" s="79"/>
      <c r="D173" s="80"/>
      <c r="E173" s="80"/>
      <c r="F173" s="80"/>
      <c r="G173" s="80"/>
    </row>
    <row r="174" spans="1:7" ht="30" customHeight="1" x14ac:dyDescent="0.25">
      <c r="A174" s="78" t="s">
        <v>350</v>
      </c>
      <c r="B174" s="32" t="s">
        <v>351</v>
      </c>
      <c r="C174" s="76"/>
      <c r="D174" s="77"/>
      <c r="E174" s="77"/>
      <c r="F174" s="77"/>
      <c r="G174" s="77"/>
    </row>
    <row r="175" spans="1:7" ht="30" customHeight="1" x14ac:dyDescent="0.25">
      <c r="A175" s="78" t="s">
        <v>352</v>
      </c>
      <c r="B175" s="36" t="s">
        <v>353</v>
      </c>
      <c r="C175" s="79"/>
      <c r="D175" s="80"/>
      <c r="E175" s="80"/>
      <c r="F175" s="80"/>
      <c r="G175" s="80"/>
    </row>
    <row r="176" spans="1:7" ht="30" customHeight="1" x14ac:dyDescent="0.25">
      <c r="A176" s="75" t="s">
        <v>354</v>
      </c>
      <c r="B176" s="32" t="s">
        <v>355</v>
      </c>
      <c r="C176" s="76"/>
      <c r="D176" s="77"/>
      <c r="E176" s="77"/>
      <c r="F176" s="77"/>
      <c r="G176" s="77"/>
    </row>
    <row r="177" spans="1:7" ht="30" customHeight="1" x14ac:dyDescent="0.25">
      <c r="A177" s="78" t="s">
        <v>356</v>
      </c>
      <c r="B177" s="36" t="s">
        <v>357</v>
      </c>
      <c r="C177" s="79"/>
      <c r="D177" s="80"/>
      <c r="E177" s="80"/>
      <c r="F177" s="80"/>
      <c r="G177" s="80"/>
    </row>
    <row r="178" spans="1:7" ht="30" customHeight="1" x14ac:dyDescent="0.25">
      <c r="A178" s="78" t="s">
        <v>358</v>
      </c>
      <c r="B178" s="32" t="s">
        <v>359</v>
      </c>
      <c r="C178" s="76"/>
      <c r="D178" s="77"/>
      <c r="E178" s="77"/>
      <c r="F178" s="77"/>
      <c r="G178" s="77"/>
    </row>
    <row r="179" spans="1:7" ht="30" customHeight="1" x14ac:dyDescent="0.25">
      <c r="A179" s="75" t="s">
        <v>360</v>
      </c>
      <c r="B179" s="36" t="s">
        <v>361</v>
      </c>
      <c r="C179" s="79"/>
      <c r="D179" s="80"/>
      <c r="E179" s="80"/>
      <c r="F179" s="80"/>
      <c r="G179" s="80"/>
    </row>
    <row r="180" spans="1:7" ht="30" customHeight="1" x14ac:dyDescent="0.25">
      <c r="A180" s="81" t="s">
        <v>362</v>
      </c>
      <c r="B180" s="32" t="s">
        <v>363</v>
      </c>
      <c r="C180" s="76"/>
      <c r="D180" s="77"/>
      <c r="E180" s="77"/>
      <c r="F180" s="77"/>
      <c r="G180" s="77"/>
    </row>
    <row r="181" spans="1:7" ht="30" customHeight="1" x14ac:dyDescent="0.25">
      <c r="A181" s="81" t="s">
        <v>364</v>
      </c>
      <c r="B181" s="36" t="s">
        <v>365</v>
      </c>
      <c r="C181" s="79"/>
      <c r="D181" s="80"/>
      <c r="E181" s="80"/>
      <c r="F181" s="80"/>
      <c r="G181" s="80"/>
    </row>
    <row r="182" spans="1:7" ht="30" customHeight="1" x14ac:dyDescent="0.25">
      <c r="A182" s="75" t="s">
        <v>366</v>
      </c>
      <c r="B182" s="32" t="s">
        <v>367</v>
      </c>
      <c r="C182" s="76"/>
      <c r="D182" s="77"/>
      <c r="E182" s="77"/>
      <c r="F182" s="77"/>
      <c r="G182" s="77"/>
    </row>
    <row r="183" spans="1:7" ht="30" customHeight="1" x14ac:dyDescent="0.25">
      <c r="A183" s="78" t="s">
        <v>368</v>
      </c>
      <c r="B183" s="36" t="s">
        <v>369</v>
      </c>
      <c r="C183" s="79"/>
      <c r="D183" s="80"/>
      <c r="E183" s="80"/>
      <c r="F183" s="80"/>
      <c r="G183" s="80"/>
    </row>
    <row r="184" spans="1:7" ht="30" customHeight="1" x14ac:dyDescent="0.25">
      <c r="A184" s="75" t="s">
        <v>370</v>
      </c>
      <c r="B184" s="32" t="s">
        <v>371</v>
      </c>
      <c r="C184" s="76"/>
      <c r="D184" s="77"/>
      <c r="E184" s="77"/>
      <c r="F184" s="77"/>
      <c r="G184" s="77"/>
    </row>
    <row r="185" spans="1:7" ht="30" customHeight="1" x14ac:dyDescent="0.25">
      <c r="A185" s="78" t="s">
        <v>372</v>
      </c>
      <c r="B185" s="36" t="s">
        <v>373</v>
      </c>
      <c r="C185" s="79"/>
      <c r="D185" s="80"/>
      <c r="E185" s="80"/>
      <c r="F185" s="80"/>
      <c r="G185" s="80"/>
    </row>
    <row r="186" spans="1:7" ht="30" customHeight="1" x14ac:dyDescent="0.25">
      <c r="A186" s="81" t="s">
        <v>374</v>
      </c>
      <c r="B186" s="32" t="s">
        <v>375</v>
      </c>
      <c r="C186" s="76"/>
      <c r="D186" s="77"/>
      <c r="E186" s="77"/>
      <c r="F186" s="77"/>
      <c r="G186" s="77"/>
    </row>
    <row r="187" spans="1:7" ht="30" customHeight="1" x14ac:dyDescent="0.25">
      <c r="A187" s="75" t="s">
        <v>376</v>
      </c>
      <c r="B187" s="36" t="s">
        <v>377</v>
      </c>
      <c r="C187" s="79"/>
      <c r="D187" s="80"/>
      <c r="E187" s="80"/>
      <c r="F187" s="80"/>
      <c r="G187" s="80"/>
    </row>
    <row r="188" spans="1:7" ht="30" customHeight="1" x14ac:dyDescent="0.25">
      <c r="A188" s="75" t="s">
        <v>378</v>
      </c>
      <c r="B188" s="32" t="s">
        <v>379</v>
      </c>
      <c r="C188" s="76"/>
      <c r="D188" s="77"/>
      <c r="E188" s="77"/>
      <c r="F188" s="77"/>
      <c r="G188" s="77"/>
    </row>
    <row r="189" spans="1:7" ht="30" customHeight="1" x14ac:dyDescent="0.25">
      <c r="A189" s="75" t="s">
        <v>380</v>
      </c>
      <c r="B189" s="36" t="s">
        <v>381</v>
      </c>
      <c r="C189" s="79"/>
      <c r="D189" s="80"/>
      <c r="E189" s="80"/>
      <c r="F189" s="80"/>
      <c r="G189" s="80"/>
    </row>
    <row r="190" spans="1:7" ht="30" customHeight="1" x14ac:dyDescent="0.25">
      <c r="A190" s="75" t="s">
        <v>382</v>
      </c>
      <c r="B190" s="32" t="s">
        <v>383</v>
      </c>
      <c r="C190" s="76"/>
      <c r="D190" s="77"/>
      <c r="E190" s="77"/>
      <c r="F190" s="77"/>
      <c r="G190" s="77"/>
    </row>
    <row r="191" spans="1:7" ht="30" customHeight="1" x14ac:dyDescent="0.25">
      <c r="A191" s="78" t="s">
        <v>384</v>
      </c>
      <c r="B191" s="36" t="s">
        <v>385</v>
      </c>
      <c r="C191" s="79"/>
      <c r="D191" s="80"/>
      <c r="E191" s="80"/>
      <c r="F191" s="80"/>
      <c r="G191" s="80"/>
    </row>
    <row r="192" spans="1:7" ht="30" customHeight="1" x14ac:dyDescent="0.25">
      <c r="A192" s="78" t="s">
        <v>386</v>
      </c>
      <c r="B192" s="32" t="s">
        <v>387</v>
      </c>
      <c r="C192" s="76"/>
      <c r="D192" s="77"/>
      <c r="E192" s="77"/>
      <c r="F192" s="77"/>
      <c r="G192" s="77"/>
    </row>
    <row r="193" spans="1:7" ht="30" customHeight="1" x14ac:dyDescent="0.25">
      <c r="A193" s="78" t="s">
        <v>388</v>
      </c>
      <c r="B193" s="36" t="s">
        <v>389</v>
      </c>
      <c r="C193" s="79"/>
      <c r="D193" s="80"/>
      <c r="E193" s="80"/>
      <c r="F193" s="80"/>
      <c r="G193" s="80"/>
    </row>
    <row r="194" spans="1:7" ht="30" customHeight="1" x14ac:dyDescent="0.25">
      <c r="A194" s="75" t="s">
        <v>390</v>
      </c>
      <c r="B194" s="32" t="s">
        <v>391</v>
      </c>
      <c r="C194" s="76"/>
      <c r="D194" s="77"/>
      <c r="E194" s="77"/>
      <c r="F194" s="77"/>
      <c r="G194" s="77"/>
    </row>
    <row r="195" spans="1:7" ht="30" customHeight="1" x14ac:dyDescent="0.25">
      <c r="A195" s="78" t="s">
        <v>392</v>
      </c>
      <c r="B195" s="36" t="s">
        <v>393</v>
      </c>
      <c r="C195" s="79"/>
      <c r="D195" s="80"/>
      <c r="E195" s="80"/>
      <c r="F195" s="80"/>
      <c r="G195" s="80"/>
    </row>
    <row r="196" spans="1:7" ht="30" customHeight="1" x14ac:dyDescent="0.25">
      <c r="A196" s="81" t="s">
        <v>394</v>
      </c>
      <c r="B196" s="32" t="s">
        <v>395</v>
      </c>
      <c r="C196" s="76"/>
      <c r="D196" s="77"/>
      <c r="E196" s="77"/>
      <c r="F196" s="77"/>
      <c r="G196" s="77"/>
    </row>
    <row r="197" spans="1:7" ht="30" customHeight="1" x14ac:dyDescent="0.25">
      <c r="A197" s="75" t="s">
        <v>396</v>
      </c>
      <c r="B197" s="36" t="s">
        <v>397</v>
      </c>
      <c r="C197" s="79"/>
      <c r="D197" s="80"/>
      <c r="E197" s="80"/>
      <c r="F197" s="80"/>
      <c r="G197" s="80"/>
    </row>
    <row r="198" spans="1:7" ht="30" customHeight="1" x14ac:dyDescent="0.25">
      <c r="A198" s="78" t="s">
        <v>398</v>
      </c>
      <c r="B198" s="32" t="s">
        <v>399</v>
      </c>
      <c r="C198" s="76"/>
      <c r="D198" s="77"/>
      <c r="E198" s="77"/>
      <c r="F198" s="77"/>
      <c r="G198" s="77"/>
    </row>
    <row r="199" spans="1:7" ht="30" customHeight="1" x14ac:dyDescent="0.25">
      <c r="A199" s="78" t="s">
        <v>400</v>
      </c>
      <c r="B199" s="36" t="s">
        <v>401</v>
      </c>
      <c r="C199" s="79"/>
      <c r="D199" s="80"/>
      <c r="E199" s="80"/>
      <c r="F199" s="80"/>
      <c r="G199" s="80"/>
    </row>
    <row r="200" spans="1:7" ht="30" customHeight="1" x14ac:dyDescent="0.25">
      <c r="A200" s="75" t="s">
        <v>402</v>
      </c>
      <c r="B200" s="32" t="s">
        <v>403</v>
      </c>
      <c r="C200" s="76"/>
      <c r="D200" s="77"/>
      <c r="E200" s="77"/>
      <c r="F200" s="77"/>
      <c r="G200" s="77"/>
    </row>
    <row r="201" spans="1:7" ht="30" customHeight="1" x14ac:dyDescent="0.25">
      <c r="A201" s="75" t="s">
        <v>404</v>
      </c>
      <c r="B201" s="36" t="s">
        <v>405</v>
      </c>
      <c r="C201" s="79"/>
      <c r="D201" s="80"/>
      <c r="E201" s="80"/>
      <c r="F201" s="80"/>
      <c r="G201" s="80"/>
    </row>
    <row r="202" spans="1:7" ht="30" customHeight="1" x14ac:dyDescent="0.25">
      <c r="A202" s="81" t="s">
        <v>406</v>
      </c>
      <c r="B202" s="32" t="s">
        <v>407</v>
      </c>
      <c r="C202" s="76"/>
      <c r="D202" s="77"/>
      <c r="E202" s="77"/>
      <c r="F202" s="77"/>
      <c r="G202" s="77"/>
    </row>
    <row r="203" spans="1:7" ht="30" customHeight="1" x14ac:dyDescent="0.25">
      <c r="A203" s="75" t="s">
        <v>408</v>
      </c>
      <c r="B203" s="36" t="s">
        <v>409</v>
      </c>
      <c r="C203" s="79"/>
      <c r="D203" s="80"/>
      <c r="E203" s="80"/>
      <c r="F203" s="80"/>
      <c r="G203" s="80"/>
    </row>
    <row r="204" spans="1:7" ht="30" customHeight="1" x14ac:dyDescent="0.25">
      <c r="A204" s="75" t="s">
        <v>410</v>
      </c>
      <c r="B204" s="32" t="s">
        <v>411</v>
      </c>
      <c r="C204" s="76"/>
      <c r="D204" s="77"/>
      <c r="E204" s="77"/>
      <c r="F204" s="77"/>
      <c r="G204" s="77"/>
    </row>
    <row r="205" spans="1:7" ht="30" customHeight="1" x14ac:dyDescent="0.25">
      <c r="A205" s="78" t="s">
        <v>412</v>
      </c>
      <c r="B205" s="36" t="s">
        <v>413</v>
      </c>
      <c r="C205" s="79"/>
      <c r="D205" s="80"/>
      <c r="E205" s="80"/>
      <c r="F205" s="80"/>
      <c r="G205" s="80"/>
    </row>
    <row r="206" spans="1:7" ht="30" customHeight="1" x14ac:dyDescent="0.25">
      <c r="A206" s="75" t="s">
        <v>414</v>
      </c>
      <c r="B206" s="32" t="s">
        <v>415</v>
      </c>
      <c r="C206" s="76"/>
      <c r="D206" s="77"/>
      <c r="E206" s="77"/>
      <c r="F206" s="77"/>
      <c r="G206" s="77"/>
    </row>
    <row r="207" spans="1:7" ht="30" customHeight="1" x14ac:dyDescent="0.25">
      <c r="A207" s="75" t="s">
        <v>416</v>
      </c>
      <c r="B207" s="36" t="s">
        <v>417</v>
      </c>
      <c r="C207" s="79"/>
      <c r="D207" s="80"/>
      <c r="E207" s="80"/>
      <c r="F207" s="80"/>
      <c r="G207" s="80"/>
    </row>
    <row r="208" spans="1:7" ht="30" customHeight="1" x14ac:dyDescent="0.25">
      <c r="A208" s="78" t="s">
        <v>418</v>
      </c>
      <c r="B208" s="32" t="s">
        <v>419</v>
      </c>
      <c r="C208" s="76"/>
      <c r="D208" s="77"/>
      <c r="E208" s="77"/>
      <c r="F208" s="77"/>
      <c r="G208" s="77"/>
    </row>
    <row r="209" spans="1:7" ht="30" customHeight="1" x14ac:dyDescent="0.25">
      <c r="A209" s="78" t="s">
        <v>420</v>
      </c>
      <c r="B209" s="36" t="s">
        <v>421</v>
      </c>
      <c r="C209" s="79"/>
      <c r="D209" s="80"/>
      <c r="E209" s="80"/>
      <c r="F209" s="80"/>
      <c r="G209" s="80"/>
    </row>
    <row r="210" spans="1:7" ht="30" customHeight="1" x14ac:dyDescent="0.25">
      <c r="A210" s="78" t="s">
        <v>422</v>
      </c>
      <c r="B210" s="32" t="s">
        <v>423</v>
      </c>
      <c r="C210" s="76"/>
      <c r="D210" s="77"/>
      <c r="E210" s="77"/>
      <c r="F210" s="77"/>
      <c r="G210" s="77"/>
    </row>
    <row r="211" spans="1:7" ht="30" customHeight="1" x14ac:dyDescent="0.25">
      <c r="A211" s="78" t="s">
        <v>424</v>
      </c>
      <c r="B211" s="36" t="s">
        <v>425</v>
      </c>
      <c r="C211" s="79"/>
      <c r="D211" s="80"/>
      <c r="E211" s="80"/>
      <c r="F211" s="80"/>
      <c r="G211" s="80"/>
    </row>
    <row r="212" spans="1:7" ht="30" customHeight="1" x14ac:dyDescent="0.25">
      <c r="A212" s="81" t="s">
        <v>426</v>
      </c>
      <c r="B212" s="32" t="s">
        <v>427</v>
      </c>
      <c r="C212" s="76"/>
      <c r="D212" s="77"/>
      <c r="E212" s="77"/>
      <c r="F212" s="77"/>
      <c r="G212" s="77"/>
    </row>
    <row r="213" spans="1:7" ht="30" customHeight="1" x14ac:dyDescent="0.25">
      <c r="A213" s="75" t="s">
        <v>428</v>
      </c>
      <c r="B213" s="36" t="s">
        <v>429</v>
      </c>
      <c r="C213" s="79"/>
      <c r="D213" s="80"/>
      <c r="E213" s="80"/>
      <c r="F213" s="80"/>
      <c r="G213" s="80"/>
    </row>
    <row r="214" spans="1:7" ht="30" customHeight="1" x14ac:dyDescent="0.25">
      <c r="A214" s="75" t="s">
        <v>430</v>
      </c>
      <c r="B214" s="32" t="s">
        <v>431</v>
      </c>
      <c r="C214" s="76"/>
      <c r="D214" s="77"/>
      <c r="E214" s="77"/>
      <c r="F214" s="77"/>
      <c r="G214" s="77"/>
    </row>
    <row r="215" spans="1:7" ht="30" customHeight="1" x14ac:dyDescent="0.25">
      <c r="A215" s="75" t="s">
        <v>432</v>
      </c>
      <c r="B215" s="36" t="s">
        <v>433</v>
      </c>
      <c r="C215" s="79"/>
      <c r="D215" s="80"/>
      <c r="E215" s="80"/>
      <c r="F215" s="80"/>
      <c r="G215" s="80"/>
    </row>
    <row r="216" spans="1:7" ht="30" customHeight="1" x14ac:dyDescent="0.25">
      <c r="A216" s="81" t="s">
        <v>434</v>
      </c>
      <c r="B216" s="32" t="s">
        <v>435</v>
      </c>
      <c r="C216" s="76"/>
      <c r="D216" s="77"/>
      <c r="E216" s="77"/>
      <c r="F216" s="77"/>
      <c r="G216" s="77"/>
    </row>
    <row r="217" spans="1:7" ht="30" customHeight="1" x14ac:dyDescent="0.25">
      <c r="A217" s="78" t="s">
        <v>436</v>
      </c>
      <c r="B217" s="36" t="s">
        <v>437</v>
      </c>
      <c r="C217" s="79"/>
      <c r="D217" s="80"/>
      <c r="E217" s="80"/>
      <c r="F217" s="80"/>
      <c r="G217" s="80"/>
    </row>
    <row r="218" spans="1:7" ht="30" customHeight="1" x14ac:dyDescent="0.25">
      <c r="A218" s="75" t="s">
        <v>438</v>
      </c>
      <c r="B218" s="32" t="s">
        <v>439</v>
      </c>
      <c r="C218" s="76"/>
      <c r="D218" s="77"/>
      <c r="E218" s="77"/>
      <c r="F218" s="77"/>
      <c r="G218" s="77"/>
    </row>
    <row r="219" spans="1:7" ht="30" customHeight="1" x14ac:dyDescent="0.25">
      <c r="A219" s="75" t="s">
        <v>440</v>
      </c>
      <c r="B219" s="36" t="s">
        <v>441</v>
      </c>
      <c r="C219" s="79"/>
      <c r="D219" s="80"/>
      <c r="E219" s="80"/>
      <c r="F219" s="80"/>
      <c r="G219" s="80"/>
    </row>
    <row r="220" spans="1:7" ht="30" customHeight="1" x14ac:dyDescent="0.25">
      <c r="A220" s="75" t="s">
        <v>442</v>
      </c>
      <c r="B220" s="32" t="s">
        <v>443</v>
      </c>
      <c r="C220" s="76"/>
      <c r="D220" s="77"/>
      <c r="E220" s="77"/>
      <c r="F220" s="77"/>
      <c r="G220" s="77"/>
    </row>
    <row r="221" spans="1:7" ht="30" customHeight="1" x14ac:dyDescent="0.25">
      <c r="A221" s="75" t="s">
        <v>444</v>
      </c>
      <c r="B221" s="36" t="s">
        <v>445</v>
      </c>
      <c r="C221" s="79"/>
      <c r="D221" s="80"/>
      <c r="E221" s="80"/>
      <c r="F221" s="80"/>
      <c r="G221" s="80"/>
    </row>
    <row r="222" spans="1:7" ht="30" customHeight="1" x14ac:dyDescent="0.25">
      <c r="A222" s="78" t="s">
        <v>446</v>
      </c>
      <c r="B222" s="32" t="s">
        <v>447</v>
      </c>
      <c r="C222" s="76"/>
      <c r="D222" s="77"/>
      <c r="E222" s="77"/>
      <c r="F222" s="77"/>
      <c r="G222" s="77"/>
    </row>
    <row r="223" spans="1:7" ht="30" customHeight="1" x14ac:dyDescent="0.25">
      <c r="A223" s="78" t="s">
        <v>448</v>
      </c>
      <c r="B223" s="36" t="s">
        <v>449</v>
      </c>
      <c r="C223" s="79"/>
      <c r="D223" s="80"/>
      <c r="E223" s="80"/>
      <c r="F223" s="80"/>
      <c r="G223" s="80"/>
    </row>
  </sheetData>
  <autoFilter ref="A2:B2" xr:uid="{00000000-0009-0000-0000-00000A000000}"/>
  <mergeCells count="1">
    <mergeCell ref="A1:G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dimension ref="A1:D3"/>
  <sheetViews>
    <sheetView showGridLines="0" workbookViewId="0"/>
  </sheetViews>
  <sheetFormatPr defaultRowHeight="15" x14ac:dyDescent="0.25"/>
  <cols>
    <col min="1" max="1" width="48" customWidth="1"/>
    <col min="2" max="2" width="12" customWidth="1"/>
    <col min="3" max="3" width="18" customWidth="1"/>
    <col min="4" max="4" width="40" customWidth="1"/>
  </cols>
  <sheetData>
    <row r="1" spans="1:4" ht="33.950000000000003" customHeight="1" x14ac:dyDescent="0.25">
      <c r="A1" s="121" t="s">
        <v>1152</v>
      </c>
      <c r="B1" s="85"/>
      <c r="C1" s="85"/>
      <c r="D1" s="85"/>
    </row>
    <row r="2" spans="1:4" ht="30" customHeight="1" x14ac:dyDescent="0.25">
      <c r="A2" s="5" t="s">
        <v>1153</v>
      </c>
      <c r="B2" s="5" t="s">
        <v>1154</v>
      </c>
      <c r="C2" s="5" t="s">
        <v>1155</v>
      </c>
      <c r="D2" s="5" t="s">
        <v>1156</v>
      </c>
    </row>
    <row r="3" spans="1:4" x14ac:dyDescent="0.25">
      <c r="A3" s="82" t="s">
        <v>1157</v>
      </c>
    </row>
  </sheetData>
  <mergeCells count="1">
    <mergeCell ref="A1:D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dimension ref="A1:H279"/>
  <sheetViews>
    <sheetView workbookViewId="0"/>
  </sheetViews>
  <sheetFormatPr defaultRowHeight="15" x14ac:dyDescent="0.25"/>
  <cols>
    <col min="1" max="1" width="28" customWidth="1"/>
    <col min="2" max="4" width="72" customWidth="1"/>
  </cols>
  <sheetData>
    <row r="1" spans="1:4" x14ac:dyDescent="0.25">
      <c r="A1" s="83" t="s">
        <v>1158</v>
      </c>
      <c r="B1" s="83" t="s">
        <v>1</v>
      </c>
      <c r="C1" s="83" t="s">
        <v>1159</v>
      </c>
      <c r="D1" s="83" t="s">
        <v>1160</v>
      </c>
    </row>
    <row r="2" spans="1:4" x14ac:dyDescent="0.25">
      <c r="A2" t="s">
        <v>1161</v>
      </c>
      <c r="B2" t="s">
        <v>1162</v>
      </c>
      <c r="C2" t="s">
        <v>1163</v>
      </c>
      <c r="D2" t="s">
        <v>1164</v>
      </c>
    </row>
    <row r="3" spans="1:4" x14ac:dyDescent="0.25">
      <c r="A3" t="s">
        <v>1165</v>
      </c>
      <c r="B3" t="s">
        <v>1166</v>
      </c>
      <c r="C3" t="s">
        <v>1167</v>
      </c>
      <c r="D3" t="s">
        <v>1168</v>
      </c>
    </row>
    <row r="4" spans="1:4" x14ac:dyDescent="0.25">
      <c r="A4" t="s">
        <v>1169</v>
      </c>
      <c r="B4" t="s">
        <v>1170</v>
      </c>
      <c r="C4" t="s">
        <v>1171</v>
      </c>
      <c r="D4" t="s">
        <v>1170</v>
      </c>
    </row>
    <row r="5" spans="1:4" x14ac:dyDescent="0.25">
      <c r="A5" t="s">
        <v>1172</v>
      </c>
      <c r="B5" t="s">
        <v>1173</v>
      </c>
      <c r="C5" t="s">
        <v>1174</v>
      </c>
      <c r="D5" t="s">
        <v>1175</v>
      </c>
    </row>
    <row r="6" spans="1:4" x14ac:dyDescent="0.25">
      <c r="A6" t="s">
        <v>1176</v>
      </c>
      <c r="B6" t="s">
        <v>1177</v>
      </c>
      <c r="C6" t="s">
        <v>1178</v>
      </c>
      <c r="D6" t="s">
        <v>1178</v>
      </c>
    </row>
    <row r="7" spans="1:4" x14ac:dyDescent="0.25">
      <c r="A7" t="s">
        <v>1179</v>
      </c>
      <c r="B7" t="s">
        <v>1180</v>
      </c>
      <c r="C7" t="s">
        <v>1181</v>
      </c>
      <c r="D7" t="s">
        <v>1182</v>
      </c>
    </row>
    <row r="8" spans="1:4" x14ac:dyDescent="0.25">
      <c r="A8" t="s">
        <v>1183</v>
      </c>
      <c r="B8" t="s">
        <v>1184</v>
      </c>
      <c r="C8" t="s">
        <v>1185</v>
      </c>
      <c r="D8" t="s">
        <v>1186</v>
      </c>
    </row>
    <row r="9" spans="1:4" x14ac:dyDescent="0.25">
      <c r="A9" t="s">
        <v>1187</v>
      </c>
      <c r="B9" t="s">
        <v>1188</v>
      </c>
      <c r="C9" t="s">
        <v>1189</v>
      </c>
      <c r="D9" t="s">
        <v>1190</v>
      </c>
    </row>
    <row r="10" spans="1:4" x14ac:dyDescent="0.25">
      <c r="A10" t="s">
        <v>1191</v>
      </c>
      <c r="B10" t="s">
        <v>1192</v>
      </c>
      <c r="C10" t="s">
        <v>1193</v>
      </c>
      <c r="D10" t="s">
        <v>1194</v>
      </c>
    </row>
    <row r="11" spans="1:4" x14ac:dyDescent="0.25">
      <c r="A11" t="s">
        <v>1195</v>
      </c>
      <c r="B11" t="s">
        <v>1196</v>
      </c>
      <c r="C11" t="s">
        <v>1196</v>
      </c>
      <c r="D11" t="s">
        <v>1196</v>
      </c>
    </row>
    <row r="12" spans="1:4" x14ac:dyDescent="0.25">
      <c r="A12" t="s">
        <v>1197</v>
      </c>
      <c r="B12" t="s">
        <v>1198</v>
      </c>
      <c r="C12" t="s">
        <v>1199</v>
      </c>
      <c r="D12" t="s">
        <v>1199</v>
      </c>
    </row>
    <row r="13" spans="1:4" x14ac:dyDescent="0.25">
      <c r="A13" t="s">
        <v>1200</v>
      </c>
      <c r="B13" t="s">
        <v>1201</v>
      </c>
      <c r="C13" t="s">
        <v>1202</v>
      </c>
      <c r="D13" t="s">
        <v>1203</v>
      </c>
    </row>
    <row r="14" spans="1:4" x14ac:dyDescent="0.25">
      <c r="A14" t="s">
        <v>1204</v>
      </c>
      <c r="B14" t="s">
        <v>1205</v>
      </c>
      <c r="C14" t="s">
        <v>1206</v>
      </c>
      <c r="D14" t="s">
        <v>1207</v>
      </c>
    </row>
    <row r="15" spans="1:4" x14ac:dyDescent="0.25">
      <c r="A15" t="s">
        <v>1208</v>
      </c>
      <c r="B15" t="s">
        <v>1209</v>
      </c>
      <c r="C15" t="s">
        <v>1210</v>
      </c>
      <c r="D15" t="s">
        <v>1211</v>
      </c>
    </row>
    <row r="16" spans="1:4" x14ac:dyDescent="0.25">
      <c r="A16" t="s">
        <v>1212</v>
      </c>
      <c r="B16" t="s">
        <v>1213</v>
      </c>
      <c r="C16" t="s">
        <v>1214</v>
      </c>
      <c r="D16" t="s">
        <v>1215</v>
      </c>
    </row>
    <row r="17" spans="1:4" x14ac:dyDescent="0.25">
      <c r="A17" t="s">
        <v>1216</v>
      </c>
      <c r="B17" t="s">
        <v>1217</v>
      </c>
      <c r="C17" t="s">
        <v>1218</v>
      </c>
      <c r="D17" t="s">
        <v>1219</v>
      </c>
    </row>
    <row r="18" spans="1:4" x14ac:dyDescent="0.25">
      <c r="A18" t="s">
        <v>1220</v>
      </c>
      <c r="B18" t="s">
        <v>1221</v>
      </c>
      <c r="C18" t="s">
        <v>1221</v>
      </c>
      <c r="D18" t="s">
        <v>1221</v>
      </c>
    </row>
    <row r="19" spans="1:4" x14ac:dyDescent="0.25">
      <c r="A19" t="s">
        <v>1222</v>
      </c>
      <c r="B19" t="s">
        <v>1223</v>
      </c>
      <c r="C19" t="s">
        <v>1224</v>
      </c>
      <c r="D19" t="s">
        <v>1225</v>
      </c>
    </row>
    <row r="20" spans="1:4" x14ac:dyDescent="0.25">
      <c r="A20" t="s">
        <v>1226</v>
      </c>
      <c r="B20" t="s">
        <v>1227</v>
      </c>
      <c r="C20" t="s">
        <v>1228</v>
      </c>
      <c r="D20" t="s">
        <v>1229</v>
      </c>
    </row>
    <row r="21" spans="1:4" x14ac:dyDescent="0.25">
      <c r="A21" t="s">
        <v>1230</v>
      </c>
      <c r="B21" t="s">
        <v>454</v>
      </c>
      <c r="C21" t="s">
        <v>1231</v>
      </c>
      <c r="D21" t="s">
        <v>1231</v>
      </c>
    </row>
    <row r="22" spans="1:4" x14ac:dyDescent="0.25">
      <c r="A22" t="s">
        <v>1232</v>
      </c>
      <c r="B22" t="s">
        <v>1233</v>
      </c>
      <c r="C22" t="s">
        <v>1234</v>
      </c>
      <c r="D22" t="s">
        <v>1235</v>
      </c>
    </row>
    <row r="23" spans="1:4" x14ac:dyDescent="0.25">
      <c r="A23" t="s">
        <v>1236</v>
      </c>
      <c r="B23" t="s">
        <v>1237</v>
      </c>
      <c r="C23" t="s">
        <v>1238</v>
      </c>
      <c r="D23" t="s">
        <v>1239</v>
      </c>
    </row>
    <row r="24" spans="1:4" x14ac:dyDescent="0.25">
      <c r="A24" t="s">
        <v>1240</v>
      </c>
      <c r="B24" t="s">
        <v>1241</v>
      </c>
      <c r="C24" t="s">
        <v>1242</v>
      </c>
      <c r="D24" t="s">
        <v>1243</v>
      </c>
    </row>
    <row r="25" spans="1:4" x14ac:dyDescent="0.25">
      <c r="A25" t="s">
        <v>1244</v>
      </c>
      <c r="B25" t="s">
        <v>1245</v>
      </c>
      <c r="C25" t="s">
        <v>1246</v>
      </c>
      <c r="D25" t="s">
        <v>1247</v>
      </c>
    </row>
    <row r="26" spans="1:4" x14ac:dyDescent="0.25">
      <c r="A26" t="s">
        <v>1248</v>
      </c>
      <c r="B26" t="s">
        <v>1249</v>
      </c>
      <c r="C26" t="s">
        <v>1250</v>
      </c>
      <c r="D26" t="s">
        <v>1251</v>
      </c>
    </row>
    <row r="27" spans="1:4" x14ac:dyDescent="0.25">
      <c r="A27" t="s">
        <v>1252</v>
      </c>
      <c r="B27" t="s">
        <v>1253</v>
      </c>
      <c r="C27" t="s">
        <v>1254</v>
      </c>
      <c r="D27" t="s">
        <v>1255</v>
      </c>
    </row>
    <row r="28" spans="1:4" x14ac:dyDescent="0.25">
      <c r="A28" t="s">
        <v>1256</v>
      </c>
      <c r="B28" t="s">
        <v>1257</v>
      </c>
      <c r="C28" t="s">
        <v>1258</v>
      </c>
      <c r="D28" t="s">
        <v>1259</v>
      </c>
    </row>
    <row r="29" spans="1:4" x14ac:dyDescent="0.25">
      <c r="A29" t="s">
        <v>1260</v>
      </c>
      <c r="B29" t="s">
        <v>1261</v>
      </c>
      <c r="C29" t="s">
        <v>1262</v>
      </c>
      <c r="D29" t="s">
        <v>1263</v>
      </c>
    </row>
    <row r="30" spans="1:4" x14ac:dyDescent="0.25">
      <c r="A30" t="s">
        <v>1264</v>
      </c>
      <c r="B30" t="s">
        <v>1265</v>
      </c>
      <c r="C30" t="s">
        <v>1266</v>
      </c>
      <c r="D30" t="s">
        <v>1267</v>
      </c>
    </row>
    <row r="31" spans="1:4" x14ac:dyDescent="0.25">
      <c r="A31" t="s">
        <v>1268</v>
      </c>
      <c r="B31" t="s">
        <v>1269</v>
      </c>
      <c r="C31" t="s">
        <v>1270</v>
      </c>
      <c r="D31" t="s">
        <v>1271</v>
      </c>
    </row>
    <row r="32" spans="1:4" x14ac:dyDescent="0.25">
      <c r="A32" t="s">
        <v>1272</v>
      </c>
      <c r="B32" t="s">
        <v>1273</v>
      </c>
      <c r="C32" t="s">
        <v>1274</v>
      </c>
      <c r="D32" t="s">
        <v>1275</v>
      </c>
    </row>
    <row r="33" spans="1:4" x14ac:dyDescent="0.25">
      <c r="A33" t="s">
        <v>1276</v>
      </c>
      <c r="B33" t="s">
        <v>1277</v>
      </c>
      <c r="C33" t="s">
        <v>1278</v>
      </c>
      <c r="D33" t="s">
        <v>1279</v>
      </c>
    </row>
    <row r="34" spans="1:4" x14ac:dyDescent="0.25">
      <c r="A34" t="s">
        <v>1280</v>
      </c>
      <c r="B34" t="s">
        <v>1281</v>
      </c>
      <c r="C34" t="s">
        <v>1282</v>
      </c>
      <c r="D34" t="s">
        <v>1283</v>
      </c>
    </row>
    <row r="35" spans="1:4" x14ac:dyDescent="0.25">
      <c r="A35" t="s">
        <v>1284</v>
      </c>
      <c r="B35" t="s">
        <v>1285</v>
      </c>
      <c r="C35" t="s">
        <v>1286</v>
      </c>
      <c r="D35" t="s">
        <v>1287</v>
      </c>
    </row>
    <row r="36" spans="1:4" x14ac:dyDescent="0.25">
      <c r="A36" t="s">
        <v>1288</v>
      </c>
      <c r="B36" t="s">
        <v>1289</v>
      </c>
      <c r="C36" t="s">
        <v>1290</v>
      </c>
      <c r="D36" t="s">
        <v>1291</v>
      </c>
    </row>
    <row r="37" spans="1:4" x14ac:dyDescent="0.25">
      <c r="A37" t="s">
        <v>1292</v>
      </c>
      <c r="B37" t="s">
        <v>1293</v>
      </c>
      <c r="C37" t="s">
        <v>1294</v>
      </c>
      <c r="D37" t="s">
        <v>1295</v>
      </c>
    </row>
    <row r="38" spans="1:4" x14ac:dyDescent="0.25">
      <c r="A38" t="s">
        <v>1296</v>
      </c>
      <c r="B38" t="s">
        <v>1297</v>
      </c>
      <c r="C38" t="s">
        <v>1298</v>
      </c>
      <c r="D38" t="s">
        <v>1299</v>
      </c>
    </row>
    <row r="39" spans="1:4" x14ac:dyDescent="0.25">
      <c r="A39" t="s">
        <v>1300</v>
      </c>
      <c r="B39" t="s">
        <v>1301</v>
      </c>
      <c r="C39" t="s">
        <v>1302</v>
      </c>
      <c r="D39" t="s">
        <v>1303</v>
      </c>
    </row>
    <row r="40" spans="1:4" x14ac:dyDescent="0.25">
      <c r="A40" t="s">
        <v>1304</v>
      </c>
      <c r="B40" t="s">
        <v>1305</v>
      </c>
      <c r="C40" t="s">
        <v>1306</v>
      </c>
      <c r="D40" t="s">
        <v>1307</v>
      </c>
    </row>
    <row r="41" spans="1:4" x14ac:dyDescent="0.25">
      <c r="A41" t="s">
        <v>1308</v>
      </c>
      <c r="B41" t="s">
        <v>1309</v>
      </c>
      <c r="C41" t="s">
        <v>1310</v>
      </c>
      <c r="D41" t="s">
        <v>1309</v>
      </c>
    </row>
    <row r="42" spans="1:4" x14ac:dyDescent="0.25">
      <c r="A42" t="s">
        <v>1311</v>
      </c>
      <c r="B42" t="s">
        <v>1312</v>
      </c>
      <c r="C42" t="s">
        <v>1313</v>
      </c>
      <c r="D42" t="s">
        <v>1314</v>
      </c>
    </row>
    <row r="43" spans="1:4" x14ac:dyDescent="0.25">
      <c r="A43" t="s">
        <v>1315</v>
      </c>
      <c r="B43" t="s">
        <v>1316</v>
      </c>
      <c r="C43" t="s">
        <v>1317</v>
      </c>
      <c r="D43" t="s">
        <v>1318</v>
      </c>
    </row>
    <row r="44" spans="1:4" x14ac:dyDescent="0.25">
      <c r="A44" t="s">
        <v>1319</v>
      </c>
      <c r="B44" t="s">
        <v>1320</v>
      </c>
      <c r="C44" t="s">
        <v>1321</v>
      </c>
      <c r="D44" t="s">
        <v>1322</v>
      </c>
    </row>
    <row r="45" spans="1:4" x14ac:dyDescent="0.25">
      <c r="A45" t="s">
        <v>1323</v>
      </c>
      <c r="B45" t="s">
        <v>1324</v>
      </c>
      <c r="C45" t="s">
        <v>1325</v>
      </c>
      <c r="D45" t="s">
        <v>1326</v>
      </c>
    </row>
    <row r="46" spans="1:4" x14ac:dyDescent="0.25">
      <c r="A46" t="s">
        <v>1327</v>
      </c>
      <c r="B46" t="s">
        <v>1328</v>
      </c>
      <c r="C46" t="s">
        <v>1328</v>
      </c>
      <c r="D46" t="s">
        <v>1329</v>
      </c>
    </row>
    <row r="47" spans="1:4" x14ac:dyDescent="0.25">
      <c r="A47" t="s">
        <v>1330</v>
      </c>
      <c r="B47" t="s">
        <v>1331</v>
      </c>
      <c r="C47" t="s">
        <v>1332</v>
      </c>
      <c r="D47" t="s">
        <v>1333</v>
      </c>
    </row>
    <row r="48" spans="1:4" x14ac:dyDescent="0.25">
      <c r="A48" t="s">
        <v>1334</v>
      </c>
      <c r="B48" t="s">
        <v>1335</v>
      </c>
      <c r="C48" t="s">
        <v>1336</v>
      </c>
      <c r="D48" t="s">
        <v>1336</v>
      </c>
    </row>
    <row r="49" spans="1:4" x14ac:dyDescent="0.25">
      <c r="A49" t="s">
        <v>1337</v>
      </c>
      <c r="B49" t="s">
        <v>1338</v>
      </c>
      <c r="C49" t="s">
        <v>1339</v>
      </c>
      <c r="D49" t="s">
        <v>1340</v>
      </c>
    </row>
    <row r="50" spans="1:4" x14ac:dyDescent="0.25">
      <c r="A50" t="s">
        <v>1341</v>
      </c>
      <c r="B50" t="s">
        <v>1342</v>
      </c>
      <c r="C50" t="s">
        <v>1343</v>
      </c>
      <c r="D50" t="s">
        <v>1344</v>
      </c>
    </row>
    <row r="51" spans="1:4" x14ac:dyDescent="0.25">
      <c r="A51" t="s">
        <v>1345</v>
      </c>
      <c r="B51" t="s">
        <v>1346</v>
      </c>
      <c r="C51" t="s">
        <v>1347</v>
      </c>
      <c r="D51" t="s">
        <v>1348</v>
      </c>
    </row>
    <row r="52" spans="1:4" x14ac:dyDescent="0.25">
      <c r="A52" t="s">
        <v>1349</v>
      </c>
      <c r="B52" t="s">
        <v>1350</v>
      </c>
      <c r="C52" t="s">
        <v>1351</v>
      </c>
      <c r="D52" t="s">
        <v>1352</v>
      </c>
    </row>
    <row r="53" spans="1:4" x14ac:dyDescent="0.25">
      <c r="A53" t="s">
        <v>1353</v>
      </c>
      <c r="B53" t="s">
        <v>1354</v>
      </c>
      <c r="C53" t="s">
        <v>1354</v>
      </c>
      <c r="D53" t="s">
        <v>1354</v>
      </c>
    </row>
    <row r="54" spans="1:4" x14ac:dyDescent="0.25">
      <c r="A54" t="s">
        <v>1355</v>
      </c>
      <c r="B54" t="s">
        <v>1356</v>
      </c>
      <c r="C54" t="s">
        <v>1357</v>
      </c>
      <c r="D54" t="s">
        <v>1358</v>
      </c>
    </row>
    <row r="55" spans="1:4" x14ac:dyDescent="0.25">
      <c r="A55" t="s">
        <v>1359</v>
      </c>
      <c r="B55" t="s">
        <v>1360</v>
      </c>
      <c r="C55" t="s">
        <v>1361</v>
      </c>
      <c r="D55" t="s">
        <v>1362</v>
      </c>
    </row>
    <row r="56" spans="1:4" x14ac:dyDescent="0.25">
      <c r="A56" t="s">
        <v>1363</v>
      </c>
      <c r="B56" t="s">
        <v>1364</v>
      </c>
      <c r="C56" t="s">
        <v>1365</v>
      </c>
      <c r="D56" t="s">
        <v>1366</v>
      </c>
    </row>
    <row r="57" spans="1:4" x14ac:dyDescent="0.25">
      <c r="A57" t="s">
        <v>1367</v>
      </c>
      <c r="B57" t="s">
        <v>1368</v>
      </c>
      <c r="C57" t="s">
        <v>1369</v>
      </c>
      <c r="D57" t="s">
        <v>1370</v>
      </c>
    </row>
    <row r="58" spans="1:4" x14ac:dyDescent="0.25">
      <c r="A58" t="s">
        <v>1371</v>
      </c>
      <c r="B58" t="s">
        <v>1372</v>
      </c>
      <c r="C58" t="s">
        <v>1373</v>
      </c>
      <c r="D58" t="s">
        <v>1374</v>
      </c>
    </row>
    <row r="59" spans="1:4" x14ac:dyDescent="0.25">
      <c r="A59" t="s">
        <v>1375</v>
      </c>
      <c r="B59" t="s">
        <v>1376</v>
      </c>
      <c r="C59" t="s">
        <v>1377</v>
      </c>
      <c r="D59" t="s">
        <v>1378</v>
      </c>
    </row>
    <row r="60" spans="1:4" x14ac:dyDescent="0.25">
      <c r="A60" t="s">
        <v>1379</v>
      </c>
      <c r="B60" t="s">
        <v>1380</v>
      </c>
      <c r="C60" t="s">
        <v>1381</v>
      </c>
      <c r="D60" t="s">
        <v>1382</v>
      </c>
    </row>
    <row r="61" spans="1:4" x14ac:dyDescent="0.25">
      <c r="A61" t="s">
        <v>1383</v>
      </c>
      <c r="B61" t="s">
        <v>1384</v>
      </c>
      <c r="C61" t="s">
        <v>1385</v>
      </c>
      <c r="D61" t="s">
        <v>1386</v>
      </c>
    </row>
    <row r="62" spans="1:4" x14ac:dyDescent="0.25">
      <c r="A62" t="s">
        <v>1387</v>
      </c>
      <c r="B62" t="s">
        <v>1388</v>
      </c>
      <c r="C62" t="s">
        <v>1389</v>
      </c>
      <c r="D62" t="s">
        <v>1390</v>
      </c>
    </row>
    <row r="63" spans="1:4" x14ac:dyDescent="0.25">
      <c r="A63" t="s">
        <v>1391</v>
      </c>
      <c r="B63" t="s">
        <v>1392</v>
      </c>
      <c r="C63" t="s">
        <v>1393</v>
      </c>
      <c r="D63" t="s">
        <v>1394</v>
      </c>
    </row>
    <row r="64" spans="1:4" x14ac:dyDescent="0.25">
      <c r="A64" t="s">
        <v>1395</v>
      </c>
      <c r="B64" t="s">
        <v>1396</v>
      </c>
      <c r="C64" t="s">
        <v>1397</v>
      </c>
      <c r="D64" t="s">
        <v>1398</v>
      </c>
    </row>
    <row r="65" spans="1:4" x14ac:dyDescent="0.25">
      <c r="A65" t="s">
        <v>1399</v>
      </c>
      <c r="B65" t="s">
        <v>1400</v>
      </c>
      <c r="C65" t="s">
        <v>1401</v>
      </c>
      <c r="D65" t="s">
        <v>1402</v>
      </c>
    </row>
    <row r="66" spans="1:4" x14ac:dyDescent="0.25">
      <c r="A66" t="s">
        <v>1403</v>
      </c>
      <c r="B66" t="s">
        <v>1404</v>
      </c>
      <c r="C66" t="s">
        <v>1405</v>
      </c>
      <c r="D66" t="s">
        <v>1406</v>
      </c>
    </row>
    <row r="67" spans="1:4" x14ac:dyDescent="0.25">
      <c r="A67" t="s">
        <v>1407</v>
      </c>
      <c r="B67" t="s">
        <v>1408</v>
      </c>
      <c r="C67" t="s">
        <v>1409</v>
      </c>
      <c r="D67" t="s">
        <v>1410</v>
      </c>
    </row>
    <row r="68" spans="1:4" x14ac:dyDescent="0.25">
      <c r="A68" t="s">
        <v>1411</v>
      </c>
      <c r="B68" t="s">
        <v>1412</v>
      </c>
      <c r="C68" t="s">
        <v>1413</v>
      </c>
      <c r="D68" t="s">
        <v>1414</v>
      </c>
    </row>
    <row r="69" spans="1:4" x14ac:dyDescent="0.25">
      <c r="A69" t="s">
        <v>1415</v>
      </c>
      <c r="B69" t="s">
        <v>1416</v>
      </c>
      <c r="C69" t="s">
        <v>1417</v>
      </c>
      <c r="D69" t="s">
        <v>1418</v>
      </c>
    </row>
    <row r="70" spans="1:4" x14ac:dyDescent="0.25">
      <c r="A70" t="s">
        <v>1419</v>
      </c>
      <c r="B70" t="s">
        <v>1420</v>
      </c>
      <c r="C70" t="s">
        <v>1421</v>
      </c>
      <c r="D70" t="s">
        <v>1422</v>
      </c>
    </row>
    <row r="71" spans="1:4" x14ac:dyDescent="0.25">
      <c r="A71" t="s">
        <v>1423</v>
      </c>
      <c r="B71" t="s">
        <v>1424</v>
      </c>
      <c r="C71" t="s">
        <v>1425</v>
      </c>
      <c r="D71" t="s">
        <v>1426</v>
      </c>
    </row>
    <row r="72" spans="1:4" x14ac:dyDescent="0.25">
      <c r="A72" t="s">
        <v>1427</v>
      </c>
      <c r="B72" t="s">
        <v>1428</v>
      </c>
      <c r="C72" t="s">
        <v>1429</v>
      </c>
      <c r="D72" t="s">
        <v>1430</v>
      </c>
    </row>
    <row r="73" spans="1:4" x14ac:dyDescent="0.25">
      <c r="A73" t="s">
        <v>1431</v>
      </c>
      <c r="B73" t="s">
        <v>1432</v>
      </c>
      <c r="C73" t="s">
        <v>1433</v>
      </c>
      <c r="D73" t="s">
        <v>1434</v>
      </c>
    </row>
    <row r="74" spans="1:4" x14ac:dyDescent="0.25">
      <c r="A74" t="s">
        <v>1435</v>
      </c>
      <c r="B74" t="s">
        <v>1436</v>
      </c>
      <c r="C74" t="s">
        <v>1437</v>
      </c>
      <c r="D74" t="s">
        <v>1438</v>
      </c>
    </row>
    <row r="75" spans="1:4" x14ac:dyDescent="0.25">
      <c r="A75" t="s">
        <v>1439</v>
      </c>
      <c r="B75" t="s">
        <v>1440</v>
      </c>
      <c r="C75" t="s">
        <v>1441</v>
      </c>
      <c r="D75" t="s">
        <v>1442</v>
      </c>
    </row>
    <row r="76" spans="1:4" x14ac:dyDescent="0.25">
      <c r="A76" t="s">
        <v>1443</v>
      </c>
      <c r="B76" t="s">
        <v>1444</v>
      </c>
      <c r="C76" t="s">
        <v>1445</v>
      </c>
      <c r="D76" t="s">
        <v>1446</v>
      </c>
    </row>
    <row r="77" spans="1:4" x14ac:dyDescent="0.25">
      <c r="A77" t="s">
        <v>1447</v>
      </c>
      <c r="B77" t="s">
        <v>1448</v>
      </c>
      <c r="C77" t="s">
        <v>1449</v>
      </c>
      <c r="D77" t="s">
        <v>1450</v>
      </c>
    </row>
    <row r="78" spans="1:4" x14ac:dyDescent="0.25">
      <c r="A78" t="s">
        <v>1451</v>
      </c>
      <c r="B78" t="s">
        <v>1452</v>
      </c>
      <c r="C78" t="s">
        <v>1453</v>
      </c>
      <c r="D78" t="s">
        <v>1454</v>
      </c>
    </row>
    <row r="79" spans="1:4" x14ac:dyDescent="0.25">
      <c r="A79" t="s">
        <v>1455</v>
      </c>
      <c r="B79" t="s">
        <v>1456</v>
      </c>
      <c r="C79" t="s">
        <v>1457</v>
      </c>
      <c r="D79" t="s">
        <v>1458</v>
      </c>
    </row>
    <row r="80" spans="1:4" x14ac:dyDescent="0.25">
      <c r="A80" t="s">
        <v>1459</v>
      </c>
      <c r="B80" t="s">
        <v>1460</v>
      </c>
      <c r="C80" t="s">
        <v>1461</v>
      </c>
      <c r="D80" t="s">
        <v>1462</v>
      </c>
    </row>
    <row r="81" spans="1:4" x14ac:dyDescent="0.25">
      <c r="A81" t="s">
        <v>1463</v>
      </c>
      <c r="B81" t="s">
        <v>1464</v>
      </c>
      <c r="C81" t="s">
        <v>1465</v>
      </c>
      <c r="D81" t="s">
        <v>1466</v>
      </c>
    </row>
    <row r="82" spans="1:4" x14ac:dyDescent="0.25">
      <c r="A82" t="s">
        <v>1467</v>
      </c>
      <c r="B82" t="s">
        <v>1468</v>
      </c>
      <c r="C82" t="s">
        <v>1468</v>
      </c>
      <c r="D82" t="s">
        <v>1468</v>
      </c>
    </row>
    <row r="83" spans="1:4" x14ac:dyDescent="0.25">
      <c r="A83" t="s">
        <v>1469</v>
      </c>
      <c r="B83" t="s">
        <v>1470</v>
      </c>
      <c r="C83" t="s">
        <v>1471</v>
      </c>
      <c r="D83" t="s">
        <v>1472</v>
      </c>
    </row>
    <row r="84" spans="1:4" x14ac:dyDescent="0.25">
      <c r="A84" t="s">
        <v>1473</v>
      </c>
      <c r="B84" t="s">
        <v>1335</v>
      </c>
      <c r="C84" t="s">
        <v>1336</v>
      </c>
      <c r="D84" t="s">
        <v>1336</v>
      </c>
    </row>
    <row r="85" spans="1:4" x14ac:dyDescent="0.25">
      <c r="A85" t="s">
        <v>1474</v>
      </c>
      <c r="B85" t="s">
        <v>1475</v>
      </c>
      <c r="C85" t="s">
        <v>1476</v>
      </c>
      <c r="D85" t="s">
        <v>1477</v>
      </c>
    </row>
    <row r="86" spans="1:4" x14ac:dyDescent="0.25">
      <c r="A86" t="s">
        <v>1478</v>
      </c>
      <c r="B86" t="s">
        <v>1217</v>
      </c>
      <c r="C86" t="s">
        <v>1218</v>
      </c>
      <c r="D86" t="s">
        <v>1219</v>
      </c>
    </row>
    <row r="87" spans="1:4" x14ac:dyDescent="0.25">
      <c r="A87" t="s">
        <v>1479</v>
      </c>
      <c r="B87" t="s">
        <v>1149</v>
      </c>
      <c r="C87" t="s">
        <v>1480</v>
      </c>
      <c r="D87" t="s">
        <v>1481</v>
      </c>
    </row>
    <row r="88" spans="1:4" x14ac:dyDescent="0.25">
      <c r="A88" t="s">
        <v>1482</v>
      </c>
      <c r="B88" t="s">
        <v>1151</v>
      </c>
      <c r="C88" t="s">
        <v>1483</v>
      </c>
      <c r="D88" t="s">
        <v>1484</v>
      </c>
    </row>
    <row r="89" spans="1:4" x14ac:dyDescent="0.25">
      <c r="A89" t="s">
        <v>1485</v>
      </c>
      <c r="B89" t="s">
        <v>1486</v>
      </c>
      <c r="C89" t="s">
        <v>1487</v>
      </c>
      <c r="D89" t="s">
        <v>1488</v>
      </c>
    </row>
    <row r="90" spans="1:4" x14ac:dyDescent="0.25">
      <c r="A90" t="s">
        <v>1489</v>
      </c>
      <c r="B90" t="s">
        <v>1490</v>
      </c>
      <c r="C90" t="s">
        <v>1491</v>
      </c>
      <c r="D90" t="s">
        <v>1492</v>
      </c>
    </row>
    <row r="91" spans="1:4" x14ac:dyDescent="0.25">
      <c r="A91" t="s">
        <v>1493</v>
      </c>
      <c r="B91" t="s">
        <v>1494</v>
      </c>
      <c r="C91" t="s">
        <v>1495</v>
      </c>
      <c r="D91" t="s">
        <v>1496</v>
      </c>
    </row>
    <row r="92" spans="1:4" x14ac:dyDescent="0.25">
      <c r="A92" t="s">
        <v>1497</v>
      </c>
      <c r="B92" t="s">
        <v>1490</v>
      </c>
      <c r="C92" t="s">
        <v>1491</v>
      </c>
      <c r="D92" t="s">
        <v>1492</v>
      </c>
    </row>
    <row r="93" spans="1:4" x14ac:dyDescent="0.25">
      <c r="A93" t="s">
        <v>1498</v>
      </c>
      <c r="B93" t="s">
        <v>1499</v>
      </c>
      <c r="C93" t="s">
        <v>1500</v>
      </c>
      <c r="D93" t="s">
        <v>1501</v>
      </c>
    </row>
    <row r="94" spans="1:4" x14ac:dyDescent="0.25">
      <c r="A94" t="s">
        <v>1502</v>
      </c>
      <c r="B94" t="s">
        <v>1468</v>
      </c>
      <c r="C94" t="s">
        <v>1468</v>
      </c>
      <c r="D94" t="s">
        <v>1468</v>
      </c>
    </row>
    <row r="95" spans="1:4" x14ac:dyDescent="0.25">
      <c r="A95" t="s">
        <v>1503</v>
      </c>
      <c r="B95" t="s">
        <v>1470</v>
      </c>
      <c r="C95" t="s">
        <v>1471</v>
      </c>
      <c r="D95" t="s">
        <v>1472</v>
      </c>
    </row>
    <row r="96" spans="1:4" x14ac:dyDescent="0.25">
      <c r="A96" t="s">
        <v>1504</v>
      </c>
      <c r="B96" t="s">
        <v>1505</v>
      </c>
      <c r="C96" t="s">
        <v>1505</v>
      </c>
      <c r="D96" t="s">
        <v>1505</v>
      </c>
    </row>
    <row r="97" spans="1:4" x14ac:dyDescent="0.25">
      <c r="A97" t="s">
        <v>1506</v>
      </c>
      <c r="B97" t="s">
        <v>1335</v>
      </c>
      <c r="C97" t="s">
        <v>1336</v>
      </c>
      <c r="D97" t="s">
        <v>1336</v>
      </c>
    </row>
    <row r="98" spans="1:4" x14ac:dyDescent="0.25">
      <c r="A98" t="s">
        <v>1507</v>
      </c>
      <c r="B98" t="s">
        <v>1508</v>
      </c>
      <c r="C98" t="s">
        <v>1476</v>
      </c>
      <c r="D98" t="s">
        <v>1509</v>
      </c>
    </row>
    <row r="99" spans="1:4" x14ac:dyDescent="0.25">
      <c r="A99" t="s">
        <v>1510</v>
      </c>
      <c r="B99" t="s">
        <v>1217</v>
      </c>
      <c r="C99" t="s">
        <v>1218</v>
      </c>
      <c r="D99" t="s">
        <v>1219</v>
      </c>
    </row>
    <row r="100" spans="1:4" x14ac:dyDescent="0.25">
      <c r="A100" t="s">
        <v>1511</v>
      </c>
      <c r="B100" t="s">
        <v>1149</v>
      </c>
      <c r="C100" t="s">
        <v>1480</v>
      </c>
      <c r="D100" t="s">
        <v>1481</v>
      </c>
    </row>
    <row r="101" spans="1:4" x14ac:dyDescent="0.25">
      <c r="A101" t="s">
        <v>1512</v>
      </c>
      <c r="B101" t="s">
        <v>1151</v>
      </c>
      <c r="C101" t="s">
        <v>1483</v>
      </c>
      <c r="D101" t="s">
        <v>1484</v>
      </c>
    </row>
    <row r="102" spans="1:4" x14ac:dyDescent="0.25">
      <c r="A102" t="s">
        <v>1513</v>
      </c>
      <c r="B102" t="s">
        <v>1486</v>
      </c>
      <c r="C102" t="s">
        <v>1487</v>
      </c>
      <c r="D102" t="s">
        <v>1488</v>
      </c>
    </row>
    <row r="103" spans="1:4" x14ac:dyDescent="0.25">
      <c r="A103" t="s">
        <v>1514</v>
      </c>
      <c r="B103" t="s">
        <v>1494</v>
      </c>
      <c r="C103" t="s">
        <v>1495</v>
      </c>
      <c r="D103" t="s">
        <v>1496</v>
      </c>
    </row>
    <row r="104" spans="1:4" x14ac:dyDescent="0.25">
      <c r="A104" t="s">
        <v>1515</v>
      </c>
      <c r="B104" t="s">
        <v>1516</v>
      </c>
      <c r="C104" t="s">
        <v>1517</v>
      </c>
      <c r="D104" t="s">
        <v>1518</v>
      </c>
    </row>
    <row r="105" spans="1:4" x14ac:dyDescent="0.25">
      <c r="A105" t="s">
        <v>1519</v>
      </c>
      <c r="B105" t="s">
        <v>1520</v>
      </c>
      <c r="C105" t="s">
        <v>1521</v>
      </c>
      <c r="D105" t="s">
        <v>1522</v>
      </c>
    </row>
    <row r="106" spans="1:4" x14ac:dyDescent="0.25">
      <c r="A106" t="s">
        <v>1523</v>
      </c>
      <c r="B106" t="s">
        <v>1468</v>
      </c>
      <c r="C106" t="s">
        <v>1468</v>
      </c>
      <c r="D106" t="s">
        <v>1468</v>
      </c>
    </row>
    <row r="107" spans="1:4" x14ac:dyDescent="0.25">
      <c r="A107" t="s">
        <v>1524</v>
      </c>
      <c r="B107" t="s">
        <v>1470</v>
      </c>
      <c r="C107" t="s">
        <v>1471</v>
      </c>
      <c r="D107" t="s">
        <v>1472</v>
      </c>
    </row>
    <row r="108" spans="1:4" x14ac:dyDescent="0.25">
      <c r="A108" t="s">
        <v>1525</v>
      </c>
      <c r="B108" t="s">
        <v>1526</v>
      </c>
      <c r="C108" t="s">
        <v>1527</v>
      </c>
      <c r="D108" t="s">
        <v>1528</v>
      </c>
    </row>
    <row r="109" spans="1:4" x14ac:dyDescent="0.25">
      <c r="A109" t="s">
        <v>1529</v>
      </c>
      <c r="B109" t="s">
        <v>1530</v>
      </c>
      <c r="C109" t="s">
        <v>1531</v>
      </c>
      <c r="D109" t="s">
        <v>1532</v>
      </c>
    </row>
    <row r="110" spans="1:4" x14ac:dyDescent="0.25">
      <c r="A110" t="s">
        <v>1533</v>
      </c>
      <c r="B110" t="s">
        <v>1217</v>
      </c>
      <c r="C110" t="s">
        <v>1218</v>
      </c>
      <c r="D110" t="s">
        <v>1219</v>
      </c>
    </row>
    <row r="111" spans="1:4" x14ac:dyDescent="0.25">
      <c r="A111" t="s">
        <v>1534</v>
      </c>
      <c r="B111" t="s">
        <v>1535</v>
      </c>
      <c r="C111" t="s">
        <v>1536</v>
      </c>
      <c r="D111" t="s">
        <v>1537</v>
      </c>
    </row>
    <row r="112" spans="1:4" x14ac:dyDescent="0.25">
      <c r="A112" t="s">
        <v>1538</v>
      </c>
      <c r="B112" t="s">
        <v>1539</v>
      </c>
      <c r="C112" t="s">
        <v>1540</v>
      </c>
      <c r="D112" t="s">
        <v>1541</v>
      </c>
    </row>
    <row r="113" spans="1:4" x14ac:dyDescent="0.25">
      <c r="A113" t="s">
        <v>1542</v>
      </c>
      <c r="B113" t="s">
        <v>1543</v>
      </c>
      <c r="C113" t="s">
        <v>1544</v>
      </c>
      <c r="D113" t="s">
        <v>1545</v>
      </c>
    </row>
    <row r="114" spans="1:4" x14ac:dyDescent="0.25">
      <c r="A114" t="s">
        <v>1546</v>
      </c>
      <c r="B114" t="s">
        <v>1494</v>
      </c>
      <c r="C114" t="s">
        <v>1495</v>
      </c>
      <c r="D114" t="s">
        <v>1496</v>
      </c>
    </row>
    <row r="115" spans="1:4" x14ac:dyDescent="0.25">
      <c r="A115" t="s">
        <v>1547</v>
      </c>
      <c r="B115" t="s">
        <v>1548</v>
      </c>
      <c r="C115" t="s">
        <v>1548</v>
      </c>
      <c r="D115" t="s">
        <v>1548</v>
      </c>
    </row>
    <row r="116" spans="1:4" x14ac:dyDescent="0.25">
      <c r="A116" t="s">
        <v>1549</v>
      </c>
      <c r="B116" t="s">
        <v>1550</v>
      </c>
      <c r="C116" t="s">
        <v>1551</v>
      </c>
      <c r="D116" t="s">
        <v>1552</v>
      </c>
    </row>
    <row r="117" spans="1:4" x14ac:dyDescent="0.25">
      <c r="A117" t="s">
        <v>1553</v>
      </c>
      <c r="B117" t="s">
        <v>1554</v>
      </c>
      <c r="C117" t="s">
        <v>1555</v>
      </c>
      <c r="D117" t="s">
        <v>1556</v>
      </c>
    </row>
    <row r="118" spans="1:4" x14ac:dyDescent="0.25">
      <c r="A118" t="s">
        <v>1557</v>
      </c>
      <c r="B118" t="s">
        <v>1558</v>
      </c>
      <c r="C118" t="s">
        <v>1559</v>
      </c>
      <c r="D118" t="s">
        <v>1560</v>
      </c>
    </row>
    <row r="119" spans="1:4" x14ac:dyDescent="0.25">
      <c r="A119" t="s">
        <v>1561</v>
      </c>
      <c r="B119" t="s">
        <v>1562</v>
      </c>
      <c r="C119" t="s">
        <v>1563</v>
      </c>
      <c r="D119" t="s">
        <v>1564</v>
      </c>
    </row>
    <row r="120" spans="1:4" x14ac:dyDescent="0.25">
      <c r="A120" t="s">
        <v>1565</v>
      </c>
      <c r="B120" t="s">
        <v>1566</v>
      </c>
      <c r="C120" t="s">
        <v>1567</v>
      </c>
      <c r="D120" t="s">
        <v>1568</v>
      </c>
    </row>
    <row r="121" spans="1:4" x14ac:dyDescent="0.25">
      <c r="A121" t="s">
        <v>1569</v>
      </c>
      <c r="B121" t="s">
        <v>1570</v>
      </c>
      <c r="C121" t="s">
        <v>1571</v>
      </c>
      <c r="D121" t="s">
        <v>1572</v>
      </c>
    </row>
    <row r="122" spans="1:4" x14ac:dyDescent="0.25">
      <c r="A122" t="s">
        <v>1573</v>
      </c>
      <c r="B122" t="s">
        <v>1574</v>
      </c>
      <c r="C122" t="s">
        <v>1575</v>
      </c>
      <c r="D122" t="s">
        <v>1576</v>
      </c>
    </row>
    <row r="123" spans="1:4" x14ac:dyDescent="0.25">
      <c r="A123" t="s">
        <v>1577</v>
      </c>
      <c r="B123" t="s">
        <v>1578</v>
      </c>
      <c r="C123" t="s">
        <v>1579</v>
      </c>
      <c r="D123" t="s">
        <v>1580</v>
      </c>
    </row>
    <row r="124" spans="1:4" x14ac:dyDescent="0.25">
      <c r="A124" t="s">
        <v>1581</v>
      </c>
      <c r="B124" t="s">
        <v>1582</v>
      </c>
      <c r="C124" t="s">
        <v>1583</v>
      </c>
      <c r="D124" t="s">
        <v>1584</v>
      </c>
    </row>
    <row r="125" spans="1:4" x14ac:dyDescent="0.25">
      <c r="A125" t="s">
        <v>1585</v>
      </c>
      <c r="B125" t="s">
        <v>1586</v>
      </c>
      <c r="C125" t="s">
        <v>1587</v>
      </c>
      <c r="D125" t="s">
        <v>1588</v>
      </c>
    </row>
    <row r="126" spans="1:4" x14ac:dyDescent="0.25">
      <c r="A126" t="s">
        <v>1589</v>
      </c>
      <c r="B126" t="s">
        <v>1590</v>
      </c>
      <c r="C126" t="s">
        <v>1591</v>
      </c>
      <c r="D126" t="s">
        <v>1592</v>
      </c>
    </row>
    <row r="127" spans="1:4" x14ac:dyDescent="0.25">
      <c r="A127" t="s">
        <v>1593</v>
      </c>
      <c r="B127" t="s">
        <v>1594</v>
      </c>
      <c r="C127" t="s">
        <v>1595</v>
      </c>
      <c r="D127" t="s">
        <v>1596</v>
      </c>
    </row>
    <row r="128" spans="1:4" x14ac:dyDescent="0.25">
      <c r="A128" t="s">
        <v>1597</v>
      </c>
      <c r="B128" t="s">
        <v>1598</v>
      </c>
      <c r="C128" t="s">
        <v>1599</v>
      </c>
      <c r="D128" t="s">
        <v>1600</v>
      </c>
    </row>
    <row r="129" spans="1:4" x14ac:dyDescent="0.25">
      <c r="A129" t="s">
        <v>1601</v>
      </c>
      <c r="B129" t="s">
        <v>1602</v>
      </c>
      <c r="C129" t="s">
        <v>1603</v>
      </c>
      <c r="D129" t="s">
        <v>1604</v>
      </c>
    </row>
    <row r="130" spans="1:4" x14ac:dyDescent="0.25">
      <c r="A130" t="s">
        <v>1605</v>
      </c>
      <c r="B130" t="s">
        <v>1606</v>
      </c>
      <c r="C130" t="s">
        <v>1607</v>
      </c>
      <c r="D130" t="s">
        <v>1608</v>
      </c>
    </row>
    <row r="131" spans="1:4" x14ac:dyDescent="0.25">
      <c r="A131" t="s">
        <v>1609</v>
      </c>
      <c r="B131" t="s">
        <v>1610</v>
      </c>
      <c r="C131" t="s">
        <v>1611</v>
      </c>
      <c r="D131" t="s">
        <v>1612</v>
      </c>
    </row>
    <row r="132" spans="1:4" x14ac:dyDescent="0.25">
      <c r="A132" t="s">
        <v>1613</v>
      </c>
      <c r="B132" t="s">
        <v>1614</v>
      </c>
      <c r="C132" t="s">
        <v>1615</v>
      </c>
      <c r="D132" t="s">
        <v>1616</v>
      </c>
    </row>
    <row r="133" spans="1:4" x14ac:dyDescent="0.25">
      <c r="A133" t="s">
        <v>1617</v>
      </c>
      <c r="B133" t="s">
        <v>1618</v>
      </c>
      <c r="C133" t="s">
        <v>1619</v>
      </c>
      <c r="D133" t="s">
        <v>1620</v>
      </c>
    </row>
    <row r="134" spans="1:4" x14ac:dyDescent="0.25">
      <c r="A134" t="s">
        <v>1621</v>
      </c>
      <c r="B134" t="s">
        <v>1622</v>
      </c>
      <c r="C134" t="s">
        <v>1622</v>
      </c>
      <c r="D134" t="s">
        <v>1622</v>
      </c>
    </row>
    <row r="135" spans="1:4" x14ac:dyDescent="0.25">
      <c r="A135" t="s">
        <v>1623</v>
      </c>
      <c r="B135" t="s">
        <v>1624</v>
      </c>
      <c r="C135" t="s">
        <v>1624</v>
      </c>
      <c r="D135" t="s">
        <v>1624</v>
      </c>
    </row>
    <row r="136" spans="1:4" x14ac:dyDescent="0.25">
      <c r="A136" t="s">
        <v>1625</v>
      </c>
      <c r="B136" t="s">
        <v>1626</v>
      </c>
      <c r="C136" t="s">
        <v>1626</v>
      </c>
      <c r="D136" t="s">
        <v>1626</v>
      </c>
    </row>
    <row r="137" spans="1:4" x14ac:dyDescent="0.25">
      <c r="A137" t="s">
        <v>1627</v>
      </c>
      <c r="B137" t="s">
        <v>1628</v>
      </c>
      <c r="C137" t="s">
        <v>1629</v>
      </c>
      <c r="D137" t="s">
        <v>1630</v>
      </c>
    </row>
    <row r="138" spans="1:4" x14ac:dyDescent="0.25">
      <c r="A138" t="s">
        <v>1631</v>
      </c>
      <c r="B138" t="s">
        <v>1632</v>
      </c>
      <c r="C138" t="s">
        <v>1633</v>
      </c>
      <c r="D138" t="s">
        <v>1634</v>
      </c>
    </row>
    <row r="139" spans="1:4" x14ac:dyDescent="0.25">
      <c r="A139" t="s">
        <v>1635</v>
      </c>
      <c r="B139" t="s">
        <v>1468</v>
      </c>
      <c r="C139" t="s">
        <v>1468</v>
      </c>
      <c r="D139" t="s">
        <v>1468</v>
      </c>
    </row>
    <row r="140" spans="1:4" x14ac:dyDescent="0.25">
      <c r="A140" t="s">
        <v>1636</v>
      </c>
      <c r="B140" t="s">
        <v>1470</v>
      </c>
      <c r="C140" t="s">
        <v>1471</v>
      </c>
      <c r="D140" t="s">
        <v>1472</v>
      </c>
    </row>
    <row r="141" spans="1:4" x14ac:dyDescent="0.25">
      <c r="A141" t="s">
        <v>1637</v>
      </c>
      <c r="B141" t="s">
        <v>1335</v>
      </c>
      <c r="C141" t="s">
        <v>1336</v>
      </c>
      <c r="D141" t="s">
        <v>1336</v>
      </c>
    </row>
    <row r="142" spans="1:4" x14ac:dyDescent="0.25">
      <c r="A142" t="s">
        <v>1638</v>
      </c>
      <c r="B142" t="s">
        <v>1508</v>
      </c>
      <c r="C142" t="s">
        <v>1476</v>
      </c>
      <c r="D142" t="s">
        <v>1509</v>
      </c>
    </row>
    <row r="143" spans="1:4" x14ac:dyDescent="0.25">
      <c r="A143" t="s">
        <v>1639</v>
      </c>
      <c r="B143" t="s">
        <v>1217</v>
      </c>
      <c r="C143" t="s">
        <v>1218</v>
      </c>
      <c r="D143" t="s">
        <v>1219</v>
      </c>
    </row>
    <row r="144" spans="1:4" x14ac:dyDescent="0.25">
      <c r="A144" t="s">
        <v>1640</v>
      </c>
      <c r="B144" t="s">
        <v>1641</v>
      </c>
      <c r="C144" t="s">
        <v>1642</v>
      </c>
      <c r="D144" t="s">
        <v>1641</v>
      </c>
    </row>
    <row r="145" spans="1:4" x14ac:dyDescent="0.25">
      <c r="A145" t="s">
        <v>1643</v>
      </c>
      <c r="B145" t="s">
        <v>1494</v>
      </c>
      <c r="C145" t="s">
        <v>1495</v>
      </c>
      <c r="D145" t="s">
        <v>1496</v>
      </c>
    </row>
    <row r="146" spans="1:4" x14ac:dyDescent="0.25">
      <c r="A146" t="s">
        <v>1644</v>
      </c>
      <c r="B146" t="s">
        <v>1645</v>
      </c>
      <c r="C146" t="s">
        <v>1646</v>
      </c>
      <c r="D146" t="s">
        <v>1647</v>
      </c>
    </row>
    <row r="147" spans="1:4" x14ac:dyDescent="0.25">
      <c r="A147" t="s">
        <v>1648</v>
      </c>
      <c r="B147" t="s">
        <v>1649</v>
      </c>
      <c r="C147" t="s">
        <v>1650</v>
      </c>
      <c r="D147" t="s">
        <v>1651</v>
      </c>
    </row>
    <row r="148" spans="1:4" x14ac:dyDescent="0.25">
      <c r="A148" t="s">
        <v>1652</v>
      </c>
      <c r="B148" t="s">
        <v>1653</v>
      </c>
      <c r="C148" t="s">
        <v>1654</v>
      </c>
      <c r="D148" t="s">
        <v>1653</v>
      </c>
    </row>
    <row r="149" spans="1:4" x14ac:dyDescent="0.25">
      <c r="A149" t="s">
        <v>1655</v>
      </c>
      <c r="B149" t="s">
        <v>1486</v>
      </c>
      <c r="C149" t="s">
        <v>1487</v>
      </c>
      <c r="D149" t="s">
        <v>1488</v>
      </c>
    </row>
    <row r="150" spans="1:4" x14ac:dyDescent="0.25">
      <c r="A150" t="s">
        <v>1656</v>
      </c>
      <c r="B150" t="s">
        <v>1149</v>
      </c>
      <c r="C150" t="s">
        <v>1480</v>
      </c>
      <c r="D150" t="s">
        <v>1481</v>
      </c>
    </row>
    <row r="151" spans="1:4" x14ac:dyDescent="0.25">
      <c r="A151" t="s">
        <v>1657</v>
      </c>
      <c r="B151" t="s">
        <v>1151</v>
      </c>
      <c r="C151" t="s">
        <v>1483</v>
      </c>
      <c r="D151" t="s">
        <v>1484</v>
      </c>
    </row>
    <row r="152" spans="1:4" x14ac:dyDescent="0.25">
      <c r="A152" t="s">
        <v>1658</v>
      </c>
      <c r="B152" t="s">
        <v>1659</v>
      </c>
      <c r="C152" t="s">
        <v>1660</v>
      </c>
      <c r="D152" t="s">
        <v>1659</v>
      </c>
    </row>
    <row r="153" spans="1:4" x14ac:dyDescent="0.25">
      <c r="A153" t="s">
        <v>1661</v>
      </c>
      <c r="B153" t="s">
        <v>1662</v>
      </c>
      <c r="C153" t="s">
        <v>1663</v>
      </c>
      <c r="D153" t="s">
        <v>1664</v>
      </c>
    </row>
    <row r="154" spans="1:4" x14ac:dyDescent="0.25">
      <c r="A154" t="s">
        <v>1665</v>
      </c>
      <c r="B154" t="s">
        <v>1666</v>
      </c>
      <c r="C154" t="s">
        <v>1667</v>
      </c>
      <c r="D154" t="s">
        <v>1668</v>
      </c>
    </row>
    <row r="155" spans="1:4" x14ac:dyDescent="0.25">
      <c r="A155" t="s">
        <v>1669</v>
      </c>
      <c r="B155" t="s">
        <v>1670</v>
      </c>
      <c r="C155" t="s">
        <v>1671</v>
      </c>
      <c r="D155" t="s">
        <v>1672</v>
      </c>
    </row>
    <row r="156" spans="1:4" x14ac:dyDescent="0.25">
      <c r="A156" t="s">
        <v>1673</v>
      </c>
      <c r="B156" t="s">
        <v>1674</v>
      </c>
      <c r="C156" t="s">
        <v>1675</v>
      </c>
      <c r="D156" t="s">
        <v>1676</v>
      </c>
    </row>
    <row r="157" spans="1:4" x14ac:dyDescent="0.25">
      <c r="A157" t="s">
        <v>1677</v>
      </c>
      <c r="B157" t="s">
        <v>1678</v>
      </c>
      <c r="C157" t="s">
        <v>1679</v>
      </c>
      <c r="D157" t="s">
        <v>1680</v>
      </c>
    </row>
    <row r="158" spans="1:4" x14ac:dyDescent="0.25">
      <c r="A158" t="s">
        <v>1681</v>
      </c>
      <c r="B158" t="s">
        <v>1682</v>
      </c>
      <c r="C158" t="s">
        <v>1629</v>
      </c>
      <c r="D158" t="s">
        <v>1630</v>
      </c>
    </row>
    <row r="159" spans="1:4" x14ac:dyDescent="0.25">
      <c r="A159" t="s">
        <v>1683</v>
      </c>
      <c r="B159" t="s">
        <v>1684</v>
      </c>
      <c r="C159" t="s">
        <v>1685</v>
      </c>
      <c r="D159" t="s">
        <v>1686</v>
      </c>
    </row>
    <row r="160" spans="1:4" x14ac:dyDescent="0.25">
      <c r="A160" t="s">
        <v>1687</v>
      </c>
      <c r="B160" t="s">
        <v>1688</v>
      </c>
      <c r="C160" t="s">
        <v>1689</v>
      </c>
      <c r="D160" t="s">
        <v>1688</v>
      </c>
    </row>
    <row r="161" spans="1:4" x14ac:dyDescent="0.25">
      <c r="A161" t="s">
        <v>1690</v>
      </c>
      <c r="B161" t="s">
        <v>1691</v>
      </c>
      <c r="C161" t="s">
        <v>1692</v>
      </c>
      <c r="D161" t="s">
        <v>1693</v>
      </c>
    </row>
    <row r="162" spans="1:4" x14ac:dyDescent="0.25">
      <c r="A162" t="s">
        <v>1694</v>
      </c>
      <c r="B162" t="s">
        <v>1695</v>
      </c>
      <c r="C162" t="s">
        <v>1696</v>
      </c>
      <c r="D162" t="s">
        <v>1697</v>
      </c>
    </row>
    <row r="250" spans="6:8" x14ac:dyDescent="0.25">
      <c r="F250" t="s">
        <v>1338</v>
      </c>
      <c r="G250" t="s">
        <v>1339</v>
      </c>
      <c r="H250" t="s">
        <v>1340</v>
      </c>
    </row>
    <row r="251" spans="6:8" x14ac:dyDescent="0.25">
      <c r="F251" t="s">
        <v>1342</v>
      </c>
      <c r="G251" t="s">
        <v>1343</v>
      </c>
      <c r="H251" t="s">
        <v>1344</v>
      </c>
    </row>
    <row r="252" spans="6:8" x14ac:dyDescent="0.25">
      <c r="F252" t="s">
        <v>1346</v>
      </c>
      <c r="G252" t="s">
        <v>1347</v>
      </c>
      <c r="H252" t="s">
        <v>1348</v>
      </c>
    </row>
    <row r="253" spans="6:8" x14ac:dyDescent="0.25">
      <c r="F253" t="s">
        <v>1350</v>
      </c>
      <c r="G253" t="s">
        <v>1351</v>
      </c>
      <c r="H253" t="s">
        <v>1352</v>
      </c>
    </row>
    <row r="254" spans="6:8" x14ac:dyDescent="0.25">
      <c r="F254" t="s">
        <v>1354</v>
      </c>
      <c r="G254" t="s">
        <v>1354</v>
      </c>
      <c r="H254" t="s">
        <v>1354</v>
      </c>
    </row>
    <row r="258" spans="6:8" x14ac:dyDescent="0.25">
      <c r="F258" t="s">
        <v>1698</v>
      </c>
      <c r="G258" t="s">
        <v>1699</v>
      </c>
      <c r="H258" t="s">
        <v>1698</v>
      </c>
    </row>
    <row r="259" spans="6:8" x14ac:dyDescent="0.25">
      <c r="F259" t="s">
        <v>1700</v>
      </c>
      <c r="G259" t="s">
        <v>1701</v>
      </c>
      <c r="H259" t="s">
        <v>1702</v>
      </c>
    </row>
    <row r="260" spans="6:8" x14ac:dyDescent="0.25">
      <c r="F260" t="s">
        <v>1475</v>
      </c>
      <c r="G260" t="s">
        <v>1703</v>
      </c>
      <c r="H260" t="s">
        <v>1477</v>
      </c>
    </row>
    <row r="261" spans="6:8" x14ac:dyDescent="0.25">
      <c r="F261" t="s">
        <v>1704</v>
      </c>
      <c r="G261" t="s">
        <v>1705</v>
      </c>
      <c r="H261" t="s">
        <v>1706</v>
      </c>
    </row>
    <row r="262" spans="6:8" x14ac:dyDescent="0.25">
      <c r="F262" t="s">
        <v>1707</v>
      </c>
      <c r="G262" t="s">
        <v>1708</v>
      </c>
      <c r="H262" t="s">
        <v>1709</v>
      </c>
    </row>
    <row r="263" spans="6:8" x14ac:dyDescent="0.25">
      <c r="F263" t="s">
        <v>1710</v>
      </c>
      <c r="G263" t="s">
        <v>1711</v>
      </c>
      <c r="H263" t="s">
        <v>1712</v>
      </c>
    </row>
    <row r="264" spans="6:8" x14ac:dyDescent="0.25">
      <c r="F264" t="s">
        <v>1713</v>
      </c>
      <c r="G264" t="s">
        <v>1714</v>
      </c>
      <c r="H264" t="s">
        <v>1715</v>
      </c>
    </row>
    <row r="265" spans="6:8" x14ac:dyDescent="0.25">
      <c r="F265" t="s">
        <v>1716</v>
      </c>
      <c r="G265" t="s">
        <v>1717</v>
      </c>
      <c r="H265" t="s">
        <v>1718</v>
      </c>
    </row>
    <row r="270" spans="6:8" x14ac:dyDescent="0.25">
      <c r="F270" t="s">
        <v>1719</v>
      </c>
      <c r="G270" t="s">
        <v>1720</v>
      </c>
      <c r="H270" t="s">
        <v>1720</v>
      </c>
    </row>
    <row r="271" spans="6:8" x14ac:dyDescent="0.25">
      <c r="F271" t="s">
        <v>1721</v>
      </c>
      <c r="G271" t="s">
        <v>1722</v>
      </c>
      <c r="H271" t="s">
        <v>1723</v>
      </c>
    </row>
    <row r="272" spans="6:8" x14ac:dyDescent="0.25">
      <c r="F272" t="s">
        <v>1724</v>
      </c>
      <c r="G272" t="s">
        <v>1725</v>
      </c>
      <c r="H272" t="s">
        <v>1724</v>
      </c>
    </row>
    <row r="273" spans="6:8" x14ac:dyDescent="0.25">
      <c r="F273" t="s">
        <v>1726</v>
      </c>
      <c r="G273" t="s">
        <v>1727</v>
      </c>
      <c r="H273" t="s">
        <v>1726</v>
      </c>
    </row>
    <row r="274" spans="6:8" x14ac:dyDescent="0.25">
      <c r="F274" t="s">
        <v>1728</v>
      </c>
      <c r="G274" t="s">
        <v>1729</v>
      </c>
      <c r="H274" t="s">
        <v>1730</v>
      </c>
    </row>
    <row r="275" spans="6:8" x14ac:dyDescent="0.25">
      <c r="F275" t="s">
        <v>1731</v>
      </c>
      <c r="G275" t="s">
        <v>1732</v>
      </c>
      <c r="H275" t="s">
        <v>1732</v>
      </c>
    </row>
    <row r="276" spans="6:8" x14ac:dyDescent="0.25">
      <c r="F276" t="s">
        <v>1733</v>
      </c>
      <c r="G276" t="s">
        <v>1733</v>
      </c>
      <c r="H276" t="s">
        <v>1733</v>
      </c>
    </row>
    <row r="277" spans="6:8" x14ac:dyDescent="0.25">
      <c r="F277" t="s">
        <v>1734</v>
      </c>
      <c r="G277" t="s">
        <v>1735</v>
      </c>
      <c r="H277" t="s">
        <v>1736</v>
      </c>
    </row>
    <row r="278" spans="6:8" x14ac:dyDescent="0.25">
      <c r="F278" t="s">
        <v>1737</v>
      </c>
      <c r="G278" t="s">
        <v>1461</v>
      </c>
      <c r="H278" t="s">
        <v>1738</v>
      </c>
    </row>
    <row r="279" spans="6:8" x14ac:dyDescent="0.25">
      <c r="F279" t="s">
        <v>1716</v>
      </c>
      <c r="G279" t="s">
        <v>1717</v>
      </c>
      <c r="H279" t="s">
        <v>1718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13</vt:i4>
      </vt:variant>
      <vt:variant>
        <vt:lpstr>Benoemde bereiken</vt:lpstr>
      </vt:variant>
      <vt:variant>
        <vt:i4>9</vt:i4>
      </vt:variant>
    </vt:vector>
  </HeadingPairs>
  <TitlesOfParts>
    <vt:vector size="22" baseType="lpstr">
      <vt:lpstr>Config</vt:lpstr>
      <vt:lpstr>Info</vt:lpstr>
      <vt:lpstr>Processes</vt:lpstr>
      <vt:lpstr>Information Assets</vt:lpstr>
      <vt:lpstr>Dependent Assets</vt:lpstr>
      <vt:lpstr>RARM</vt:lpstr>
      <vt:lpstr>Responsible Persons</vt:lpstr>
      <vt:lpstr>Import &amp; Export</vt:lpstr>
      <vt:lpstr>Reference Values</vt:lpstr>
      <vt:lpstr>CyFun Controls</vt:lpstr>
      <vt:lpstr>Kwetsbaarheden</vt:lpstr>
      <vt:lpstr>Afwijkingen</vt:lpstr>
      <vt:lpstr>_Lang</vt:lpstr>
      <vt:lpstr>cls_EN</vt:lpstr>
      <vt:lpstr>cls_FR</vt:lpstr>
      <vt:lpstr>cls_NL</vt:lpstr>
      <vt:lpstr>roles_EN</vt:lpstr>
      <vt:lpstr>roles_FR</vt:lpstr>
      <vt:lpstr>roles_NL</vt:lpstr>
      <vt:lpstr>types_EN</vt:lpstr>
      <vt:lpstr>types_FR</vt:lpstr>
      <vt:lpstr>types_NL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Kurt Maekelberghe</cp:lastModifiedBy>
  <dcterms:created xsi:type="dcterms:W3CDTF">2026-05-19T04:31:49Z</dcterms:created>
  <dcterms:modified xsi:type="dcterms:W3CDTF">2026-05-19T04:31:56Z</dcterms:modified>
</cp:coreProperties>
</file>