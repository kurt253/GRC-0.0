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E2AD1724-3421-4BAB-AE23-2A35099A043E}" xr6:coauthVersionLast="47" xr6:coauthVersionMax="47" xr10:uidLastSave="{00000000-0000-0000-0000-000000000000}"/>
  <bookViews>
    <workbookView xWindow="-120" yWindow="-120" windowWidth="51840" windowHeight="21120" xr2:uid="{00000000-000D-0000-FFFF-FFFF00000000}"/>
  </bookViews>
  <sheets>
    <sheet name="Config" sheetId="1" r:id="rId1"/>
    <sheet name="Info" sheetId="2" r:id="rId2"/>
    <sheet name="Processes" sheetId="3" r:id="rId3"/>
    <sheet name="Information Assets" sheetId="4" r:id="rId4"/>
    <sheet name="Dependent Assets" sheetId="5" r:id="rId5"/>
    <sheet name="Responsible Persons" sheetId="6" r:id="rId6"/>
    <sheet name="Import &amp; Export" sheetId="7" r:id="rId7"/>
    <sheet name="Reference Values" sheetId="8" r:id="rId8"/>
    <sheet name="CyFun Controls" sheetId="9" r:id="rId9"/>
    <sheet name="_Lang" sheetId="10" state="hidden" r:id="rId10"/>
  </sheets>
  <definedNames>
    <definedName name="_xlnm._FilterDatabase" localSheetId="8" hidden="1">'CyFun Controls'!$A$3:$M$3</definedName>
    <definedName name="_xlnm._FilterDatabase" localSheetId="4" hidden="1">'Dependent Assets'!$A$5:$X$5</definedName>
    <definedName name="_xlnm._FilterDatabase" localSheetId="3" hidden="1">'Information Assets'!$A$5:$I$5</definedName>
    <definedName name="_xlnm._FilterDatabase" localSheetId="2" hidden="1">Processes!$A$5:$L$5</definedName>
    <definedName name="_xlnm._FilterDatabase" localSheetId="5"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8" l="1"/>
  <c r="B30" i="8"/>
  <c r="C29" i="8"/>
  <c r="B29" i="8"/>
  <c r="C28" i="8"/>
  <c r="B28" i="8"/>
  <c r="C27" i="8"/>
  <c r="B27" i="8"/>
  <c r="C26" i="8"/>
  <c r="B26" i="8"/>
  <c r="C25" i="8"/>
  <c r="B25" i="8"/>
  <c r="A25" i="8"/>
  <c r="A24" i="8"/>
  <c r="A23" i="8"/>
  <c r="C21" i="8"/>
  <c r="B21" i="8"/>
  <c r="C20" i="8"/>
  <c r="B20" i="8"/>
  <c r="C19" i="8"/>
  <c r="B19" i="8"/>
  <c r="C18" i="8"/>
  <c r="B18" i="8"/>
  <c r="C17" i="8"/>
  <c r="B17" i="8"/>
  <c r="C16" i="8"/>
  <c r="B16" i="8"/>
  <c r="A16" i="8"/>
  <c r="A15" i="8"/>
  <c r="A14" i="8"/>
  <c r="C12" i="8"/>
  <c r="B12" i="8"/>
  <c r="C11" i="8"/>
  <c r="B11" i="8"/>
  <c r="C10" i="8"/>
  <c r="B10" i="8"/>
  <c r="C9" i="8"/>
  <c r="B9" i="8"/>
  <c r="C8" i="8"/>
  <c r="B8" i="8"/>
  <c r="C7" i="8"/>
  <c r="B7" i="8"/>
  <c r="A7" i="8"/>
  <c r="A6" i="8"/>
  <c r="A5" i="8"/>
  <c r="A3" i="8"/>
  <c r="A2" i="8"/>
  <c r="A1" i="8"/>
  <c r="B22" i="7"/>
  <c r="B19" i="7"/>
  <c r="B18" i="7"/>
  <c r="B15" i="7"/>
  <c r="B14" i="7"/>
  <c r="B13" i="7"/>
  <c r="B11" i="7"/>
  <c r="B10" i="7"/>
  <c r="B9" i="7"/>
  <c r="B7" i="7"/>
  <c r="B6" i="7"/>
  <c r="B5" i="7"/>
  <c r="A3" i="7"/>
  <c r="A2" i="7"/>
  <c r="A1" i="7"/>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I5" i="6"/>
  <c r="H5" i="6"/>
  <c r="G5" i="6"/>
  <c r="F5" i="6"/>
  <c r="E5" i="6"/>
  <c r="D5" i="6"/>
  <c r="C5" i="6"/>
  <c r="B5" i="6"/>
  <c r="A5" i="6"/>
  <c r="A3" i="6"/>
  <c r="A2" i="6"/>
  <c r="A1" i="6"/>
  <c r="T105" i="5"/>
  <c r="R105" i="5"/>
  <c r="P105" i="5"/>
  <c r="N105" i="5"/>
  <c r="L105" i="5"/>
  <c r="J105" i="5"/>
  <c r="A105" i="5"/>
  <c r="T104" i="5"/>
  <c r="R104" i="5"/>
  <c r="P104" i="5"/>
  <c r="N104" i="5"/>
  <c r="L104" i="5"/>
  <c r="J104" i="5"/>
  <c r="A104" i="5"/>
  <c r="T103" i="5"/>
  <c r="R103" i="5"/>
  <c r="P103" i="5"/>
  <c r="N103" i="5"/>
  <c r="L103" i="5"/>
  <c r="J103" i="5"/>
  <c r="A103" i="5"/>
  <c r="T102" i="5"/>
  <c r="R102" i="5"/>
  <c r="P102" i="5"/>
  <c r="N102" i="5"/>
  <c r="L102" i="5"/>
  <c r="J102" i="5"/>
  <c r="A102" i="5"/>
  <c r="T101" i="5"/>
  <c r="R101" i="5"/>
  <c r="P101" i="5"/>
  <c r="N101" i="5"/>
  <c r="L101" i="5"/>
  <c r="J101" i="5"/>
  <c r="A101" i="5"/>
  <c r="T100" i="5"/>
  <c r="R100" i="5"/>
  <c r="P100" i="5"/>
  <c r="N100" i="5"/>
  <c r="L100" i="5"/>
  <c r="J100" i="5"/>
  <c r="A100" i="5"/>
  <c r="T99" i="5"/>
  <c r="R99" i="5"/>
  <c r="P99" i="5"/>
  <c r="N99" i="5"/>
  <c r="L99" i="5"/>
  <c r="J99" i="5"/>
  <c r="A99" i="5"/>
  <c r="T98" i="5"/>
  <c r="R98" i="5"/>
  <c r="P98" i="5"/>
  <c r="N98" i="5"/>
  <c r="L98" i="5"/>
  <c r="J98" i="5"/>
  <c r="A98" i="5"/>
  <c r="T97" i="5"/>
  <c r="R97" i="5"/>
  <c r="P97" i="5"/>
  <c r="N97" i="5"/>
  <c r="L97" i="5"/>
  <c r="J97" i="5"/>
  <c r="A97" i="5"/>
  <c r="T96" i="5"/>
  <c r="R96" i="5"/>
  <c r="P96" i="5"/>
  <c r="N96" i="5"/>
  <c r="L96" i="5"/>
  <c r="J96" i="5"/>
  <c r="A96" i="5"/>
  <c r="T95" i="5"/>
  <c r="R95" i="5"/>
  <c r="P95" i="5"/>
  <c r="N95" i="5"/>
  <c r="L95" i="5"/>
  <c r="J95" i="5"/>
  <c r="A95" i="5"/>
  <c r="T94" i="5"/>
  <c r="R94" i="5"/>
  <c r="P94" i="5"/>
  <c r="N94" i="5"/>
  <c r="L94" i="5"/>
  <c r="J94" i="5"/>
  <c r="A94" i="5"/>
  <c r="T93" i="5"/>
  <c r="R93" i="5"/>
  <c r="P93" i="5"/>
  <c r="N93" i="5"/>
  <c r="L93" i="5"/>
  <c r="J93" i="5"/>
  <c r="A93" i="5"/>
  <c r="T92" i="5"/>
  <c r="R92" i="5"/>
  <c r="P92" i="5"/>
  <c r="N92" i="5"/>
  <c r="L92" i="5"/>
  <c r="J92" i="5"/>
  <c r="A92" i="5"/>
  <c r="T91" i="5"/>
  <c r="R91" i="5"/>
  <c r="P91" i="5"/>
  <c r="N91" i="5"/>
  <c r="L91" i="5"/>
  <c r="J91" i="5"/>
  <c r="A91" i="5"/>
  <c r="T90" i="5"/>
  <c r="R90" i="5"/>
  <c r="P90" i="5"/>
  <c r="N90" i="5"/>
  <c r="L90" i="5"/>
  <c r="J90" i="5"/>
  <c r="A90" i="5"/>
  <c r="T89" i="5"/>
  <c r="R89" i="5"/>
  <c r="P89" i="5"/>
  <c r="N89" i="5"/>
  <c r="L89" i="5"/>
  <c r="J89" i="5"/>
  <c r="A89" i="5"/>
  <c r="T88" i="5"/>
  <c r="R88" i="5"/>
  <c r="P88" i="5"/>
  <c r="N88" i="5"/>
  <c r="L88" i="5"/>
  <c r="J88" i="5"/>
  <c r="A88" i="5"/>
  <c r="T87" i="5"/>
  <c r="R87" i="5"/>
  <c r="P87" i="5"/>
  <c r="N87" i="5"/>
  <c r="L87" i="5"/>
  <c r="J87" i="5"/>
  <c r="A87" i="5"/>
  <c r="T86" i="5"/>
  <c r="R86" i="5"/>
  <c r="P86" i="5"/>
  <c r="N86" i="5"/>
  <c r="L86" i="5"/>
  <c r="J86" i="5"/>
  <c r="A86" i="5"/>
  <c r="T85" i="5"/>
  <c r="R85" i="5"/>
  <c r="P85" i="5"/>
  <c r="N85" i="5"/>
  <c r="L85" i="5"/>
  <c r="J85" i="5"/>
  <c r="A85" i="5"/>
  <c r="T84" i="5"/>
  <c r="R84" i="5"/>
  <c r="P84" i="5"/>
  <c r="N84" i="5"/>
  <c r="L84" i="5"/>
  <c r="J84" i="5"/>
  <c r="A84" i="5"/>
  <c r="T83" i="5"/>
  <c r="R83" i="5"/>
  <c r="P83" i="5"/>
  <c r="N83" i="5"/>
  <c r="L83" i="5"/>
  <c r="J83" i="5"/>
  <c r="A83" i="5"/>
  <c r="T82" i="5"/>
  <c r="R82" i="5"/>
  <c r="P82" i="5"/>
  <c r="N82" i="5"/>
  <c r="L82" i="5"/>
  <c r="J82" i="5"/>
  <c r="A82" i="5"/>
  <c r="T81" i="5"/>
  <c r="R81" i="5"/>
  <c r="P81" i="5"/>
  <c r="N81" i="5"/>
  <c r="L81" i="5"/>
  <c r="J81" i="5"/>
  <c r="A81" i="5"/>
  <c r="T80" i="5"/>
  <c r="R80" i="5"/>
  <c r="P80" i="5"/>
  <c r="N80" i="5"/>
  <c r="L80" i="5"/>
  <c r="J80" i="5"/>
  <c r="A80" i="5"/>
  <c r="T79" i="5"/>
  <c r="R79" i="5"/>
  <c r="P79" i="5"/>
  <c r="N79" i="5"/>
  <c r="L79" i="5"/>
  <c r="J79" i="5"/>
  <c r="A79" i="5"/>
  <c r="T78" i="5"/>
  <c r="R78" i="5"/>
  <c r="P78" i="5"/>
  <c r="N78" i="5"/>
  <c r="L78" i="5"/>
  <c r="J78" i="5"/>
  <c r="A78" i="5"/>
  <c r="T77" i="5"/>
  <c r="R77" i="5"/>
  <c r="P77" i="5"/>
  <c r="N77" i="5"/>
  <c r="L77" i="5"/>
  <c r="J77" i="5"/>
  <c r="A77" i="5"/>
  <c r="T76" i="5"/>
  <c r="R76" i="5"/>
  <c r="P76" i="5"/>
  <c r="N76" i="5"/>
  <c r="L76" i="5"/>
  <c r="J76" i="5"/>
  <c r="A76" i="5"/>
  <c r="T75" i="5"/>
  <c r="R75" i="5"/>
  <c r="P75" i="5"/>
  <c r="N75" i="5"/>
  <c r="L75" i="5"/>
  <c r="J75" i="5"/>
  <c r="A75" i="5"/>
  <c r="T74" i="5"/>
  <c r="R74" i="5"/>
  <c r="P74" i="5"/>
  <c r="N74" i="5"/>
  <c r="L74" i="5"/>
  <c r="J74" i="5"/>
  <c r="A74" i="5"/>
  <c r="T73" i="5"/>
  <c r="R73" i="5"/>
  <c r="P73" i="5"/>
  <c r="N73" i="5"/>
  <c r="L73" i="5"/>
  <c r="J73" i="5"/>
  <c r="A73" i="5"/>
  <c r="T72" i="5"/>
  <c r="R72" i="5"/>
  <c r="P72" i="5"/>
  <c r="N72" i="5"/>
  <c r="L72" i="5"/>
  <c r="J72" i="5"/>
  <c r="A72" i="5"/>
  <c r="T71" i="5"/>
  <c r="R71" i="5"/>
  <c r="P71" i="5"/>
  <c r="N71" i="5"/>
  <c r="L71" i="5"/>
  <c r="J71" i="5"/>
  <c r="A71" i="5"/>
  <c r="T70" i="5"/>
  <c r="R70" i="5"/>
  <c r="P70" i="5"/>
  <c r="N70" i="5"/>
  <c r="L70" i="5"/>
  <c r="J70" i="5"/>
  <c r="A70" i="5"/>
  <c r="T69" i="5"/>
  <c r="R69" i="5"/>
  <c r="P69" i="5"/>
  <c r="N69" i="5"/>
  <c r="L69" i="5"/>
  <c r="J69" i="5"/>
  <c r="A69" i="5"/>
  <c r="T68" i="5"/>
  <c r="R68" i="5"/>
  <c r="P68" i="5"/>
  <c r="N68" i="5"/>
  <c r="L68" i="5"/>
  <c r="J68" i="5"/>
  <c r="A68" i="5"/>
  <c r="T67" i="5"/>
  <c r="R67" i="5"/>
  <c r="P67" i="5"/>
  <c r="N67" i="5"/>
  <c r="L67" i="5"/>
  <c r="J67" i="5"/>
  <c r="A67" i="5"/>
  <c r="T66" i="5"/>
  <c r="R66" i="5"/>
  <c r="P66" i="5"/>
  <c r="N66" i="5"/>
  <c r="L66" i="5"/>
  <c r="J66" i="5"/>
  <c r="A66" i="5"/>
  <c r="T65" i="5"/>
  <c r="R65" i="5"/>
  <c r="P65" i="5"/>
  <c r="N65" i="5"/>
  <c r="L65" i="5"/>
  <c r="J65" i="5"/>
  <c r="A65" i="5"/>
  <c r="T64" i="5"/>
  <c r="R64" i="5"/>
  <c r="P64" i="5"/>
  <c r="N64" i="5"/>
  <c r="L64" i="5"/>
  <c r="J64" i="5"/>
  <c r="A64" i="5"/>
  <c r="T63" i="5"/>
  <c r="R63" i="5"/>
  <c r="P63" i="5"/>
  <c r="N63" i="5"/>
  <c r="L63" i="5"/>
  <c r="J63" i="5"/>
  <c r="A63" i="5"/>
  <c r="T62" i="5"/>
  <c r="R62" i="5"/>
  <c r="P62" i="5"/>
  <c r="N62" i="5"/>
  <c r="L62" i="5"/>
  <c r="J62" i="5"/>
  <c r="A62" i="5"/>
  <c r="T61" i="5"/>
  <c r="R61" i="5"/>
  <c r="P61" i="5"/>
  <c r="N61" i="5"/>
  <c r="L61" i="5"/>
  <c r="J61" i="5"/>
  <c r="A61" i="5"/>
  <c r="T60" i="5"/>
  <c r="R60" i="5"/>
  <c r="P60" i="5"/>
  <c r="N60" i="5"/>
  <c r="L60" i="5"/>
  <c r="J60" i="5"/>
  <c r="A60" i="5"/>
  <c r="T59" i="5"/>
  <c r="R59" i="5"/>
  <c r="P59" i="5"/>
  <c r="N59" i="5"/>
  <c r="L59" i="5"/>
  <c r="J59" i="5"/>
  <c r="A59" i="5"/>
  <c r="T58" i="5"/>
  <c r="R58" i="5"/>
  <c r="P58" i="5"/>
  <c r="N58" i="5"/>
  <c r="L58" i="5"/>
  <c r="J58" i="5"/>
  <c r="A58" i="5"/>
  <c r="T57" i="5"/>
  <c r="R57" i="5"/>
  <c r="P57" i="5"/>
  <c r="N57" i="5"/>
  <c r="L57" i="5"/>
  <c r="J57" i="5"/>
  <c r="A57" i="5"/>
  <c r="T56" i="5"/>
  <c r="R56" i="5"/>
  <c r="P56" i="5"/>
  <c r="N56" i="5"/>
  <c r="L56" i="5"/>
  <c r="J56" i="5"/>
  <c r="A56" i="5"/>
  <c r="T55" i="5"/>
  <c r="R55" i="5"/>
  <c r="P55" i="5"/>
  <c r="N55" i="5"/>
  <c r="L55" i="5"/>
  <c r="J55" i="5"/>
  <c r="A55" i="5"/>
  <c r="T54" i="5"/>
  <c r="R54" i="5"/>
  <c r="P54" i="5"/>
  <c r="N54" i="5"/>
  <c r="L54" i="5"/>
  <c r="J54" i="5"/>
  <c r="A54" i="5"/>
  <c r="T53" i="5"/>
  <c r="R53" i="5"/>
  <c r="P53" i="5"/>
  <c r="N53" i="5"/>
  <c r="L53" i="5"/>
  <c r="J53" i="5"/>
  <c r="A53" i="5"/>
  <c r="T52" i="5"/>
  <c r="R52" i="5"/>
  <c r="P52" i="5"/>
  <c r="N52" i="5"/>
  <c r="L52" i="5"/>
  <c r="J52" i="5"/>
  <c r="A52" i="5"/>
  <c r="T51" i="5"/>
  <c r="R51" i="5"/>
  <c r="P51" i="5"/>
  <c r="N51" i="5"/>
  <c r="L51" i="5"/>
  <c r="J51" i="5"/>
  <c r="A51" i="5"/>
  <c r="T50" i="5"/>
  <c r="R50" i="5"/>
  <c r="P50" i="5"/>
  <c r="N50" i="5"/>
  <c r="L50" i="5"/>
  <c r="J50" i="5"/>
  <c r="A50" i="5"/>
  <c r="T49" i="5"/>
  <c r="R49" i="5"/>
  <c r="P49" i="5"/>
  <c r="N49" i="5"/>
  <c r="L49" i="5"/>
  <c r="J49" i="5"/>
  <c r="A49" i="5"/>
  <c r="T48" i="5"/>
  <c r="R48" i="5"/>
  <c r="P48" i="5"/>
  <c r="N48" i="5"/>
  <c r="L48" i="5"/>
  <c r="J48" i="5"/>
  <c r="A48" i="5"/>
  <c r="T47" i="5"/>
  <c r="R47" i="5"/>
  <c r="P47" i="5"/>
  <c r="N47" i="5"/>
  <c r="L47" i="5"/>
  <c r="J47" i="5"/>
  <c r="A47" i="5"/>
  <c r="T46" i="5"/>
  <c r="R46" i="5"/>
  <c r="P46" i="5"/>
  <c r="N46" i="5"/>
  <c r="L46" i="5"/>
  <c r="J46" i="5"/>
  <c r="A46" i="5"/>
  <c r="T45" i="5"/>
  <c r="R45" i="5"/>
  <c r="P45" i="5"/>
  <c r="N45" i="5"/>
  <c r="L45" i="5"/>
  <c r="J45" i="5"/>
  <c r="A45" i="5"/>
  <c r="T44" i="5"/>
  <c r="R44" i="5"/>
  <c r="P44" i="5"/>
  <c r="N44" i="5"/>
  <c r="L44" i="5"/>
  <c r="J44" i="5"/>
  <c r="A44" i="5"/>
  <c r="T43" i="5"/>
  <c r="R43" i="5"/>
  <c r="P43" i="5"/>
  <c r="N43" i="5"/>
  <c r="L43" i="5"/>
  <c r="J43" i="5"/>
  <c r="A43" i="5"/>
  <c r="T42" i="5"/>
  <c r="R42" i="5"/>
  <c r="P42" i="5"/>
  <c r="N42" i="5"/>
  <c r="L42" i="5"/>
  <c r="J42" i="5"/>
  <c r="A42" i="5"/>
  <c r="T41" i="5"/>
  <c r="R41" i="5"/>
  <c r="P41" i="5"/>
  <c r="N41" i="5"/>
  <c r="L41" i="5"/>
  <c r="J41" i="5"/>
  <c r="A41" i="5"/>
  <c r="T40" i="5"/>
  <c r="R40" i="5"/>
  <c r="P40" i="5"/>
  <c r="N40" i="5"/>
  <c r="L40" i="5"/>
  <c r="J40" i="5"/>
  <c r="A40" i="5"/>
  <c r="T39" i="5"/>
  <c r="R39" i="5"/>
  <c r="P39" i="5"/>
  <c r="N39" i="5"/>
  <c r="L39" i="5"/>
  <c r="J39" i="5"/>
  <c r="A39" i="5"/>
  <c r="T38" i="5"/>
  <c r="R38" i="5"/>
  <c r="P38" i="5"/>
  <c r="N38" i="5"/>
  <c r="L38" i="5"/>
  <c r="J38" i="5"/>
  <c r="A38" i="5"/>
  <c r="T37" i="5"/>
  <c r="R37" i="5"/>
  <c r="P37" i="5"/>
  <c r="N37" i="5"/>
  <c r="L37" i="5"/>
  <c r="J37" i="5"/>
  <c r="A37" i="5"/>
  <c r="T36" i="5"/>
  <c r="R36" i="5"/>
  <c r="P36" i="5"/>
  <c r="N36" i="5"/>
  <c r="L36" i="5"/>
  <c r="J36" i="5"/>
  <c r="A36" i="5"/>
  <c r="T35" i="5"/>
  <c r="R35" i="5"/>
  <c r="P35" i="5"/>
  <c r="N35" i="5"/>
  <c r="L35" i="5"/>
  <c r="J35" i="5"/>
  <c r="A35" i="5"/>
  <c r="T34" i="5"/>
  <c r="R34" i="5"/>
  <c r="P34" i="5"/>
  <c r="N34" i="5"/>
  <c r="L34" i="5"/>
  <c r="J34" i="5"/>
  <c r="A34" i="5"/>
  <c r="T33" i="5"/>
  <c r="R33" i="5"/>
  <c r="P33" i="5"/>
  <c r="N33" i="5"/>
  <c r="L33" i="5"/>
  <c r="J33" i="5"/>
  <c r="A33" i="5"/>
  <c r="T32" i="5"/>
  <c r="R32" i="5"/>
  <c r="P32" i="5"/>
  <c r="N32" i="5"/>
  <c r="L32" i="5"/>
  <c r="J32" i="5"/>
  <c r="A32" i="5"/>
  <c r="T31" i="5"/>
  <c r="R31" i="5"/>
  <c r="P31" i="5"/>
  <c r="N31" i="5"/>
  <c r="L31" i="5"/>
  <c r="J31" i="5"/>
  <c r="A31" i="5"/>
  <c r="T30" i="5"/>
  <c r="R30" i="5"/>
  <c r="P30" i="5"/>
  <c r="N30" i="5"/>
  <c r="L30" i="5"/>
  <c r="J30" i="5"/>
  <c r="A30" i="5"/>
  <c r="T29" i="5"/>
  <c r="R29" i="5"/>
  <c r="P29" i="5"/>
  <c r="N29" i="5"/>
  <c r="L29" i="5"/>
  <c r="J29" i="5"/>
  <c r="A29" i="5"/>
  <c r="T28" i="5"/>
  <c r="R28" i="5"/>
  <c r="P28" i="5"/>
  <c r="N28" i="5"/>
  <c r="L28" i="5"/>
  <c r="J28" i="5"/>
  <c r="A28" i="5"/>
  <c r="T27" i="5"/>
  <c r="R27" i="5"/>
  <c r="P27" i="5"/>
  <c r="N27" i="5"/>
  <c r="L27" i="5"/>
  <c r="J27" i="5"/>
  <c r="A27" i="5"/>
  <c r="T26" i="5"/>
  <c r="R26" i="5"/>
  <c r="P26" i="5"/>
  <c r="N26" i="5"/>
  <c r="L26" i="5"/>
  <c r="J26" i="5"/>
  <c r="A26" i="5"/>
  <c r="T25" i="5"/>
  <c r="R25" i="5"/>
  <c r="P25" i="5"/>
  <c r="N25" i="5"/>
  <c r="L25" i="5"/>
  <c r="J25" i="5"/>
  <c r="A25" i="5"/>
  <c r="T24" i="5"/>
  <c r="R24" i="5"/>
  <c r="P24" i="5"/>
  <c r="N24" i="5"/>
  <c r="L24" i="5"/>
  <c r="J24" i="5"/>
  <c r="A24" i="5"/>
  <c r="T23" i="5"/>
  <c r="R23" i="5"/>
  <c r="P23" i="5"/>
  <c r="N23" i="5"/>
  <c r="L23" i="5"/>
  <c r="J23" i="5"/>
  <c r="A23" i="5"/>
  <c r="T22" i="5"/>
  <c r="R22" i="5"/>
  <c r="P22" i="5"/>
  <c r="N22" i="5"/>
  <c r="L22" i="5"/>
  <c r="J22" i="5"/>
  <c r="A22" i="5"/>
  <c r="T21" i="5"/>
  <c r="R21" i="5"/>
  <c r="P21" i="5"/>
  <c r="N21" i="5"/>
  <c r="L21" i="5"/>
  <c r="J21" i="5"/>
  <c r="A21" i="5"/>
  <c r="T20" i="5"/>
  <c r="R20" i="5"/>
  <c r="P20" i="5"/>
  <c r="N20" i="5"/>
  <c r="L20" i="5"/>
  <c r="J20" i="5"/>
  <c r="A20" i="5"/>
  <c r="T19" i="5"/>
  <c r="R19" i="5"/>
  <c r="P19" i="5"/>
  <c r="N19" i="5"/>
  <c r="L19" i="5"/>
  <c r="J19" i="5"/>
  <c r="A19" i="5"/>
  <c r="T18" i="5"/>
  <c r="R18" i="5"/>
  <c r="P18" i="5"/>
  <c r="N18" i="5"/>
  <c r="L18" i="5"/>
  <c r="J18" i="5"/>
  <c r="A18" i="5"/>
  <c r="T17" i="5"/>
  <c r="R17" i="5"/>
  <c r="P17" i="5"/>
  <c r="N17" i="5"/>
  <c r="L17" i="5"/>
  <c r="J17" i="5"/>
  <c r="A17" i="5"/>
  <c r="T16" i="5"/>
  <c r="R16" i="5"/>
  <c r="P16" i="5"/>
  <c r="N16" i="5"/>
  <c r="L16" i="5"/>
  <c r="J16" i="5"/>
  <c r="A16" i="5"/>
  <c r="T15" i="5"/>
  <c r="R15" i="5"/>
  <c r="P15" i="5"/>
  <c r="N15" i="5"/>
  <c r="L15" i="5"/>
  <c r="J15" i="5"/>
  <c r="A15" i="5"/>
  <c r="T14" i="5"/>
  <c r="R14" i="5"/>
  <c r="P14" i="5"/>
  <c r="N14" i="5"/>
  <c r="L14" i="5"/>
  <c r="J14" i="5"/>
  <c r="A14" i="5"/>
  <c r="T13" i="5"/>
  <c r="R13" i="5"/>
  <c r="P13" i="5"/>
  <c r="N13" i="5"/>
  <c r="L13" i="5"/>
  <c r="J13" i="5"/>
  <c r="A13" i="5"/>
  <c r="T12" i="5"/>
  <c r="R12" i="5"/>
  <c r="P12" i="5"/>
  <c r="N12" i="5"/>
  <c r="L12" i="5"/>
  <c r="J12" i="5"/>
  <c r="A12" i="5"/>
  <c r="T11" i="5"/>
  <c r="R11" i="5"/>
  <c r="P11" i="5"/>
  <c r="N11" i="5"/>
  <c r="L11" i="5"/>
  <c r="J11" i="5"/>
  <c r="A11" i="5"/>
  <c r="T10" i="5"/>
  <c r="R10" i="5"/>
  <c r="P10" i="5"/>
  <c r="N10" i="5"/>
  <c r="L10" i="5"/>
  <c r="J10" i="5"/>
  <c r="A10" i="5"/>
  <c r="T9" i="5"/>
  <c r="R9" i="5"/>
  <c r="P9" i="5"/>
  <c r="N9" i="5"/>
  <c r="L9" i="5"/>
  <c r="J9" i="5"/>
  <c r="A9" i="5"/>
  <c r="T8" i="5"/>
  <c r="R8" i="5"/>
  <c r="P8" i="5"/>
  <c r="N8" i="5"/>
  <c r="L8" i="5"/>
  <c r="J8" i="5"/>
  <c r="A8" i="5"/>
  <c r="T7" i="5"/>
  <c r="R7" i="5"/>
  <c r="P7" i="5"/>
  <c r="N7" i="5"/>
  <c r="L7" i="5"/>
  <c r="J7" i="5"/>
  <c r="A7" i="5"/>
  <c r="T6" i="5"/>
  <c r="R6" i="5"/>
  <c r="P6" i="5"/>
  <c r="N6" i="5"/>
  <c r="L6" i="5"/>
  <c r="J6" i="5"/>
  <c r="A6" i="5"/>
  <c r="X5" i="5"/>
  <c r="W5" i="5"/>
  <c r="V5" i="5"/>
  <c r="U5" i="5"/>
  <c r="S5" i="5"/>
  <c r="Q5" i="5"/>
  <c r="O5" i="5"/>
  <c r="M5" i="5"/>
  <c r="K5" i="5"/>
  <c r="I5" i="5"/>
  <c r="H5" i="5"/>
  <c r="G5" i="5"/>
  <c r="F5" i="5"/>
  <c r="E5" i="5"/>
  <c r="D5" i="5"/>
  <c r="C5" i="5"/>
  <c r="B5" i="5"/>
  <c r="A5" i="5"/>
  <c r="U4" i="5"/>
  <c r="O4" i="5"/>
  <c r="I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<sst xmlns="http://schemas.openxmlformats.org/spreadsheetml/2006/main" count="2756" uniqueCount="1241">
  <si>
    <t>Mijn Overheidsinstelling</t>
  </si>
  <si>
    <t>NL</t>
  </si>
  <si>
    <t>0.3</t>
  </si>
  <si>
    <t>10/05/2026 20:30</t>
  </si>
  <si>
    <t>kurtm</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</si>
  <si>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</si>
  <si>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</si>
  <si>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</si>
  <si>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</si>
  <si>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</si>
  <si>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</si>
  <si>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</si>
  <si>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</si>
  <si>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</si>
  <si>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</si>
  <si>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</si>
  <si>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</si>
  <si>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</si>
  <si>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</si>
  <si>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</si>
  <si>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</si>
  <si>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</si>
  <si>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</si>
  <si>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</si>
  <si>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</si>
  <si>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Important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</si>
  <si>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</si>
  <si>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</si>
  <si>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</si>
  <si>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</si>
  <si>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</si>
  <si>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</si>
  <si>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Essential</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</si>
  <si>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</si>
  <si>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</si>
  <si>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</si>
  <si>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Basic</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</si>
  <si>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</si>
  <si>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</si>
  <si>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</si>
  <si>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</si>
  <si>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</si>
  <si>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</si>
  <si>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</si>
  <si>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</si>
  <si>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</si>
  <si>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</si>
  <si>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</si>
  <si>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</si>
  <si>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</si>
  <si>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</si>
  <si>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</si>
  <si>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</si>
  <si>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</si>
  <si>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</si>
  <si>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</si>
  <si>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</si>
  <si>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</si>
  <si>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</si>
  <si>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</si>
  <si>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</si>
  <si>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</si>
  <si>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</si>
  <si>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</si>
  <si>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</si>
  <si>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</si>
  <si>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</si>
  <si>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</si>
  <si>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</si>
  <si>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</si>
  <si>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</si>
  <si>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</si>
  <si>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</si>
  <si>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</si>
  <si>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</si>
  <si>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</si>
  <si>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</si>
  <si>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</si>
  <si>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</si>
  <si>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</si>
  <si>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</si>
  <si>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</si>
  <si>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</si>
  <si>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</si>
  <si>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</si>
  <si>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</si>
  <si>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</si>
  <si>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</si>
  <si>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</si>
  <si>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</si>
  <si>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</si>
  <si>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</si>
  <si>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</si>
  <si>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</si>
  <si>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</si>
  <si>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</si>
  <si>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</si>
  <si>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</si>
  <si>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</si>
  <si>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</si>
  <si>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</si>
  <si>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</si>
  <si>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</si>
  <si>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</si>
  <si>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</si>
  <si>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</si>
  <si>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</si>
  <si>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</si>
  <si>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</si>
  <si>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</si>
  <si>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</si>
  <si>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</si>
  <si>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</si>
  <si>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</si>
  <si>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</si>
  <si>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</si>
  <si>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</si>
  <si>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</si>
  <si>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</si>
  <si>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</si>
  <si>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</si>
  <si>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</si>
  <si>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</si>
  <si>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</si>
  <si>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</si>
  <si>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</si>
  <si>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</si>
  <si>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</si>
  <si>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</si>
  <si>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</si>
  <si>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</si>
  <si>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</si>
  <si>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</si>
  <si>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</si>
  <si>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</si>
  <si>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</si>
  <si>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</si>
  <si>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</si>
  <si>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</si>
  <si>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</si>
  <si>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</si>
  <si>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</si>
  <si>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</si>
  <si>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</si>
  <si>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</si>
  <si>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</si>
  <si>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</si>
  <si>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</si>
  <si>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</si>
  <si>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</si>
  <si>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</si>
  <si>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</si>
  <si>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</si>
  <si>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</si>
  <si>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</si>
  <si>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</si>
  <si>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</si>
  <si>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</si>
  <si>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</si>
  <si>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</si>
  <si>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</si>
  <si>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</si>
  <si>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</si>
  <si>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</si>
  <si>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</si>
  <si>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</si>
  <si>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</si>
  <si>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</si>
  <si>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</si>
  <si>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</si>
  <si>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</si>
  <si>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</si>
  <si>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</si>
  <si>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</si>
  <si>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</si>
  <si>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</si>
  <si>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</si>
  <si>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</si>
  <si>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</si>
  <si>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</si>
  <si>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</si>
  <si>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</si>
  <si>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</si>
  <si>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</si>
  <si>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</si>
  <si>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</si>
  <si>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</si>
  <si>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</si>
  <si>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</si>
  <si>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</si>
  <si>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</si>
  <si>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</si>
  <si>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</si>
  <si>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</si>
  <si>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</si>
  <si>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</si>
  <si>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</si>
  <si>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</si>
  <si>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</si>
  <si>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</si>
  <si>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</si>
  <si>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</si>
  <si>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</si>
  <si>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</si>
  <si>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</si>
  <si>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</si>
  <si>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</si>
  <si>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</si>
  <si>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</si>
  <si>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</si>
  <si>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</si>
  <si>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</si>
  <si>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</si>
  <si>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</si>
  <si>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</si>
  <si>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</si>
  <si>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</si>
  <si>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</si>
  <si>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</si>
  <si>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</si>
  <si>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</si>
  <si>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</si>
  <si>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</si>
  <si>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</si>
  <si>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</si>
  <si>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</si>
  <si>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</si>
  <si>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</si>
  <si>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</si>
  <si>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</si>
  <si>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</si>
  <si>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</si>
  <si>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</si>
  <si>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</si>
  <si>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</si>
  <si>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</si>
  <si>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</si>
  <si>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</si>
  <si>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</si>
  <si>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</si>
  <si>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</si>
  <si>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</si>
  <si>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</si>
  <si>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</si>
  <si>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</si>
  <si>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</si>
  <si>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</si>
  <si>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</si>
  <si>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</si>
  <si>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</si>
  <si>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</si>
  <si>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</si>
  <si>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</si>
  <si>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</si>
  <si>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</si>
  <si>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</si>
  <si>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</si>
  <si>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</si>
  <si>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</si>
  <si>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</si>
  <si>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</si>
  <si>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</si>
  <si>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</si>
  <si>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</si>
  <si>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</si>
  <si>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</si>
  <si>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</si>
  <si>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</si>
  <si>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</si>
  <si>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</si>
  <si>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</si>
  <si>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</si>
  <si>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</si>
  <si>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</si>
  <si>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</si>
  <si>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</si>
  <si>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</si>
  <si>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</si>
  <si>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</si>
  <si>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</si>
  <si>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</si>
  <si>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</si>
  <si>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</si>
  <si>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</si>
  <si>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</si>
  <si>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</si>
  <si>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</si>
  <si>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</si>
  <si>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</si>
  <si>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</si>
  <si>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</si>
  <si>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</si>
  <si>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</si>
  <si>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</si>
  <si>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</si>
  <si>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</si>
  <si>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</si>
  <si>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</si>
  <si>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</si>
  <si>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</si>
  <si>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</si>
  <si>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</si>
  <si>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</si>
  <si>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</si>
  <si>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</si>
  <si>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</si>
  <si>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</si>
  <si>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</si>
  <si>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</si>
  <si>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</si>
  <si>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</si>
  <si>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</si>
  <si>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</si>
  <si>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</si>
  <si>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</si>
  <si>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</si>
  <si>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</si>
  <si>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</si>
  <si>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</si>
  <si>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	multi-factor end-user authentication (MFA or "strong authentication"). •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</si>
  <si>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</si>
  <si>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</si>
  <si>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</si>
  <si>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</si>
  <si>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</si>
  <si>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</si>
  <si>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</si>
  <si>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</si>
  <si>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</si>
  <si>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</si>
  <si>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</si>
  <si>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</si>
  <si>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</si>
  <si>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</si>
  <si>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</si>
  <si>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</si>
  <si>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</si>
  <si>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PR.AA-03.5: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</si>
  <si>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</si>
  <si>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</si>
  <si>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</si>
  <si>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</si>
  <si>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</si>
  <si>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</si>
  <si>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</si>
  <si>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</si>
  <si>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</si>
  <si>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</si>
  <si>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</si>
  <si>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</si>
  <si>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</si>
  <si>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</si>
  <si>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</si>
  <si>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</si>
  <si>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</si>
  <si>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</si>
  <si>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</si>
  <si>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</si>
  <si>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</si>
  <si>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</si>
  <si>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</si>
  <si>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</si>
  <si>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</si>
  <si>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</si>
  <si>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</si>
  <si>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</si>
  <si>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</si>
  <si>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</si>
  <si>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</si>
  <si>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</si>
  <si>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</si>
  <si>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</si>
  <si>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</si>
  <si>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</si>
  <si>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</si>
  <si>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</si>
  <si>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</si>
  <si>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</si>
  <si>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</si>
  <si>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</si>
  <si>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</si>
  <si>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</si>
  <si>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</si>
  <si>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</si>
  <si>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</si>
  <si>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</si>
  <si>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</si>
  <si>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</si>
  <si>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</si>
  <si>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</si>
  <si>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</si>
  <si>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</si>
  <si>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</si>
  <si>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</si>
  <si>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</si>
  <si>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</si>
  <si>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</si>
  <si>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</si>
  <si>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</si>
  <si>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</si>
  <si>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</si>
  <si>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</si>
  <si>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</si>
  <si>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</si>
  <si>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</si>
  <si>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</si>
  <si>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</si>
  <si>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</si>
  <si>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</si>
  <si>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</si>
  <si>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</si>
  <si>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</si>
  <si>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</si>
  <si>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</si>
  <si>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</si>
  <si>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</si>
  <si>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</si>
  <si>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</si>
  <si>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</si>
  <si>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</si>
  <si>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</si>
  <si>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</si>
  <si>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</si>
  <si>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</si>
  <si>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</si>
  <si>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</si>
  <si>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</si>
  <si>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</si>
  <si>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</si>
  <si>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</si>
  <si>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</si>
  <si>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</si>
  <si>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</si>
  <si>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</si>
  <si>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</si>
  <si>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</si>
  <si>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</si>
  <si>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</si>
  <si>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</si>
  <si>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</si>
  <si>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</si>
  <si>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</si>
  <si>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</si>
  <si>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</si>
  <si>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</si>
  <si>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</si>
  <si>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</si>
  <si>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</si>
  <si>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</si>
  <si>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</si>
  <si>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</si>
  <si>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</si>
  <si>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</si>
  <si>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</si>
  <si>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</si>
  <si>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</si>
  <si>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</si>
  <si>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</si>
  <si>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</si>
  <si>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</si>
  <si>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</si>
  <si>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</si>
  <si>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</si>
  <si>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</si>
  <si>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</si>
  <si>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</si>
  <si>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</si>
  <si>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</si>
  <si>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</si>
  <si>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</si>
  <si>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</si>
  <si>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</si>
  <si>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</si>
  <si>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</si>
  <si>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</si>
  <si>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</si>
  <si>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</si>
  <si>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</si>
  <si>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</si>
  <si>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</si>
  <si>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</si>
  <si>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</si>
  <si>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</si>
  <si>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</si>
  <si>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</si>
  <si>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</si>
  <si>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</si>
  <si>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</si>
  <si>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</si>
  <si>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</si>
  <si>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</si>
  <si>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</si>
  <si>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</si>
  <si>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</si>
  <si>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</si>
  <si>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</si>
  <si>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</si>
  <si>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</si>
  <si>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</si>
  <si>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</si>
  <si>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</si>
  <si>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</si>
  <si>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</si>
  <si>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</si>
  <si>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</si>
  <si>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</si>
  <si>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</si>
  <si>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</si>
  <si>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</si>
  <si>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</si>
  <si>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</si>
  <si>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</si>
  <si>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</si>
  <si>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</si>
  <si>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</si>
  <si>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</si>
  <si>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</si>
  <si>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</si>
  <si>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</si>
  <si>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</si>
  <si>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</si>
  <si>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</si>
  <si>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</si>
  <si>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</si>
  <si>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</si>
  <si>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</si>
  <si>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</si>
  <si>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</si>
  <si>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</si>
  <si>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</si>
  <si>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</si>
  <si>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</si>
  <si>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</si>
  <si>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</si>
  <si>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</si>
  <si>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</si>
  <si>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</si>
  <si>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</si>
  <si>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</si>
  <si>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</si>
  <si>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</si>
  <si>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</si>
  <si>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</si>
  <si>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</si>
  <si>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</si>
  <si>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</si>
  <si>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</si>
  <si>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</si>
  <si>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</si>
  <si>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</si>
  <si>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</si>
  <si>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</si>
  <si>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</si>
  <si>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</si>
  <si>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</si>
  <si>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</si>
  <si>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</si>
  <si>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</si>
  <si>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</si>
  <si>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</si>
  <si>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</si>
  <si>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</si>
  <si>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</si>
  <si>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</si>
  <si>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</si>
  <si>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</si>
  <si>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</si>
  <si>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</si>
  <si>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</si>
  <si>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</si>
  <si>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</si>
  <si>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</si>
  <si>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</si>
  <si>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</si>
  <si>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</si>
  <si>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</si>
  <si>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</si>
  <si>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</si>
  <si>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</si>
  <si>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</si>
  <si>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</si>
  <si>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</si>
  <si>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</si>
  <si>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</si>
  <si>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</si>
  <si>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</si>
  <si>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</si>
  <si>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</si>
  <si>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</si>
  <si>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</si>
  <si>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</si>
  <si>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</si>
  <si>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</si>
  <si>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</si>
  <si>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</si>
  <si>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</si>
  <si>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</si>
  <si>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</si>
  <si>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</si>
  <si>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</si>
  <si>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</si>
  <si>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</si>
  <si>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</si>
  <si>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</si>
  <si>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</si>
  <si>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</si>
  <si>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</si>
  <si>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</si>
  <si>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</si>
  <si>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</si>
  <si>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</si>
  <si>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</si>
  <si>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</si>
  <si>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</si>
  <si>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</si>
  <si>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</si>
  <si>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</si>
  <si>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</si>
  <si>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</si>
  <si>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</si>
  <si>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</si>
  <si>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</si>
  <si>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</si>
  <si>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</si>
  <si>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</si>
  <si>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	:Cybersecurity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</si>
  <si>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</si>
  <si>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</si>
  <si>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</si>
  <si>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</si>
  <si>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</si>
  <si>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</si>
  <si>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</si>
  <si>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</si>
  <si>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</si>
  <si>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</si>
  <si>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</si>
  <si>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</si>
  <si>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</si>
  <si>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</si>
  <si>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</si>
  <si>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</si>
  <si>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</si>
  <si>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</si>
  <si>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</si>
  <si>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</si>
  <si>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</si>
  <si>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</si>
  <si>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</si>
  <si>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</si>
  <si>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</si>
  <si>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</si>
  <si>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</si>
  <si>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</si>
  <si>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</si>
  <si>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</si>
  <si>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</si>
  <si>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</si>
  <si>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</si>
  <si>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</si>
  <si>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</si>
  <si>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</si>
  <si>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</si>
  <si>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</si>
  <si>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</si>
  <si>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</si>
  <si>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</si>
  <si>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</si>
  <si>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</si>
  <si>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</si>
  <si>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</si>
  <si>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</si>
  <si>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</si>
  <si>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</si>
  <si>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</si>
  <si>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</si>
  <si>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</si>
  <si>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</si>
  <si>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</si>
  <si>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</si>
  <si>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</si>
  <si>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</si>
  <si>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</si>
  <si>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</si>
  <si>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</si>
  <si>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</si>
  <si>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</si>
  <si>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</si>
  <si>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</si>
  <si>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</si>
  <si>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</si>
  <si>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</si>
  <si>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</si>
  <si>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</si>
  <si>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</si>
  <si>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</si>
  <si>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</si>
  <si>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</si>
  <si>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</si>
  <si>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</si>
  <si>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</si>
  <si>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</si>
  <si>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</si>
  <si>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</si>
  <si>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</si>
  <si>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</si>
  <si>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</si>
  <si>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</si>
  <si>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</si>
  <si>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</si>
  <si>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</si>
  <si>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</si>
  <si>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</si>
  <si>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</si>
  <si>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</si>
  <si>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</si>
  <si>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</si>
  <si>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</si>
  <si>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</si>
  <si>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</si>
  <si>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</si>
  <si>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</si>
  <si>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</si>
  <si>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</si>
  <si>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</si>
  <si>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</si>
  <si>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</si>
  <si>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</si>
  <si>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</si>
  <si>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</si>
  <si>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</si>
  <si>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</si>
  <si>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</si>
  <si>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</si>
  <si>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</si>
  <si>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</si>
  <si>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</si>
  <si>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</si>
  <si>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</si>
  <si>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</si>
  <si>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</si>
  <si>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</si>
  <si>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</si>
  <si>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</si>
  <si>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</si>
  <si>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</si>
  <si>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</si>
  <si>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</si>
  <si>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</si>
  <si>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</si>
  <si>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</si>
  <si>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</si>
  <si>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</si>
  <si>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</si>
  <si>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</si>
  <si>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</si>
  <si>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</si>
  <si>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</si>
  <si>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</si>
  <si>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</si>
  <si>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</si>
  <si>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</si>
  <si>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</si>
  <si>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</si>
  <si>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</si>
  <si>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</si>
  <si>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</si>
  <si>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</si>
  <si>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</si>
  <si>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</si>
  <si>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</si>
  <si>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</si>
  <si>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</si>
  <si>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</si>
  <si>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</si>
  <si>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</si>
  <si>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</si>
  <si>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</si>
  <si>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</si>
  <si>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</si>
  <si>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</si>
  <si>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</si>
  <si>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</si>
  <si>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</si>
  <si>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</si>
  <si>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</si>
  <si>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</si>
  <si>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</si>
  <si>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</si>
  <si>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</si>
  <si>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</si>
  <si>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</si>
  <si>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</si>
  <si>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</si>
  <si>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</si>
  <si>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</si>
  <si>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</si>
  <si>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</si>
  <si>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</si>
  <si>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</si>
  <si>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</si>
  <si>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</si>
  <si>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</si>
  <si>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</si>
  <si>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</si>
  <si>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</si>
  <si>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</si>
  <si>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</si>
  <si>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</si>
  <si>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</si>
  <si>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</si>
  <si>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</si>
  <si>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</si>
  <si>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</si>
  <si>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</si>
  <si>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</si>
  <si>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</si>
  <si>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</si>
  <si>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</si>
  <si>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</si>
  <si>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</si>
  <si>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</si>
  <si>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</si>
  <si>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</si>
  <si>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</si>
  <si>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</si>
  <si>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</si>
  <si>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</si>
  <si>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</si>
  <si>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</si>
  <si>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</si>
  <si>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</si>
  <si>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</si>
  <si>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</si>
  <si>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</si>
  <si>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</si>
  <si>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</si>
  <si>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</si>
  <si>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</si>
  <si>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</si>
  <si>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</si>
  <si>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</si>
  <si>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</si>
  <si>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</si>
  <si>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</si>
  <si>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</si>
  <si>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</si>
  <si>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</si>
  <si>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</si>
  <si>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</si>
  <si>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</si>
  <si>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</si>
  <si>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</si>
  <si>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</si>
  <si>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</si>
  <si>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</si>
  <si>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</si>
  <si>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</si>
  <si>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</si>
  <si>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</si>
  <si>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</si>
  <si>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</si>
  <si>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</si>
  <si>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</si>
  <si>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</si>
  <si>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</si>
  <si>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</si>
  <si>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</si>
  <si>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</si>
  <si>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</si>
  <si>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</si>
  <si>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</si>
  <si>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</si>
  <si>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</si>
  <si>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</si>
  <si>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</si>
  <si>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</si>
  <si>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</si>
  <si>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</si>
  <si>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</si>
  <si>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</si>
  <si>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</si>
  <si>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</si>
  <si>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</si>
  <si>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</si>
  <si>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</si>
  <si>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</si>
  <si>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</si>
  <si>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</si>
  <si>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</si>
  <si>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</si>
  <si>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</si>
  <si>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</si>
  <si>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</si>
  <si>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</si>
  <si>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</si>
  <si>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</si>
  <si>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</si>
  <si>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</si>
  <si>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</si>
  <si>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</si>
  <si>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</si>
  <si>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</si>
  <si>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</si>
  <si>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</si>
  <si>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</si>
  <si>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</si>
  <si>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</si>
  <si>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</si>
  <si>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</si>
  <si>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</si>
  <si>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</si>
  <si>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</si>
  <si>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</si>
  <si>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</si>
  <si>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</si>
  <si>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</si>
  <si>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</si>
  <si>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</si>
  <si>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</si>
  <si>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</si>
  <si>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</si>
  <si>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</si>
  <si>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</si>
  <si>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</si>
  <si>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</si>
  <si>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</si>
  <si>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</si>
  <si>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</si>
  <si>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</si>
  <si>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</si>
  <si>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</si>
  <si>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</si>
  <si>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</si>
  <si>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</si>
  <si>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</si>
  <si>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</si>
  <si>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</si>
  <si>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</si>
  <si>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</si>
  <si>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</si>
  <si>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</si>
  <si>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</si>
  <si>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</si>
  <si>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</si>
  <si>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</si>
  <si>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</si>
  <si>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</si>
  <si>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</si>
  <si>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</si>
  <si>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</si>
  <si>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</si>
  <si>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</si>
  <si>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</si>
  <si>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</si>
  <si>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</si>
  <si>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</si>
  <si>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</si>
  <si>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</si>
  <si>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</si>
  <si>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</si>
  <si>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</si>
  <si>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</si>
  <si>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</si>
  <si>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</si>
  <si>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</si>
  <si>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</si>
  <si>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</si>
  <si>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</si>
  <si>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</si>
  <si>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</si>
  <si>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</si>
  <si>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</si>
  <si>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</si>
  <si>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</si>
  <si>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</si>
  <si>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</si>
  <si>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</si>
  <si>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</si>
  <si>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</si>
  <si>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</si>
  <si>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</si>
  <si>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</si>
  <si>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</si>
  <si>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</si>
  <si>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</si>
  <si>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</si>
  <si>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</si>
  <si>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</si>
  <si>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</si>
  <si>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</si>
  <si>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</si>
  <si>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</si>
  <si>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</si>
  <si>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</si>
  <si>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</si>
  <si>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</si>
  <si>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</si>
  <si>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</si>
  <si>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</si>
  <si>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</si>
  <si>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</si>
  <si>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</si>
  <si>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</si>
  <si>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</si>
  <si>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</si>
  <si>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</si>
  <si>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</si>
  <si>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</si>
  <si>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</si>
  <si>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</si>
  <si>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</si>
  <si>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</si>
  <si>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</si>
  <si>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</si>
  <si>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</si>
  <si>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</si>
  <si>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</si>
  <si>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</si>
  <si>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</si>
  <si>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</si>
  <si>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</si>
  <si>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</si>
  <si>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Integriteit</t>
  </si>
  <si>
    <t>Intégrité</t>
  </si>
  <si>
    <t>Integrity</t>
  </si>
  <si>
    <t>proc_col_beschikbaar</t>
  </si>
  <si>
    <t>Beschikbaarheid</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</si>
  <si>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</si>
  <si>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</si>
  <si>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</si>
  <si>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</si>
  <si>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</si>
  <si>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</si>
  <si>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</si>
  <si>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</si>
  <si>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</si>
  <si>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</si>
  <si>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</si>
  <si>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</si>
  <si>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</si>
  <si>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</si>
  <si>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</si>
  <si>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</si>
  <si>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</si>
  <si>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</si>
  <si>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</si>
  <si>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</si>
  <si>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</si>
  <si>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</si>
  <si>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</si>
  <si>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</si>
  <si>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</si>
  <si>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</si>
  <si>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</si>
  <si>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</si>
  <si>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</si>
  <si>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</si>
  <si>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</si>
  <si>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</si>
  <si>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</si>
  <si>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</si>
  <si>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</si>
  <si>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</si>
  <si>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</si>
  <si>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</si>
  <si>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</si>
  <si>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</si>
  <si>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</si>
  <si>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</si>
  <si>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</si>
  <si>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</si>
  <si>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</si>
  <si>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</si>
  <si>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</si>
  <si>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</si>
  <si>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</si>
  <si>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</si>
  <si>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</si>
  <si>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</si>
  <si>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</si>
  <si>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</si>
  <si>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</si>
  <si>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</si>
  <si>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</si>
  <si>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</si>
  <si>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</si>
  <si>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</si>
  <si>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</si>
  <si>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</si>
  <si>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</si>
  <si>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</si>
  <si>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</si>
  <si>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</si>
  <si>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</si>
  <si>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</si>
  <si>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</si>
  <si>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</si>
  <si>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</si>
  <si>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</si>
  <si>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</si>
  <si>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</si>
  <si>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</si>
  <si>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</si>
  <si>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</si>
  <si>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</si>
  <si>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</si>
  <si>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</si>
  <si>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</si>
  <si>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</si>
  <si>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</si>
  <si>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</si>
  <si>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</si>
  <si>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</si>
  <si>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</si>
  <si>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Selecteer de Access-database en importeer processen, informatieassets én afhankelijke assets in één stap. Koppelingen worden automatisch mee ingeladen.</t>
  </si>
  <si>
    <t>Sélectionnez la base de données Access et importez processus, actifs informationnels et actifs dépendants en une seule étape. Les liens sont chargés automatiquement.</t>
  </si>
  <si>
    <t>Select the Access database and import processes, information assets and dependent assets in one step. Links are loaded automatically.</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</si>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</sst>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b/>
      <i/>
      <sz val="9"/>
      <color rgb="FF64748B"/>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b/>
      <sz val="10"/>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13"/>
      <color rgb="FFFFFFFF"/>
      <name val="Calibri"/>
    </font>
    <font>
      <sz val="9"/>
      <color rgb="FF0F172A"/>
      <name val="Calibri"/>
    </font>
    <font>
      <b/>
      <sz val="9"/>
      <color rgb="FF854D0E"/>
      <name val="Calibri"/>
    </font>
    <font>
      <b/>
      <sz val="9"/>
      <color rgb="FF15803D"/>
      <name val="Calibri"/>
    </font>
    <font>
      <b/>
      <sz val="9"/>
      <color rgb="FFB91C1C"/>
      <name val="Calibri"/>
    </font>
    <font>
      <b/>
      <sz val="9"/>
      <color rgb="FFB45309"/>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15803D"/>
      </patternFill>
    </fill>
    <fill>
      <patternFill patternType="solid">
        <fgColor rgb="FFDCFCE7"/>
      </patternFill>
    </fill>
    <fill>
      <patternFill patternType="solid">
        <fgColor rgb="FFFEF9C3"/>
      </patternFill>
    </fill>
    <fill>
      <patternFill patternType="solid">
        <fgColor rgb="FFFEF3C7"/>
      </patternFill>
    </fill>
    <fill>
      <patternFill patternType="solid">
        <fgColor rgb="FFFEE2E2"/>
      </patternFill>
    </fill>
    <fill>
      <patternFill patternType="solid">
        <fgColor rgb="FFF3E8FF"/>
      </patternFill>
    </fill>
    <fill>
      <patternFill patternType="solid">
        <fgColor rgb="FF475569"/>
      </patternFill>
    </fill>
    <fill>
      <patternFill patternType="solid">
        <fgColor rgb="FFB45309"/>
      </patternFill>
    </fill>
  </fills>
  <borders count="8">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thin">
        <color rgb="FF15803D"/>
      </left>
      <right style="thin">
        <color rgb="FF15803D"/>
      </right>
      <top style="thin">
        <color rgb="FF15803D"/>
      </top>
      <bottom style="thin">
        <color rgb="FF15803D"/>
      </bottom>
      <diagonal/>
    </border>
    <border>
      <left style="thin">
        <color rgb="FF475569"/>
      </left>
      <right style="thin">
        <color rgb="FF475569"/>
      </right>
      <top style="thin">
        <color rgb="FF475569"/>
      </top>
      <bottom style="thin">
        <color rgb="FF475569"/>
      </bottom>
      <diagonal/>
    </border>
  </borders>
  <cellStyleXfs count="1">
    <xf numFmtId="0" fontId="0" fillId="0" borderId="0"/>
  </cellStyleXfs>
  <cellXfs count="84">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20" fillId="4" borderId="2" xfId="0" applyFont="1" applyFill="1" applyBorder="1" applyAlignment="1">
      <alignment horizontal="center" vertical="center"/>
    </xf>
    <xf numFmtId="0" fontId="20" fillId="11" borderId="6" xfId="0" applyFont="1" applyFill="1" applyBorder="1" applyAlignment="1">
      <alignment horizontal="center" vertical="center"/>
    </xf>
    <xf numFmtId="0" fontId="15" fillId="4" borderId="3" xfId="0" applyFont="1" applyFill="1" applyBorder="1" applyAlignment="1">
      <alignment horizontal="center" vertical="center" wrapText="1"/>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7" fillId="13"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30" fillId="14" borderId="1" xfId="0" applyFont="1" applyFill="1" applyBorder="1" applyAlignment="1">
      <alignment horizontal="center" vertical="center"/>
    </xf>
    <xf numFmtId="0" fontId="31" fillId="14" borderId="1" xfId="0" applyFont="1" applyFill="1" applyBorder="1" applyAlignment="1">
      <alignment horizontal="center" vertical="center" wrapText="1"/>
    </xf>
    <xf numFmtId="0" fontId="33" fillId="15" borderId="1" xfId="0" applyFont="1" applyFill="1" applyBorder="1" applyAlignment="1">
      <alignment horizontal="center" vertical="center"/>
    </xf>
    <xf numFmtId="0" fontId="34" fillId="15" borderId="1" xfId="0" applyFont="1" applyFill="1" applyBorder="1" applyAlignment="1">
      <alignment horizontal="center" vertical="center" wrapText="1"/>
    </xf>
    <xf numFmtId="0" fontId="36" fillId="16" borderId="1" xfId="0" applyFont="1" applyFill="1" applyBorder="1" applyAlignment="1">
      <alignment horizontal="center" vertical="center"/>
    </xf>
    <xf numFmtId="0" fontId="37"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7" xfId="0" applyFont="1" applyFill="1" applyBorder="1" applyAlignment="1">
      <alignment horizontal="center" vertical="center"/>
    </xf>
    <xf numFmtId="0" fontId="40" fillId="5" borderId="1" xfId="0" applyFont="1" applyFill="1" applyBorder="1" applyAlignment="1">
      <alignment horizontal="left" vertical="top" wrapText="1"/>
    </xf>
    <xf numFmtId="0" fontId="0" fillId="5" borderId="1" xfId="0" applyFill="1" applyBorder="1" applyAlignment="1">
      <alignment horizontal="left" vertical="top"/>
    </xf>
    <xf numFmtId="0" fontId="41" fillId="13" borderId="1" xfId="0" applyFont="1" applyFill="1" applyBorder="1" applyAlignment="1">
      <alignment horizontal="center" vertical="top"/>
    </xf>
    <xf numFmtId="0" fontId="42" fillId="12" borderId="1" xfId="0" applyFont="1" applyFill="1" applyBorder="1" applyAlignment="1">
      <alignment horizontal="center" vertical="top"/>
    </xf>
    <xf numFmtId="0" fontId="40" fillId="6" borderId="1" xfId="0" applyFont="1" applyFill="1" applyBorder="1" applyAlignment="1">
      <alignment horizontal="left" vertical="top" wrapText="1"/>
    </xf>
    <xf numFmtId="0" fontId="0" fillId="6" borderId="1" xfId="0" applyFill="1" applyBorder="1" applyAlignment="1">
      <alignment horizontal="left" vertical="top"/>
    </xf>
    <xf numFmtId="0" fontId="43" fillId="15"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4" fillId="14" borderId="1" xfId="0" applyFont="1" applyFill="1" applyBorder="1" applyAlignment="1">
      <alignment horizontal="center" vertical="top"/>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3" borderId="3" xfId="0" applyFont="1" applyFill="1" applyBorder="1" applyAlignment="1">
      <alignment horizontal="center" vertical="center"/>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wrapText="1"/>
    </xf>
    <xf numFmtId="0" fontId="15" fillId="9" borderId="4" xfId="0" applyFont="1" applyFill="1" applyBorder="1" applyAlignment="1">
      <alignment horizontal="center" vertical="center"/>
    </xf>
    <xf numFmtId="0" fontId="21" fillId="5" borderId="1" xfId="0" applyFont="1" applyFill="1" applyBorder="1" applyAlignment="1">
      <alignment horizontal="left" vertical="top" wrapText="1" indent="1"/>
    </xf>
    <xf numFmtId="0" fontId="8" fillId="5" borderId="0" xfId="0" applyFont="1" applyFill="1" applyAlignment="1">
      <alignment horizontal="left" vertical="center" indent="1"/>
    </xf>
    <xf numFmtId="0" fontId="15" fillId="3" borderId="0" xfId="0" applyFont="1" applyFill="1" applyAlignment="1">
      <alignment horizontal="left" vertical="center" indent="1"/>
    </xf>
    <xf numFmtId="0" fontId="23" fillId="7" borderId="0" xfId="0" applyFont="1" applyFill="1" applyAlignment="1">
      <alignment horizontal="left" vertical="center" indent="1"/>
    </xf>
    <xf numFmtId="0" fontId="22" fillId="5" borderId="1" xfId="0" applyFont="1" applyFill="1" applyBorder="1" applyAlignment="1">
      <alignment horizontal="left" vertical="top" wrapText="1" indent="1"/>
    </xf>
    <xf numFmtId="0" fontId="26" fillId="12"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2" fillId="14" borderId="1" xfId="0" applyFont="1" applyFill="1" applyBorder="1" applyAlignment="1">
      <alignment horizontal="left" vertical="center" wrapText="1" indent="1"/>
    </xf>
    <xf numFmtId="0" fontId="29" fillId="13" borderId="1" xfId="0" applyFont="1" applyFill="1" applyBorder="1" applyAlignment="1">
      <alignment horizontal="left" vertical="center" wrapText="1" indent="1"/>
    </xf>
    <xf numFmtId="0" fontId="38" fillId="16" borderId="1" xfId="0" applyFont="1" applyFill="1" applyBorder="1" applyAlignment="1">
      <alignment horizontal="left" vertical="center" wrapText="1" indent="1"/>
    </xf>
    <xf numFmtId="0" fontId="35" fillId="15" borderId="1" xfId="0" applyFont="1" applyFill="1" applyBorder="1" applyAlignment="1">
      <alignment horizontal="left" vertical="center" wrapText="1" indent="1"/>
    </xf>
    <xf numFmtId="0" fontId="21"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39" fillId="3" borderId="0" xfId="0" applyFont="1" applyFill="1" applyAlignment="1">
      <alignment horizontal="left" vertical="center" indent="1"/>
    </xf>
    <xf numFmtId="0" fontId="20" fillId="18"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4D06A2F9-26EE-DFB2-A86C-2DCF28E3E0AD}"/>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10</xdr:row>
      <xdr:rowOff>66675</xdr:rowOff>
    </xdr:from>
    <xdr:to>
      <xdr:col>3</xdr:col>
      <xdr:colOff>158750</xdr:colOff>
      <xdr:row>10</xdr:row>
      <xdr:rowOff>498475</xdr:rowOff>
    </xdr:to>
    <xdr:sp macro="GRC_Macros.ExporteerAlles" textlink="">
      <xdr:nvSpPr>
        <xdr:cNvPr id="3" name="Rechthoek 2">
          <a:extLst>
            <a:ext uri="{FF2B5EF4-FFF2-40B4-BE49-F238E27FC236}">
              <a16:creationId xmlns:a16="http://schemas.microsoft.com/office/drawing/2014/main" id="{1B9ED387-B20F-A0FB-68B5-B23DE508D1AF}"/>
            </a:ext>
          </a:extLst>
        </xdr:cNvPr>
        <xdr:cNvSpPr/>
      </xdr:nvSpPr>
      <xdr:spPr>
        <a:xfrm>
          <a:off x="127000" y="3429000"/>
          <a:ext cx="2032000" cy="431800"/>
        </a:xfrm>
        <a:prstGeom prst="rect">
          <a:avLst/>
        </a:prstGeom>
        <a:solidFill>
          <a:srgbClr val="3D801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Exporteer alle gegevens</a:t>
          </a:r>
          <a:endParaRPr lang="en-BE" sz="1100" b="1">
            <a:solidFill>
              <a:srgbClr val="FFFFFF"/>
            </a:solidFill>
          </a:endParaRPr>
        </a:p>
      </xdr:txBody>
    </xdr:sp>
    <xdr:clientData/>
  </xdr:twoCellAnchor>
  <xdr:twoCellAnchor>
    <xdr:from>
      <xdr:col>0</xdr:col>
      <xdr:colOff>127000</xdr:colOff>
      <xdr:row>14</xdr:row>
      <xdr:rowOff>73025</xdr:rowOff>
    </xdr:from>
    <xdr:to>
      <xdr:col>3</xdr:col>
      <xdr:colOff>158750</xdr:colOff>
      <xdr:row>15</xdr:row>
      <xdr:rowOff>200025</xdr:rowOff>
    </xdr:to>
    <xdr:sp macro="GRC_Macros.VeldenTonen" textlink="">
      <xdr:nvSpPr>
        <xdr:cNvPr id="4" name="Rechthoek 3">
          <a:extLst>
            <a:ext uri="{FF2B5EF4-FFF2-40B4-BE49-F238E27FC236}">
              <a16:creationId xmlns:a16="http://schemas.microsoft.com/office/drawing/2014/main" id="{F15D7319-C776-2E3B-1FE9-5A269848CD19}"/>
            </a:ext>
          </a:extLst>
        </xdr:cNvPr>
        <xdr:cNvSpPr/>
      </xdr:nvSpPr>
      <xdr:spPr>
        <a:xfrm>
          <a:off x="127000" y="4635500"/>
          <a:ext cx="2032000" cy="355600"/>
        </a:xfrm>
        <a:prstGeom prst="rect">
          <a:avLst/>
        </a:prstGeom>
        <a:solidFill>
          <a:srgbClr val="69554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0">
              <a:solidFill>
                <a:srgbClr val="FFFFFF"/>
              </a:solidFill>
            </a:rPr>
            <a:t>Toon veldnamen database</a:t>
          </a:r>
          <a:endParaRPr lang="en-BE" sz="1000" b="0">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52" t="str">
        <f>IFERROR(INDEX(_Lang!$B$2:$D$300,MATCH("cfg_title_main",_Lang!$A$2:$A$300,0),IF(Config!$D$9="NL",1,IF(Config!$D$9="FR",2,3))),"[cfg_title_main]")</f>
        <v>GRC Tool — Informatieveiligheid voor Overheidsdiensten</v>
      </c>
      <c r="B1" s="50"/>
      <c r="C1" s="50"/>
      <c r="D1" s="50"/>
      <c r="E1" s="50"/>
      <c r="F1" s="50"/>
      <c r="G1" s="50"/>
    </row>
    <row r="2" spans="1:7" ht="21.95" customHeight="1" x14ac:dyDescent="0.25">
      <c r="A2" s="55" t="str">
        <f>IFERROR(INDEX(_Lang!$B$2:$D$300,MATCH("app_tagline",_Lang!$A$2:$A$300,0),IF(Config!$D$9="NL",1,IF(Config!$D$9="FR",2,3))),"[app_tagline]")</f>
        <v>Governance · Risico · Compliance</v>
      </c>
      <c r="B2" s="50"/>
      <c r="C2" s="50"/>
      <c r="D2" s="50"/>
      <c r="E2" s="50"/>
      <c r="F2" s="50"/>
      <c r="G2" s="50"/>
    </row>
    <row r="3" spans="1:7" ht="12" customHeight="1" x14ac:dyDescent="0.25"/>
    <row r="4" spans="1:7" ht="20.100000000000001" customHeight="1" x14ac:dyDescent="0.25">
      <c r="B4" s="49" t="str">
        <f>IFERROR(INDEX(_Lang!$B$2:$D$300,MATCH("cfg_section_general",_Lang!$A$2:$A$300,0),IF(Config!$D$9="NL",1,IF(Config!$D$9="FR",2,3))),"[cfg_section_general]")</f>
        <v>ALGEMENE INSTELLINGEN</v>
      </c>
      <c r="C4" s="50"/>
      <c r="D4" s="50"/>
      <c r="E4" s="50"/>
      <c r="F4" s="50"/>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49" t="str">
        <f>IFERROR(INDEX(_Lang!$B$2:$D$300,MATCH("cfg_section_display",_Lang!$A$2:$A$300,0),IF(Config!$D$9="NL",1,IF(Config!$D$9="FR",2,3))),"[cfg_section_display]")</f>
        <v>WEERGAVE-INSTELLINGEN</v>
      </c>
      <c r="C8" s="50"/>
      <c r="D8" s="50"/>
      <c r="E8" s="50"/>
      <c r="F8" s="50"/>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54" t="str">
        <f>IFERROR(INDEX(_Lang!$B$2:$D$300,MATCH("cfg_lang_hint",_Lang!$A$2:$A$300,0),IF(Config!$D$9="NL",1,IF(Config!$D$9="FR",2,3))),"[cfg_lang_hint]")</f>
        <v>Kies NL, FR of EN. Dropdowns en vertalingen passen zich automatisch aan.</v>
      </c>
      <c r="C10" s="50"/>
      <c r="D10" s="50"/>
      <c r="E10" s="50"/>
      <c r="F10" s="50"/>
    </row>
    <row r="11" spans="1:7" ht="18" customHeight="1" x14ac:dyDescent="0.25">
      <c r="B11" s="54" t="str">
        <f>IFERROR(INDEX(_Lang!$B$2:$D$300,MATCH("cfg_lang_change_hint",_Lang!$A$2:$A$300,0),IF(Config!$D$9="NL",1,IF(Config!$D$9="FR",2,3))),"[cfg_lang_change_hint]")</f>
        <v>Na taalwijziging: herselect bestaande classificatiewaarden in de gegevensbladen.</v>
      </c>
      <c r="C11" s="50"/>
      <c r="D11" s="50"/>
      <c r="E11" s="50"/>
      <c r="F11" s="50"/>
    </row>
    <row r="12" spans="1:7" ht="8.1" customHeight="1" x14ac:dyDescent="0.25"/>
    <row r="13" spans="1:7" ht="20.100000000000001" customHeight="1" x14ac:dyDescent="0.25">
      <c r="B13" s="49" t="str">
        <f>IFERROR(INDEX(_Lang!$B$2:$D$300,MATCH("cfg_section_meta",_Lang!$A$2:$A$300,0),IF(Config!$D$9="NL",1,IF(Config!$D$9="FR",2,3))),"[cfg_section_meta]")</f>
        <v>OVER DIT BESTAND</v>
      </c>
      <c r="C13" s="50"/>
      <c r="D13" s="50"/>
      <c r="E13" s="50"/>
      <c r="F13" s="50"/>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57" t="str">
        <f>IFERROR(INDEX(_Lang!$B$2:$D$300,MATCH("ui_tips",_Lang!$A$2:$A$300,0),IF(Config!$D$9="NL",1,IF(Config!$D$9="FR",2,3))),"[ui_tips]")</f>
        <v>TIPS</v>
      </c>
      <c r="C18" s="50"/>
      <c r="D18" s="50"/>
      <c r="E18" s="50"/>
      <c r="F18" s="50"/>
    </row>
    <row r="19" spans="2:6" ht="20.100000000000001" customHeight="1" x14ac:dyDescent="0.25">
      <c r="B19" s="53" t="str">
        <f>IFERROR(INDEX(_Lang!$B$2:$D$300,MATCH("cfg_save_hint",_Lang!$A$2:$A$300,0),IF(Config!$D$9="NL",1,IF(Config!$D$9="FR",2,3))),"[cfg_save_hint]")</f>
        <v>Sla het bestand op na elke wijziging (Ctrl+S).</v>
      </c>
      <c r="C19" s="50"/>
      <c r="D19" s="50"/>
      <c r="E19" s="50"/>
      <c r="F19" s="50"/>
    </row>
    <row r="20" spans="2:6" ht="20.100000000000001" customHeight="1" x14ac:dyDescent="0.25">
      <c r="B20" s="53" t="str">
        <f>IFERROR(INDEX(_Lang!$B$2:$D$300,MATCH("cfg_lang_change_hint",_Lang!$A$2:$A$300,0),IF(Config!$D$9="NL",1,IF(Config!$D$9="FR",2,3))),"[cfg_lang_change_hint]")</f>
        <v>Na taalwijziging: herselect bestaande classificatiewaarden in de gegevensbladen.</v>
      </c>
      <c r="C20" s="50"/>
      <c r="D20" s="50"/>
      <c r="E20" s="50"/>
      <c r="F20" s="50"/>
    </row>
    <row r="21" spans="2:6" ht="9.9499999999999993" customHeight="1" x14ac:dyDescent="0.25"/>
    <row r="22" spans="2:6" ht="20.100000000000001" customHeight="1" x14ac:dyDescent="0.25">
      <c r="B22" s="56" t="str">
        <f>IFERROR(INDEX(_Lang!$B$2:$D$300,MATCH("ui_quicklinks",_Lang!$A$2:$A$300,0),IF(Config!$D$9="NL",1,IF(Config!$D$9="FR",2,3))),"[ui_quicklinks]")</f>
        <v>SNELKOPPELINGEN</v>
      </c>
      <c r="C22" s="50"/>
      <c r="D22" s="50"/>
      <c r="E22" s="50"/>
      <c r="F22" s="50"/>
    </row>
    <row r="23" spans="2:6" ht="20.100000000000001" customHeight="1" x14ac:dyDescent="0.25">
      <c r="B23" s="51" t="str">
        <f>IFERROR(INDEX(_Lang!$B$2:$D$300,MATCH("ui_goto_info",_Lang!$A$2:$A$300,0),IF(Config!$D$9="NL",1,IF(Config!$D$9="FR",2,3))),"[ui_goto_info]")</f>
        <v>→  Informatie</v>
      </c>
      <c r="C23" s="50"/>
      <c r="D23" s="50"/>
      <c r="E23" s="50"/>
      <c r="F23" s="50"/>
    </row>
    <row r="24" spans="2:6" ht="20.100000000000001" customHeight="1" x14ac:dyDescent="0.25">
      <c r="B24" s="51" t="str">
        <f>IFERROR(INDEX(_Lang!$B$2:$D$300,MATCH("ui_goto_proc",_Lang!$A$2:$A$300,0),IF(Config!$D$9="NL",1,IF(Config!$D$9="FR",2,3))),"[ui_goto_proc]")</f>
        <v>→  Processen</v>
      </c>
      <c r="C24" s="50"/>
      <c r="D24" s="50"/>
      <c r="E24" s="50"/>
      <c r="F24" s="50"/>
    </row>
    <row r="25" spans="2:6" ht="20.100000000000001" customHeight="1" x14ac:dyDescent="0.25">
      <c r="B25" s="51" t="str">
        <f>IFERROR(INDEX(_Lang!$B$2:$D$300,MATCH("ui_goto_assets",_Lang!$A$2:$A$300,0),IF(Config!$D$9="NL",1,IF(Config!$D$9="FR",2,3))),"[ui_goto_assets]")</f>
        <v>→  Informatieassets</v>
      </c>
      <c r="C25" s="50"/>
      <c r="D25" s="50"/>
      <c r="E25" s="50"/>
      <c r="F25" s="50"/>
    </row>
    <row r="26" spans="2:6" ht="20.100000000000001" customHeight="1" x14ac:dyDescent="0.25">
      <c r="B26" s="51" t="str">
        <f>IFERROR(INDEX(_Lang!$B$2:$D$300,MATCH("ui_goto_dep",_Lang!$A$2:$A$300,0),IF(Config!$D$9="NL",1,IF(Config!$D$9="FR",2,3))),"[ui_goto_dep]")</f>
        <v>→  Dependent Assets</v>
      </c>
      <c r="C26" s="50"/>
      <c r="D26" s="50"/>
      <c r="E26" s="50"/>
      <c r="F26" s="50"/>
    </row>
    <row r="27" spans="2:6" ht="20.100000000000001" customHeight="1" x14ac:dyDescent="0.25">
      <c r="B27" s="51" t="str">
        <f>IFERROR(INDEX(_Lang!$B$2:$D$300,MATCH("ui_goto_verant",_Lang!$A$2:$A$300,0),IF(Config!$D$9="NL",1,IF(Config!$D$9="FR",2,3))),"[ui_goto_verant]")</f>
        <v>→  Verantwoordelijken</v>
      </c>
      <c r="C27" s="50"/>
      <c r="D27" s="50"/>
      <c r="E27" s="50"/>
      <c r="F27" s="50"/>
    </row>
    <row r="28" spans="2:6" ht="20.100000000000001" customHeight="1" x14ac:dyDescent="0.25">
      <c r="B28" s="51" t="str">
        <f>IFERROR(INDEX(_Lang!$B$2:$D$300,MATCH("ui_goto_import",_Lang!$A$2:$A$300,0),IF(Config!$D$9="NL",1,IF(Config!$D$9="FR",2,3))),"[ui_goto_import]")</f>
        <v>→  Import &amp; Export</v>
      </c>
      <c r="C28" s="50"/>
      <c r="D28" s="50"/>
      <c r="E28" s="50"/>
      <c r="F28" s="50"/>
    </row>
    <row r="29" spans="2:6" ht="20.100000000000001" customHeight="1" x14ac:dyDescent="0.25">
      <c r="B29" s="51" t="str">
        <f>IFERROR(INDEX(_Lang!$B$2:$D$300,MATCH("ui_goto_ref",_Lang!$A$2:$A$300,0),IF(Config!$D$9="NL",1,IF(Config!$D$9="FR",2,3))),"[ui_goto_ref]")</f>
        <v>→  Referentiewaarden</v>
      </c>
      <c r="C29" s="50"/>
      <c r="D29" s="50"/>
      <c r="E29" s="50"/>
      <c r="F29" s="50"/>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52" t="str">
        <f>IFERROR(INDEX(_Lang!$B$2:$D$300,MATCH("info_title",_Lang!$A$2:$A$300,0),IF(Config!$D$9="NL",1,IF(Config!$D$9="FR",2,3))),"[info_title]")</f>
        <v>Over dit instrument</v>
      </c>
      <c r="B1" s="50"/>
      <c r="C1" s="50"/>
      <c r="D1" s="50"/>
      <c r="E1" s="50"/>
    </row>
    <row r="2" spans="1:5" ht="21.95" customHeight="1" x14ac:dyDescent="0.25">
      <c r="A2" s="55" t="str">
        <f>IFERROR(INDEX(_Lang!$B$2:$D$300,MATCH("app_tagline",_Lang!$A$2:$A$300,0),IF(Config!$D$9="NL",1,IF(Config!$D$9="FR",2,3))),"[app_tagline]")</f>
        <v>Governance · Risico · Compliance</v>
      </c>
      <c r="B2" s="50"/>
      <c r="C2" s="50"/>
      <c r="D2" s="50"/>
      <c r="E2" s="50"/>
    </row>
    <row r="3" spans="1:5" ht="12" customHeight="1" x14ac:dyDescent="0.25"/>
    <row r="4" spans="1:5" ht="20.100000000000001" customHeight="1" x14ac:dyDescent="0.25">
      <c r="B4" s="49" t="str">
        <f>IFERROR(INDEX(_Lang!$B$2:$D$300,MATCH("info_section_doel",_Lang!$A$2:$A$300,0),IF(Config!$D$9="NL",1,IF(Config!$D$9="FR",2,3))),"[info_section_doel]")</f>
        <v>DOEL</v>
      </c>
      <c r="C4" s="50"/>
      <c r="D4" s="50"/>
      <c r="E4" s="50"/>
    </row>
    <row r="5" spans="1:5" ht="60" customHeight="1" x14ac:dyDescent="0.25">
      <c r="B5" s="60"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50"/>
      <c r="D5" s="50"/>
    </row>
    <row r="6" spans="1:5" ht="8.1" customHeight="1" x14ac:dyDescent="0.25"/>
    <row r="7" spans="1:5" ht="20.100000000000001" customHeight="1" x14ac:dyDescent="0.25">
      <c r="B7" s="49" t="str">
        <f>IFERROR(INDEX(_Lang!$B$2:$D$300,MATCH("info_section_scope",_Lang!$A$2:$A$300,0),IF(Config!$D$9="NL",1,IF(Config!$D$9="FR",2,3))),"[info_section_scope]")</f>
        <v>TOEPASSINGSGEBIED</v>
      </c>
      <c r="C7" s="50"/>
      <c r="D7" s="50"/>
      <c r="E7" s="50"/>
    </row>
    <row r="8" spans="1:5" ht="44.1" customHeight="1" x14ac:dyDescent="0.25">
      <c r="B8" s="60" t="str">
        <f>IFERROR(INDEX(_Lang!$B$2:$D$300,MATCH("info_scope_txt",_Lang!$A$2:$A$300,0),IF(Config!$D$9="NL",1,IF(Config!$D$9="FR",2,3))),"[info_scope_txt]")</f>
        <v>Gericht op Belgische en Nederlandse overheidsdiensten (NIS2, GDPR, ISO 27001:2022, BIO).</v>
      </c>
      <c r="C8" s="50"/>
      <c r="D8" s="50"/>
    </row>
    <row r="9" spans="1:5" ht="8.1" customHeight="1" x14ac:dyDescent="0.25"/>
    <row r="10" spans="1:5" ht="20.100000000000001" customHeight="1" x14ac:dyDescent="0.25">
      <c r="B10" s="49" t="str">
        <f>IFERROR(INDEX(_Lang!$B$2:$D$300,MATCH("info_section_modules",_Lang!$A$2:$A$300,0),IF(Config!$D$9="NL",1,IF(Config!$D$9="FR",2,3))),"[info_section_modules]")</f>
        <v>MODULES IN DEZE VERSIE</v>
      </c>
      <c r="C10" s="50"/>
      <c r="D10" s="50"/>
      <c r="E10" s="50"/>
    </row>
    <row r="11" spans="1:5" ht="27.95" customHeight="1" x14ac:dyDescent="0.25">
      <c r="B11" s="58" t="str">
        <f>IFERROR(INDEX(_Lang!$B$2:$D$300,MATCH("info_mod_proc",_Lang!$A$2:$A$300,0),IF(Config!$D$9="NL",1,IF(Config!$D$9="FR",2,3))),"[info_mod_proc]")</f>
        <v>Processen — Classificeer bedrijfsprocessen op I · B · C.</v>
      </c>
      <c r="C11" s="50"/>
      <c r="D11" s="50"/>
    </row>
    <row r="12" spans="1:5" ht="27.95" customHeight="1" x14ac:dyDescent="0.25">
      <c r="B12" s="58" t="str">
        <f>IFERROR(INDEX(_Lang!$B$2:$D$300,MATCH("info_mod_assets",_Lang!$A$2:$A$300,0),IF(Config!$D$9="NL",1,IF(Config!$D$9="FR",2,3))),"[info_mod_assets]")</f>
        <v>Informatieassets — Classificeer informatieactiva op I · B · C.</v>
      </c>
      <c r="C12" s="50"/>
      <c r="D12" s="50"/>
    </row>
    <row r="13" spans="1:5" ht="27.95" customHeight="1" x14ac:dyDescent="0.25">
      <c r="B13" s="58" t="str">
        <f>IFERROR(INDEX(_Lang!$B$2:$D$300,MATCH("info_mod_verant",_Lang!$A$2:$A$300,0),IF(Config!$D$9="NL",1,IF(Config!$D$9="FR",2,3))),"[info_mod_verant]")</f>
        <v>Verantwoordelijken — Contactregister van GRC-verantwoordelijken.</v>
      </c>
      <c r="C13" s="50"/>
      <c r="D13" s="50"/>
    </row>
    <row r="14" spans="1:5" ht="27.95" customHeight="1" x14ac:dyDescent="0.25">
      <c r="B14" s="58" t="str">
        <f>IFERROR(INDEX(_Lang!$B$2:$D$300,MATCH("info_mod_import",_Lang!$A$2:$A$300,0),IF(Config!$D$9="NL",1,IF(Config!$D$9="FR",2,3))),"[info_mod_import]")</f>
        <v>Import &amp; Export — Macro's om gegevens te importeren uit externe bestanden.</v>
      </c>
      <c r="C14" s="50"/>
      <c r="D14" s="50"/>
    </row>
    <row r="15" spans="1:5" ht="8.1" customHeight="1" x14ac:dyDescent="0.25"/>
    <row r="16" spans="1:5" ht="20.100000000000001" customHeight="1" x14ac:dyDescent="0.25">
      <c r="B16" s="49" t="str">
        <f>IFERROR(INDEX(_Lang!$B$2:$D$300,MATCH("info_section_guide",_Lang!$A$2:$A$300,0),IF(Config!$D$9="NL",1,IF(Config!$D$9="FR",2,3))),"[info_section_guide]")</f>
        <v>HOE GEBRUIKEN</v>
      </c>
      <c r="C16" s="50"/>
      <c r="D16" s="50"/>
      <c r="E16" s="50"/>
    </row>
    <row r="17" spans="2:5" ht="27.95" customHeight="1" x14ac:dyDescent="0.25">
      <c r="B17" s="61" t="str">
        <f>IFERROR(INDEX(_Lang!$B$2:$D$300,MATCH("info_guide_1",_Lang!$A$2:$A$300,0),IF(Config!$D$9="NL",1,IF(Config!$D$9="FR",2,3))),"[info_guide_1]")</f>
        <v>1. Configuratie: vul de naam van de instelling in en kies de taal (NL / FR / EN).</v>
      </c>
      <c r="C17" s="50"/>
      <c r="D17" s="50"/>
    </row>
    <row r="18" spans="2:5" ht="27.95" customHeight="1" x14ac:dyDescent="0.25">
      <c r="B18" s="61" t="str">
        <f>IFERROR(INDEX(_Lang!$B$2:$D$300,MATCH("info_guide_2",_Lang!$A$2:$A$300,0),IF(Config!$D$9="NL",1,IF(Config!$D$9="FR",2,3))),"[info_guide_2]")</f>
        <v>2. Referentiewaarden: raadpleeg de definitie van elk classificatieniveau (1–5).</v>
      </c>
      <c r="C18" s="50"/>
      <c r="D18" s="50"/>
    </row>
    <row r="19" spans="2:5" ht="27.95" customHeight="1" x14ac:dyDescent="0.25">
      <c r="B19" s="61" t="str">
        <f>IFERROR(INDEX(_Lang!$B$2:$D$300,MATCH("info_guide_3",_Lang!$A$2:$A$300,0),IF(Config!$D$9="NL",1,IF(Config!$D$9="FR",2,3))),"[info_guide_3]")</f>
        <v>3. Processen &amp; Informatieassets: vul de gegevens in. Kies niveau 1–5 per dimensie.</v>
      </c>
      <c r="C19" s="50"/>
      <c r="D19" s="50"/>
    </row>
    <row r="20" spans="2:5" ht="27.95" customHeight="1" x14ac:dyDescent="0.25">
      <c r="B20" s="61" t="str">
        <f>IFERROR(INDEX(_Lang!$B$2:$D$300,MATCH("info_guide_4",_Lang!$A$2:$A$300,0),IF(Config!$D$9="NL",1,IF(Config!$D$9="FR",2,3))),"[info_guide_4]")</f>
        <v>4. Import &amp; Export: gebruik de macro's om gegevens in bulk te importeren.</v>
      </c>
      <c r="C20" s="50"/>
      <c r="D20" s="50"/>
    </row>
    <row r="21" spans="2:5" ht="8.1" customHeight="1" x14ac:dyDescent="0.25"/>
    <row r="22" spans="2:5" ht="20.100000000000001" customHeight="1" x14ac:dyDescent="0.25">
      <c r="B22" s="49" t="str">
        <f>IFERROR(INDEX(_Lang!$B$2:$D$300,MATCH("info_section_version",_Lang!$A$2:$A$300,0),IF(Config!$D$9="NL",1,IF(Config!$D$9="FR",2,3))),"[info_section_version]")</f>
        <v>VERSIE-INFORMATIE</v>
      </c>
      <c r="C22" s="50"/>
      <c r="D22" s="50"/>
      <c r="E22" s="50"/>
    </row>
    <row r="23" spans="2:5" ht="21.95" customHeight="1" x14ac:dyDescent="0.25">
      <c r="B23" s="59" t="str">
        <f>IFERROR(INDEX(_Lang!$B$2:$D$300,MATCH("info_v_tool",_Lang!$A$2:$A$300,0),IF(Config!$D$9="NL",1,IF(Config!$D$9="FR",2,3))),"[info_v_tool]")</f>
        <v>GRC Tool v0.3</v>
      </c>
      <c r="C23" s="50"/>
      <c r="D23" s="50"/>
    </row>
    <row r="24" spans="2:5" ht="21.95" customHeight="1" x14ac:dyDescent="0.25">
      <c r="B24" s="59" t="str">
        <f>IFERROR(INDEX(_Lang!$B$2:$D$300,MATCH("info_v_status",_Lang!$A$2:$A$300,0),IF(Config!$D$9="NL",1,IF(Config!$D$9="FR",2,3))),"[info_v_status]")</f>
        <v>Status: Prototype / Fase 3</v>
      </c>
      <c r="C24" s="50"/>
      <c r="D24" s="50"/>
    </row>
    <row r="25" spans="2:5" ht="21.95" customHeight="1" x14ac:dyDescent="0.25">
      <c r="B25" s="59" t="str">
        <f>IFERROR(INDEX(_Lang!$B$2:$D$300,MATCH("info_v_frameworks",_Lang!$A$2:$A$300,0),IF(Config!$D$9="NL",1,IF(Config!$D$9="FR",2,3))),"[info_v_frameworks]")</f>
        <v>Kaders: ISO 27001:2022 · NIS2 · GDPR · BIO</v>
      </c>
      <c r="C25" s="50"/>
      <c r="D25" s="50"/>
    </row>
    <row r="26" spans="2:5" ht="9.9499999999999993" customHeight="1" x14ac:dyDescent="0.25"/>
    <row r="27" spans="2:5" ht="20.100000000000001" customHeight="1" x14ac:dyDescent="0.25">
      <c r="B27" s="56" t="str">
        <f>IFERROR(INDEX(_Lang!$B$2:$D$300,MATCH("ui_quicklinks",_Lang!$A$2:$A$300,0),IF(Config!$D$9="NL",1,IF(Config!$D$9="FR",2,3))),"[ui_quicklinks]")</f>
        <v>SNELKOPPELINGEN</v>
      </c>
      <c r="C27" s="50"/>
      <c r="D27" s="50"/>
      <c r="E27" s="50"/>
    </row>
    <row r="28" spans="2:5" ht="20.100000000000001" customHeight="1" x14ac:dyDescent="0.25">
      <c r="B28" s="51" t="str">
        <f>IFERROR(INDEX(_Lang!$B$2:$D$300,MATCH("ui_goto_config",_Lang!$A$2:$A$300,0),IF(Config!$D$9="NL",1,IF(Config!$D$9="FR",2,3))),"[ui_goto_config]")</f>
        <v>→  Configuratie</v>
      </c>
      <c r="C28" s="50"/>
      <c r="D28" s="50"/>
      <c r="E28" s="50"/>
    </row>
    <row r="29" spans="2:5" ht="20.100000000000001" customHeight="1" x14ac:dyDescent="0.25">
      <c r="B29" s="51" t="str">
        <f>IFERROR(INDEX(_Lang!$B$2:$D$300,MATCH("ui_goto_proc",_Lang!$A$2:$A$300,0),IF(Config!$D$9="NL",1,IF(Config!$D$9="FR",2,3))),"[ui_goto_proc]")</f>
        <v>→  Processen</v>
      </c>
      <c r="C29" s="50"/>
      <c r="D29" s="50"/>
      <c r="E29" s="50"/>
    </row>
    <row r="30" spans="2:5" ht="20.100000000000001" customHeight="1" x14ac:dyDescent="0.25">
      <c r="B30" s="51" t="str">
        <f>IFERROR(INDEX(_Lang!$B$2:$D$300,MATCH("ui_goto_assets",_Lang!$A$2:$A$300,0),IF(Config!$D$9="NL",1,IF(Config!$D$9="FR",2,3))),"[ui_goto_assets]")</f>
        <v>→  Informatieassets</v>
      </c>
      <c r="C30" s="50"/>
      <c r="D30" s="50"/>
      <c r="E30" s="50"/>
    </row>
    <row r="31" spans="2:5" ht="20.100000000000001" customHeight="1" x14ac:dyDescent="0.25">
      <c r="B31" s="51" t="str">
        <f>IFERROR(INDEX(_Lang!$B$2:$D$300,MATCH("ui_goto_dep",_Lang!$A$2:$A$300,0),IF(Config!$D$9="NL",1,IF(Config!$D$9="FR",2,3))),"[ui_goto_dep]")</f>
        <v>→  Dependent Assets</v>
      </c>
      <c r="C31" s="50"/>
      <c r="D31" s="50"/>
      <c r="E31" s="50"/>
    </row>
    <row r="32" spans="2:5" ht="20.100000000000001" customHeight="1" x14ac:dyDescent="0.25">
      <c r="B32" s="51" t="str">
        <f>IFERROR(INDEX(_Lang!$B$2:$D$300,MATCH("ui_goto_verant",_Lang!$A$2:$A$300,0),IF(Config!$D$9="NL",1,IF(Config!$D$9="FR",2,3))),"[ui_goto_verant]")</f>
        <v>→  Verantwoordelijken</v>
      </c>
      <c r="C32" s="50"/>
      <c r="D32" s="50"/>
      <c r="E32" s="50"/>
    </row>
    <row r="33" spans="2:5" ht="20.100000000000001" customHeight="1" x14ac:dyDescent="0.25">
      <c r="B33" s="51" t="str">
        <f>IFERROR(INDEX(_Lang!$B$2:$D$300,MATCH("ui_goto_import",_Lang!$A$2:$A$300,0),IF(Config!$D$9="NL",1,IF(Config!$D$9="FR",2,3))),"[ui_goto_import]")</f>
        <v>→  Import &amp; Export</v>
      </c>
      <c r="C33" s="50"/>
      <c r="D33" s="50"/>
      <c r="E33" s="50"/>
    </row>
    <row r="34" spans="2:5" ht="20.100000000000001" customHeight="1" x14ac:dyDescent="0.25">
      <c r="B34" s="51" t="str">
        <f>IFERROR(INDEX(_Lang!$B$2:$D$300,MATCH("ui_goto_ref",_Lang!$A$2:$A$300,0),IF(Config!$D$9="NL",1,IF(Config!$D$9="FR",2,3))),"[ui_goto_ref]")</f>
        <v>→  Referentiewaarden</v>
      </c>
      <c r="C34" s="50"/>
      <c r="D34" s="50"/>
      <c r="E34" s="50"/>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52" t="str">
        <f>IFERROR(INDEX(_Lang!$B$2:$D$300,MATCH("proc_title",_Lang!$A$2:$A$300,0),IF(Config!$D$9="NL",1,IF(Config!$D$9="FR",2,3))),"[proc_title]")</f>
        <v>Processen</v>
      </c>
      <c r="B1" s="50"/>
      <c r="C1" s="50"/>
      <c r="D1" s="50"/>
      <c r="E1" s="50"/>
      <c r="F1" s="50"/>
      <c r="G1" s="50"/>
      <c r="H1" s="50"/>
      <c r="I1" s="50"/>
      <c r="J1" s="50"/>
      <c r="K1" s="50"/>
      <c r="L1" s="50"/>
    </row>
    <row r="2" spans="1:12" ht="21.95" customHeight="1" x14ac:dyDescent="0.25">
      <c r="A2" s="55" t="str">
        <f>IFERROR(INDEX(_Lang!$B$2:$D$300,MATCH("app_tagline",_Lang!$A$2:$A$300,0),IF(Config!$D$9="NL",1,IF(Config!$D$9="FR",2,3))),"[app_tagline]")</f>
        <v>Governance · Risico · Compliance</v>
      </c>
      <c r="B2" s="50"/>
      <c r="C2" s="50"/>
      <c r="D2" s="50"/>
      <c r="E2" s="50"/>
      <c r="F2" s="50"/>
      <c r="G2" s="50"/>
      <c r="H2" s="50"/>
      <c r="I2" s="50"/>
      <c r="J2" s="50"/>
      <c r="K2" s="50"/>
      <c r="L2" s="50"/>
    </row>
    <row r="3" spans="1:12" ht="21.95" customHeight="1" x14ac:dyDescent="0.25">
      <c r="A3" s="63" t="str">
        <f>IFERROR(INDEX(_Lang!$B$2:$D$300,MATCH("proc_subtitle",_Lang!$A$2:$A$300,0),IF(Config!$D$9="NL",1,IF(Config!$D$9="FR",2,3))),"[proc_subtitle]")</f>
        <v>Voer de bedrijfsprocessen in en ken de veiligheidclassificatie toe (1 = Laag … 5 = Kritiek).</v>
      </c>
      <c r="B3" s="50"/>
      <c r="C3" s="50"/>
      <c r="D3" s="50"/>
      <c r="E3" s="50"/>
      <c r="F3" s="50"/>
      <c r="G3" s="50"/>
      <c r="H3" s="50"/>
      <c r="I3" s="50"/>
      <c r="J3" s="50"/>
      <c r="K3" s="50"/>
      <c r="L3" s="50"/>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62" t="str">
        <f>IFERROR(INDEX(_Lang!$B$2:$D$300,MATCH("proc_col_integriteit",_Lang!$A$2:$A$300,0),IF(Config!$D$9="NL",1,IF(Config!$D$9="FR",2,3))),"[proc_col_integriteit]")</f>
        <v>Integriteit</v>
      </c>
      <c r="G5" s="50"/>
      <c r="H5" s="62" t="str">
        <f>IFERROR(INDEX(_Lang!$B$2:$D$300,MATCH("proc_col_beschikbaar",_Lang!$A$2:$A$300,0),IF(Config!$D$9="NL",1,IF(Config!$D$9="FR",2,3))),"[proc_col_beschikbaar]")</f>
        <v>Beschikbaarheid</v>
      </c>
      <c r="I5" s="50"/>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52" t="str">
        <f>IFERROR(INDEX(_Lang!$B$2:$D$300,MATCH("asset_title",_Lang!$A$2:$A$300,0),IF(Config!$D$9="NL",1,IF(Config!$D$9="FR",2,3))),"[asset_title]")</f>
        <v>Informatieassets</v>
      </c>
      <c r="B1" s="50"/>
      <c r="C1" s="50"/>
      <c r="D1" s="50"/>
      <c r="E1" s="50"/>
      <c r="F1" s="50"/>
      <c r="G1" s="50"/>
      <c r="H1" s="50"/>
      <c r="I1" s="50"/>
    </row>
    <row r="2" spans="1:9" ht="21.95" customHeight="1" x14ac:dyDescent="0.25">
      <c r="A2" s="55" t="str">
        <f>IFERROR(INDEX(_Lang!$B$2:$D$300,MATCH("app_tagline",_Lang!$A$2:$A$300,0),IF(Config!$D$9="NL",1,IF(Config!$D$9="FR",2,3))),"[app_tagline]")</f>
        <v>Governance · Risico · Compliance</v>
      </c>
      <c r="B2" s="50"/>
      <c r="C2" s="50"/>
      <c r="D2" s="50"/>
      <c r="E2" s="50"/>
      <c r="F2" s="50"/>
      <c r="G2" s="50"/>
      <c r="H2" s="50"/>
      <c r="I2" s="50"/>
    </row>
    <row r="3" spans="1:9" ht="21.95" customHeight="1" x14ac:dyDescent="0.25">
      <c r="A3" s="63" t="str">
        <f>IFERROR(INDEX(_Lang!$B$2:$D$300,MATCH("asset_subtitle",_Lang!$A$2:$A$300,0),IF(Config!$D$9="NL",1,IF(Config!$D$9="FR",2,3))),"[asset_subtitle]")</f>
        <v>Voer de informatieactiva in en ken de veiligheidclassificatie toe (1 = Laag … 5 = Kritiek).</v>
      </c>
      <c r="B3" s="50"/>
      <c r="C3" s="50"/>
      <c r="D3" s="50"/>
      <c r="E3" s="50"/>
      <c r="F3" s="50"/>
      <c r="G3" s="50"/>
      <c r="H3" s="50"/>
      <c r="I3" s="50"/>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62" t="str">
        <f>IFERROR(INDEX(_Lang!$B$2:$D$300,MATCH("asset_col_conf",_Lang!$A$2:$A$300,0),IF(Config!$D$9="NL",1,IF(Config!$D$9="FR",2,3))),"[asset_col_conf]")</f>
        <v>Confidentialiteit</v>
      </c>
      <c r="G5" s="50"/>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X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24" customWidth="1"/>
    <col min="7" max="8" width="35" customWidth="1"/>
    <col min="9" max="9" width="4" customWidth="1"/>
    <col min="10" max="10" width="15" customWidth="1"/>
    <col min="11" max="11" width="4" customWidth="1"/>
    <col min="12" max="12" width="15" customWidth="1"/>
    <col min="13" max="13" width="4" customWidth="1"/>
    <col min="14" max="14" width="15" customWidth="1"/>
    <col min="15" max="15" width="4" customWidth="1"/>
    <col min="16" max="16" width="15" customWidth="1"/>
    <col min="17" max="17" width="4" customWidth="1"/>
    <col min="18" max="18" width="15" customWidth="1"/>
    <col min="19" max="19" width="4" customWidth="1"/>
    <col min="20" max="20" width="15" customWidth="1"/>
    <col min="21" max="24" width="35" customWidth="1"/>
  </cols>
  <sheetData>
    <row r="1" spans="1:24" ht="51.95" customHeight="1" x14ac:dyDescent="0.25">
      <c r="A1" s="52" t="str">
        <f>IFERROR(INDEX(_Lang!$B$2:$D$300,MATCH("dep_title",_Lang!$A$2:$A$300,0),IF(Config!$D$9="NL",1,IF(Config!$D$9="FR",2,3))),"[dep_title]")</f>
        <v>Afhankelijke Assets</v>
      </c>
      <c r="B1" s="50"/>
      <c r="C1" s="50"/>
      <c r="D1" s="50"/>
      <c r="E1" s="50"/>
      <c r="F1" s="50"/>
      <c r="G1" s="50"/>
      <c r="H1" s="50"/>
      <c r="I1" s="50"/>
      <c r="J1" s="50"/>
      <c r="K1" s="50"/>
      <c r="L1" s="50"/>
      <c r="M1" s="50"/>
      <c r="N1" s="50"/>
      <c r="O1" s="50"/>
      <c r="P1" s="50"/>
      <c r="Q1" s="50"/>
      <c r="R1" s="50"/>
      <c r="S1" s="50"/>
      <c r="T1" s="50"/>
      <c r="U1" s="50"/>
      <c r="V1" s="50"/>
      <c r="W1" s="50"/>
      <c r="X1" s="50"/>
    </row>
    <row r="2" spans="1:24" ht="21.95" customHeight="1" x14ac:dyDescent="0.25">
      <c r="A2" s="55" t="str">
        <f>IFERROR(INDEX(_Lang!$B$2:$D$300,MATCH("app_tagline",_Lang!$A$2:$A$300,0),IF(Config!$D$9="NL",1,IF(Config!$D$9="FR",2,3))),"[app_tagline]")</f>
        <v>Governance · Risico · Compliance</v>
      </c>
      <c r="B2" s="50"/>
      <c r="C2" s="50"/>
      <c r="D2" s="50"/>
      <c r="E2" s="50"/>
      <c r="F2" s="50"/>
      <c r="G2" s="50"/>
      <c r="H2" s="50"/>
      <c r="I2" s="50"/>
      <c r="J2" s="50"/>
      <c r="K2" s="50"/>
      <c r="L2" s="50"/>
      <c r="M2" s="50"/>
      <c r="N2" s="50"/>
      <c r="O2" s="50"/>
      <c r="P2" s="50"/>
      <c r="Q2" s="50"/>
      <c r="R2" s="50"/>
      <c r="S2" s="50"/>
      <c r="T2" s="50"/>
      <c r="U2" s="50"/>
      <c r="V2" s="50"/>
      <c r="W2" s="50"/>
      <c r="X2" s="50"/>
    </row>
    <row r="3" spans="1:24" ht="21.95" customHeight="1" x14ac:dyDescent="0.25">
      <c r="A3" s="63" t="str">
        <f>IFERROR(INDEX(_Lang!$B$2:$D$300,MATCH("dep_subtitle",_Lang!$A$2:$A$300,0),IF(Config!$D$9="NL",1,IF(Config!$D$9="FR",2,3))),"[dep_subtitle]")</f>
        <v>Overzicht van systemen, infrastructuur en diensten waarvan processen afhankelijk zijn</v>
      </c>
      <c r="B3" s="50"/>
      <c r="C3" s="50"/>
      <c r="D3" s="50"/>
      <c r="E3" s="50"/>
      <c r="F3" s="50"/>
      <c r="G3" s="50"/>
      <c r="H3" s="50"/>
      <c r="I3" s="50"/>
      <c r="J3" s="50"/>
      <c r="K3" s="50"/>
      <c r="L3" s="50"/>
      <c r="M3" s="50"/>
      <c r="N3" s="50"/>
      <c r="O3" s="50"/>
      <c r="P3" s="50"/>
      <c r="Q3" s="50"/>
      <c r="R3" s="50"/>
      <c r="S3" s="50"/>
      <c r="T3" s="50"/>
      <c r="U3" s="50"/>
      <c r="V3" s="50"/>
      <c r="W3" s="50"/>
      <c r="X3" s="50"/>
    </row>
    <row r="4" spans="1:24" ht="21.95" customHeight="1" x14ac:dyDescent="0.25">
      <c r="I4" s="67" t="str">
        <f>IFERROR(INDEX(_Lang!$B$2:$D$300,MATCH("dep_sec_req_header",_Lang!$A$2:$A$300,0),IF(Config!$D$9="NL",1,IF(Config!$D$9="FR",2,3))),"[dep_sec_req_header]")</f>
        <v>Security Requirements</v>
      </c>
      <c r="J4" s="50"/>
      <c r="K4" s="50"/>
      <c r="L4" s="50"/>
      <c r="M4" s="50"/>
      <c r="N4" s="50"/>
      <c r="O4" s="64" t="str">
        <f>IFERROR(INDEX(_Lang!$B$2:$D$300,MATCH("dep_sec_obj_header",_Lang!$A$2:$A$300,0),IF(Config!$D$9="NL",1,IF(Config!$D$9="FR",2,3))),"[dep_sec_obj_header]")</f>
        <v>Security Objectives</v>
      </c>
      <c r="P4" s="50"/>
      <c r="Q4" s="50"/>
      <c r="R4" s="50"/>
      <c r="S4" s="50"/>
      <c r="T4" s="50"/>
      <c r="U4" s="65" t="str">
        <f>IFERROR(INDEX(_Lang!$B$2:$D$300,MATCH("dep_gap_header",_Lang!$A$2:$A$300,0),IF(Config!$D$9="NL",1,IF(Config!$D$9="FR",2,3))),"[dep_gap_header]")</f>
        <v>Gap Analyse</v>
      </c>
      <c r="V4" s="50"/>
      <c r="W4" s="50"/>
    </row>
    <row r="5" spans="1:24"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IFERROR(INDEX(_Lang!$B$2:$D$300,MATCH("dep_col_opmerkingen",_Lang!$A$2:$A$300,0),IF(Config!$D$9="NL",1,IF(Config!$D$9="FR",2,3))),"[dep_col_opmerkingen]")</f>
        <v>Opmerkingen</v>
      </c>
      <c r="G5" s="5" t="str">
        <f>IFERROR(INDEX(_Lang!$B$2:$D$300,MATCH("dep_col_processes",_Lang!$A$2:$A$300,0),IF(Config!$D$9="NL",1,IF(Config!$D$9="FR",2,3))),"[dep_col_processes]")</f>
        <v>Gebruikt door processen</v>
      </c>
      <c r="H5" s="5" t="str">
        <f>IFERROR(INDEX(_Lang!$B$2:$D$300,MATCH("dep_col_linked_info",_Lang!$A$2:$A$300,0),IF(Config!$D$9="NL",1,IF(Config!$D$9="FR",2,3))),"[dep_col_linked_info]")</f>
        <v>Informatieassets (via processen)</v>
      </c>
      <c r="I5" s="66" t="str">
        <f>IFERROR(INDEX(_Lang!$B$2:$D$300,MATCH("dep_col_conf",_Lang!$A$2:$A$300,0),IF(Config!$D$9="NL",1,IF(Config!$D$9="FR",2,3))),"[dep_col_conf]")</f>
        <v>Confidentialiteit</v>
      </c>
      <c r="J5" s="50"/>
      <c r="K5" s="66" t="str">
        <f>IFERROR(INDEX(_Lang!$B$2:$D$300,MATCH("dep_col_integ",_Lang!$A$2:$A$300,0),IF(Config!$D$9="NL",1,IF(Config!$D$9="FR",2,3))),"[dep_col_integ]")</f>
        <v>Integriteit</v>
      </c>
      <c r="L5" s="50"/>
      <c r="M5" s="66" t="str">
        <f>IFERROR(INDEX(_Lang!$B$2:$D$300,MATCH("dep_col_avail",_Lang!$A$2:$A$300,0),IF(Config!$D$9="NL",1,IF(Config!$D$9="FR",2,3))),"[dep_col_avail]")</f>
        <v>Beschikbaarheid</v>
      </c>
      <c r="N5" s="50"/>
      <c r="O5" s="62" t="str">
        <f>IFERROR(INDEX(_Lang!$B$2:$D$300,MATCH("dep_col_conf",_Lang!$A$2:$A$300,0),IF(Config!$D$9="NL",1,IF(Config!$D$9="FR",2,3))),"[dep_col_conf]")</f>
        <v>Confidentialiteit</v>
      </c>
      <c r="P5" s="50"/>
      <c r="Q5" s="62" t="str">
        <f>IFERROR(INDEX(_Lang!$B$2:$D$300,MATCH("dep_col_integ",_Lang!$A$2:$A$300,0),IF(Config!$D$9="NL",1,IF(Config!$D$9="FR",2,3))),"[dep_col_integ]")</f>
        <v>Integriteit</v>
      </c>
      <c r="R5" s="50"/>
      <c r="S5" s="62" t="str">
        <f>IFERROR(INDEX(_Lang!$B$2:$D$300,MATCH("dep_col_avail",_Lang!$A$2:$A$300,0),IF(Config!$D$9="NL",1,IF(Config!$D$9="FR",2,3))),"[dep_col_avail]")</f>
        <v>Beschikbaarheid</v>
      </c>
      <c r="T5" s="50"/>
      <c r="U5" s="14" t="str">
        <f>IFERROR(INDEX(_Lang!$B$2:$D$300,MATCH("dep_col_gap_conf",_Lang!$A$2:$A$300,0),IF(Config!$D$9="NL",1,IF(Config!$D$9="FR",2,3))),"[dep_col_gap_conf]")</f>
        <v>Conf. niet gedekt (info assets)</v>
      </c>
      <c r="V5" s="14" t="str">
        <f>IFERROR(INDEX(_Lang!$B$2:$D$300,MATCH("dep_col_gap_integ",_Lang!$A$2:$A$300,0),IF(Config!$D$9="NL",1,IF(Config!$D$9="FR",2,3))),"[dep_col_gap_integ]")</f>
        <v>Int. niet gedekt (processen)</v>
      </c>
      <c r="W5" s="14" t="str">
        <f>IFERROR(INDEX(_Lang!$B$2:$D$300,MATCH("dep_col_gap_avail",_Lang!$A$2:$A$300,0),IF(Config!$D$9="NL",1,IF(Config!$D$9="FR",2,3))),"[dep_col_gap_avail]")</f>
        <v>Beschikb. niet gedekt (processen)</v>
      </c>
      <c r="X5" s="5" t="str">
        <f>IFERROR(INDEX(_Lang!$B$2:$D$300,MATCH("dep_col_obj_commentaar",_Lang!$A$2:$A$300,0),IF(Config!$D$9="NL",1,IF(Config!$D$9="FR",2,3))),"[dep_col_obj_commentaar]")</f>
        <v>Commentaar</v>
      </c>
    </row>
    <row r="6" spans="1:24" ht="24" customHeight="1" x14ac:dyDescent="0.25">
      <c r="A6" s="6" t="str">
        <f>IF(B6="","","D"&amp;TEXT(1,"000"))</f>
        <v/>
      </c>
      <c r="B6" s="15"/>
      <c r="C6" s="15"/>
      <c r="D6" s="15"/>
      <c r="E6" s="15"/>
      <c r="F6" s="15"/>
      <c r="G6" s="13"/>
      <c r="H6" s="13"/>
      <c r="I6" s="16"/>
      <c r="J6" s="9" t="str">
        <f>IF(I6="","",IFERROR(INDEX('Reference Values'!$B$8:$B$12,I6),"?"))</f>
        <v/>
      </c>
      <c r="K6" s="16"/>
      <c r="L6" s="9" t="str">
        <f>IF(K6="","",IFERROR(INDEX('Reference Values'!$B$8:$B$12,K6),"?"))</f>
        <v/>
      </c>
      <c r="M6" s="16"/>
      <c r="N6" s="9" t="str">
        <f>IF(M6="","",IFERROR(INDEX('Reference Values'!$B$8:$B$12,M6),"?"))</f>
        <v/>
      </c>
      <c r="O6" s="17"/>
      <c r="P6" s="18" t="str">
        <f>IF(O6="","",IFERROR(INDEX('Reference Values'!$B$8:$B$12,O6),"?"))</f>
        <v/>
      </c>
      <c r="Q6" s="17"/>
      <c r="R6" s="18" t="str">
        <f>IF(Q6="","",IFERROR(INDEX('Reference Values'!$B$8:$B$12,Q6),"?"))</f>
        <v/>
      </c>
      <c r="S6" s="17"/>
      <c r="T6" s="18" t="str">
        <f>IF(S6="","",IFERROR(INDEX('Reference Values'!$B$8:$B$12,S6),"?"))</f>
        <v/>
      </c>
      <c r="U6" s="13"/>
      <c r="V6" s="13"/>
      <c r="W6" s="13"/>
      <c r="X6" s="19"/>
    </row>
    <row r="7" spans="1:24" ht="24" customHeight="1" x14ac:dyDescent="0.25">
      <c r="A7" s="10" t="str">
        <f>IF(B7="","","D"&amp;TEXT(2,"000"))</f>
        <v/>
      </c>
      <c r="B7" s="20"/>
      <c r="C7" s="20"/>
      <c r="D7" s="20"/>
      <c r="E7" s="20"/>
      <c r="F7" s="20"/>
      <c r="G7" s="13"/>
      <c r="H7" s="13"/>
      <c r="I7" s="16"/>
      <c r="J7" s="9" t="str">
        <f>IF(I7="","",IFERROR(INDEX('Reference Values'!$B$8:$B$12,I7),"?"))</f>
        <v/>
      </c>
      <c r="K7" s="16"/>
      <c r="L7" s="9" t="str">
        <f>IF(K7="","",IFERROR(INDEX('Reference Values'!$B$8:$B$12,K7),"?"))</f>
        <v/>
      </c>
      <c r="M7" s="16"/>
      <c r="N7" s="9" t="str">
        <f>IF(M7="","",IFERROR(INDEX('Reference Values'!$B$8:$B$12,M7),"?"))</f>
        <v/>
      </c>
      <c r="O7" s="21"/>
      <c r="P7" s="18" t="str">
        <f>IF(O7="","",IFERROR(INDEX('Reference Values'!$B$8:$B$12,O7),"?"))</f>
        <v/>
      </c>
      <c r="Q7" s="21"/>
      <c r="R7" s="18" t="str">
        <f>IF(Q7="","",IFERROR(INDEX('Reference Values'!$B$8:$B$12,Q7),"?"))</f>
        <v/>
      </c>
      <c r="S7" s="21"/>
      <c r="T7" s="18" t="str">
        <f>IF(S7="","",IFERROR(INDEX('Reference Values'!$B$8:$B$12,S7),"?"))</f>
        <v/>
      </c>
      <c r="U7" s="13"/>
      <c r="V7" s="13"/>
      <c r="W7" s="13"/>
      <c r="X7" s="22"/>
    </row>
    <row r="8" spans="1:24" ht="24" customHeight="1" x14ac:dyDescent="0.25">
      <c r="A8" s="6" t="str">
        <f>IF(B8="","","D"&amp;TEXT(3,"000"))</f>
        <v/>
      </c>
      <c r="B8" s="15"/>
      <c r="C8" s="15"/>
      <c r="D8" s="15"/>
      <c r="E8" s="15"/>
      <c r="F8" s="15"/>
      <c r="G8" s="13"/>
      <c r="H8" s="13"/>
      <c r="I8" s="16"/>
      <c r="J8" s="9" t="str">
        <f>IF(I8="","",IFERROR(INDEX('Reference Values'!$B$8:$B$12,I8),"?"))</f>
        <v/>
      </c>
      <c r="K8" s="16"/>
      <c r="L8" s="9" t="str">
        <f>IF(K8="","",IFERROR(INDEX('Reference Values'!$B$8:$B$12,K8),"?"))</f>
        <v/>
      </c>
      <c r="M8" s="16"/>
      <c r="N8" s="9" t="str">
        <f>IF(M8="","",IFERROR(INDEX('Reference Values'!$B$8:$B$12,M8),"?"))</f>
        <v/>
      </c>
      <c r="O8" s="17"/>
      <c r="P8" s="18" t="str">
        <f>IF(O8="","",IFERROR(INDEX('Reference Values'!$B$8:$B$12,O8),"?"))</f>
        <v/>
      </c>
      <c r="Q8" s="17"/>
      <c r="R8" s="18" t="str">
        <f>IF(Q8="","",IFERROR(INDEX('Reference Values'!$B$8:$B$12,Q8),"?"))</f>
        <v/>
      </c>
      <c r="S8" s="17"/>
      <c r="T8" s="18" t="str">
        <f>IF(S8="","",IFERROR(INDEX('Reference Values'!$B$8:$B$12,S8),"?"))</f>
        <v/>
      </c>
      <c r="U8" s="13"/>
      <c r="V8" s="13"/>
      <c r="W8" s="13"/>
      <c r="X8" s="19"/>
    </row>
    <row r="9" spans="1:24" ht="24" customHeight="1" x14ac:dyDescent="0.25">
      <c r="A9" s="10" t="str">
        <f>IF(B9="","","D"&amp;TEXT(4,"000"))</f>
        <v/>
      </c>
      <c r="B9" s="20"/>
      <c r="C9" s="20"/>
      <c r="D9" s="20"/>
      <c r="E9" s="20"/>
      <c r="F9" s="20"/>
      <c r="G9" s="13"/>
      <c r="H9" s="13"/>
      <c r="I9" s="16"/>
      <c r="J9" s="9" t="str">
        <f>IF(I9="","",IFERROR(INDEX('Reference Values'!$B$8:$B$12,I9),"?"))</f>
        <v/>
      </c>
      <c r="K9" s="16"/>
      <c r="L9" s="9" t="str">
        <f>IF(K9="","",IFERROR(INDEX('Reference Values'!$B$8:$B$12,K9),"?"))</f>
        <v/>
      </c>
      <c r="M9" s="16"/>
      <c r="N9" s="9" t="str">
        <f>IF(M9="","",IFERROR(INDEX('Reference Values'!$B$8:$B$12,M9),"?"))</f>
        <v/>
      </c>
      <c r="O9" s="21"/>
      <c r="P9" s="18" t="str">
        <f>IF(O9="","",IFERROR(INDEX('Reference Values'!$B$8:$B$12,O9),"?"))</f>
        <v/>
      </c>
      <c r="Q9" s="21"/>
      <c r="R9" s="18" t="str">
        <f>IF(Q9="","",IFERROR(INDEX('Reference Values'!$B$8:$B$12,Q9),"?"))</f>
        <v/>
      </c>
      <c r="S9" s="21"/>
      <c r="T9" s="18" t="str">
        <f>IF(S9="","",IFERROR(INDEX('Reference Values'!$B$8:$B$12,S9),"?"))</f>
        <v/>
      </c>
      <c r="U9" s="13"/>
      <c r="V9" s="13"/>
      <c r="W9" s="13"/>
      <c r="X9" s="22"/>
    </row>
    <row r="10" spans="1:24" ht="24" customHeight="1" x14ac:dyDescent="0.25">
      <c r="A10" s="6" t="str">
        <f>IF(B10="","","D"&amp;TEXT(5,"000"))</f>
        <v/>
      </c>
      <c r="B10" s="15"/>
      <c r="C10" s="15"/>
      <c r="D10" s="15"/>
      <c r="E10" s="15"/>
      <c r="F10" s="15"/>
      <c r="G10" s="13"/>
      <c r="H10" s="13"/>
      <c r="I10" s="16"/>
      <c r="J10" s="9" t="str">
        <f>IF(I10="","",IFERROR(INDEX('Reference Values'!$B$8:$B$12,I10),"?"))</f>
        <v/>
      </c>
      <c r="K10" s="16"/>
      <c r="L10" s="9" t="str">
        <f>IF(K10="","",IFERROR(INDEX('Reference Values'!$B$8:$B$12,K10),"?"))</f>
        <v/>
      </c>
      <c r="M10" s="16"/>
      <c r="N10" s="9" t="str">
        <f>IF(M10="","",IFERROR(INDEX('Reference Values'!$B$8:$B$12,M10),"?"))</f>
        <v/>
      </c>
      <c r="O10" s="17"/>
      <c r="P10" s="18" t="str">
        <f>IF(O10="","",IFERROR(INDEX('Reference Values'!$B$8:$B$12,O10),"?"))</f>
        <v/>
      </c>
      <c r="Q10" s="17"/>
      <c r="R10" s="18" t="str">
        <f>IF(Q10="","",IFERROR(INDEX('Reference Values'!$B$8:$B$12,Q10),"?"))</f>
        <v/>
      </c>
      <c r="S10" s="17"/>
      <c r="T10" s="18" t="str">
        <f>IF(S10="","",IFERROR(INDEX('Reference Values'!$B$8:$B$12,S10),"?"))</f>
        <v/>
      </c>
      <c r="U10" s="13"/>
      <c r="V10" s="13"/>
      <c r="W10" s="13"/>
      <c r="X10" s="19"/>
    </row>
    <row r="11" spans="1:24" ht="24" customHeight="1" x14ac:dyDescent="0.25">
      <c r="A11" s="10" t="str">
        <f>IF(B11="","","D"&amp;TEXT(6,"000"))</f>
        <v/>
      </c>
      <c r="B11" s="20"/>
      <c r="C11" s="20"/>
      <c r="D11" s="20"/>
      <c r="E11" s="20"/>
      <c r="F11" s="20"/>
      <c r="G11" s="13"/>
      <c r="H11" s="13"/>
      <c r="I11" s="16"/>
      <c r="J11" s="9" t="str">
        <f>IF(I11="","",IFERROR(INDEX('Reference Values'!$B$8:$B$12,I11),"?"))</f>
        <v/>
      </c>
      <c r="K11" s="16"/>
      <c r="L11" s="9" t="str">
        <f>IF(K11="","",IFERROR(INDEX('Reference Values'!$B$8:$B$12,K11),"?"))</f>
        <v/>
      </c>
      <c r="M11" s="16"/>
      <c r="N11" s="9" t="str">
        <f>IF(M11="","",IFERROR(INDEX('Reference Values'!$B$8:$B$12,M11),"?"))</f>
        <v/>
      </c>
      <c r="O11" s="21"/>
      <c r="P11" s="18" t="str">
        <f>IF(O11="","",IFERROR(INDEX('Reference Values'!$B$8:$B$12,O11),"?"))</f>
        <v/>
      </c>
      <c r="Q11" s="21"/>
      <c r="R11" s="18" t="str">
        <f>IF(Q11="","",IFERROR(INDEX('Reference Values'!$B$8:$B$12,Q11),"?"))</f>
        <v/>
      </c>
      <c r="S11" s="21"/>
      <c r="T11" s="18" t="str">
        <f>IF(S11="","",IFERROR(INDEX('Reference Values'!$B$8:$B$12,S11),"?"))</f>
        <v/>
      </c>
      <c r="U11" s="13"/>
      <c r="V11" s="13"/>
      <c r="W11" s="13"/>
      <c r="X11" s="22"/>
    </row>
    <row r="12" spans="1:24" ht="24" customHeight="1" x14ac:dyDescent="0.25">
      <c r="A12" s="6" t="str">
        <f>IF(B12="","","D"&amp;TEXT(7,"000"))</f>
        <v/>
      </c>
      <c r="B12" s="15"/>
      <c r="C12" s="15"/>
      <c r="D12" s="15"/>
      <c r="E12" s="15"/>
      <c r="F12" s="15"/>
      <c r="G12" s="13"/>
      <c r="H12" s="13"/>
      <c r="I12" s="16"/>
      <c r="J12" s="9" t="str">
        <f>IF(I12="","",IFERROR(INDEX('Reference Values'!$B$8:$B$12,I12),"?"))</f>
        <v/>
      </c>
      <c r="K12" s="16"/>
      <c r="L12" s="9" t="str">
        <f>IF(K12="","",IFERROR(INDEX('Reference Values'!$B$8:$B$12,K12),"?"))</f>
        <v/>
      </c>
      <c r="M12" s="16"/>
      <c r="N12" s="9" t="str">
        <f>IF(M12="","",IFERROR(INDEX('Reference Values'!$B$8:$B$12,M12),"?"))</f>
        <v/>
      </c>
      <c r="O12" s="17"/>
      <c r="P12" s="18" t="str">
        <f>IF(O12="","",IFERROR(INDEX('Reference Values'!$B$8:$B$12,O12),"?"))</f>
        <v/>
      </c>
      <c r="Q12" s="17"/>
      <c r="R12" s="18" t="str">
        <f>IF(Q12="","",IFERROR(INDEX('Reference Values'!$B$8:$B$12,Q12),"?"))</f>
        <v/>
      </c>
      <c r="S12" s="17"/>
      <c r="T12" s="18" t="str">
        <f>IF(S12="","",IFERROR(INDEX('Reference Values'!$B$8:$B$12,S12),"?"))</f>
        <v/>
      </c>
      <c r="U12" s="13"/>
      <c r="V12" s="13"/>
      <c r="W12" s="13"/>
      <c r="X12" s="19"/>
    </row>
    <row r="13" spans="1:24" ht="24" customHeight="1" x14ac:dyDescent="0.25">
      <c r="A13" s="10" t="str">
        <f>IF(B13="","","D"&amp;TEXT(8,"000"))</f>
        <v/>
      </c>
      <c r="B13" s="20"/>
      <c r="C13" s="20"/>
      <c r="D13" s="20"/>
      <c r="E13" s="20"/>
      <c r="F13" s="20"/>
      <c r="G13" s="13"/>
      <c r="H13" s="13"/>
      <c r="I13" s="16"/>
      <c r="J13" s="9" t="str">
        <f>IF(I13="","",IFERROR(INDEX('Reference Values'!$B$8:$B$12,I13),"?"))</f>
        <v/>
      </c>
      <c r="K13" s="16"/>
      <c r="L13" s="9" t="str">
        <f>IF(K13="","",IFERROR(INDEX('Reference Values'!$B$8:$B$12,K13),"?"))</f>
        <v/>
      </c>
      <c r="M13" s="16"/>
      <c r="N13" s="9" t="str">
        <f>IF(M13="","",IFERROR(INDEX('Reference Values'!$B$8:$B$12,M13),"?"))</f>
        <v/>
      </c>
      <c r="O13" s="21"/>
      <c r="P13" s="18" t="str">
        <f>IF(O13="","",IFERROR(INDEX('Reference Values'!$B$8:$B$12,O13),"?"))</f>
        <v/>
      </c>
      <c r="Q13" s="21"/>
      <c r="R13" s="18" t="str">
        <f>IF(Q13="","",IFERROR(INDEX('Reference Values'!$B$8:$B$12,Q13),"?"))</f>
        <v/>
      </c>
      <c r="S13" s="21"/>
      <c r="T13" s="18" t="str">
        <f>IF(S13="","",IFERROR(INDEX('Reference Values'!$B$8:$B$12,S13),"?"))</f>
        <v/>
      </c>
      <c r="U13" s="13"/>
      <c r="V13" s="13"/>
      <c r="W13" s="13"/>
      <c r="X13" s="22"/>
    </row>
    <row r="14" spans="1:24" ht="24" customHeight="1" x14ac:dyDescent="0.25">
      <c r="A14" s="6" t="str">
        <f>IF(B14="","","D"&amp;TEXT(9,"000"))</f>
        <v/>
      </c>
      <c r="B14" s="15"/>
      <c r="C14" s="15"/>
      <c r="D14" s="15"/>
      <c r="E14" s="15"/>
      <c r="F14" s="15"/>
      <c r="G14" s="13"/>
      <c r="H14" s="13"/>
      <c r="I14" s="16"/>
      <c r="J14" s="9" t="str">
        <f>IF(I14="","",IFERROR(INDEX('Reference Values'!$B$8:$B$12,I14),"?"))</f>
        <v/>
      </c>
      <c r="K14" s="16"/>
      <c r="L14" s="9" t="str">
        <f>IF(K14="","",IFERROR(INDEX('Reference Values'!$B$8:$B$12,K14),"?"))</f>
        <v/>
      </c>
      <c r="M14" s="16"/>
      <c r="N14" s="9" t="str">
        <f>IF(M14="","",IFERROR(INDEX('Reference Values'!$B$8:$B$12,M14),"?"))</f>
        <v/>
      </c>
      <c r="O14" s="17"/>
      <c r="P14" s="18" t="str">
        <f>IF(O14="","",IFERROR(INDEX('Reference Values'!$B$8:$B$12,O14),"?"))</f>
        <v/>
      </c>
      <c r="Q14" s="17"/>
      <c r="R14" s="18" t="str">
        <f>IF(Q14="","",IFERROR(INDEX('Reference Values'!$B$8:$B$12,Q14),"?"))</f>
        <v/>
      </c>
      <c r="S14" s="17"/>
      <c r="T14" s="18" t="str">
        <f>IF(S14="","",IFERROR(INDEX('Reference Values'!$B$8:$B$12,S14),"?"))</f>
        <v/>
      </c>
      <c r="U14" s="13"/>
      <c r="V14" s="13"/>
      <c r="W14" s="13"/>
      <c r="X14" s="19"/>
    </row>
    <row r="15" spans="1:24" ht="24" customHeight="1" x14ac:dyDescent="0.25">
      <c r="A15" s="10" t="str">
        <f>IF(B15="","","D"&amp;TEXT(10,"000"))</f>
        <v/>
      </c>
      <c r="B15" s="20"/>
      <c r="C15" s="20"/>
      <c r="D15" s="20"/>
      <c r="E15" s="20"/>
      <c r="F15" s="20"/>
      <c r="G15" s="13"/>
      <c r="H15" s="13"/>
      <c r="I15" s="16"/>
      <c r="J15" s="9" t="str">
        <f>IF(I15="","",IFERROR(INDEX('Reference Values'!$B$8:$B$12,I15),"?"))</f>
        <v/>
      </c>
      <c r="K15" s="16"/>
      <c r="L15" s="9" t="str">
        <f>IF(K15="","",IFERROR(INDEX('Reference Values'!$B$8:$B$12,K15),"?"))</f>
        <v/>
      </c>
      <c r="M15" s="16"/>
      <c r="N15" s="9" t="str">
        <f>IF(M15="","",IFERROR(INDEX('Reference Values'!$B$8:$B$12,M15),"?"))</f>
        <v/>
      </c>
      <c r="O15" s="21"/>
      <c r="P15" s="18" t="str">
        <f>IF(O15="","",IFERROR(INDEX('Reference Values'!$B$8:$B$12,O15),"?"))</f>
        <v/>
      </c>
      <c r="Q15" s="21"/>
      <c r="R15" s="18" t="str">
        <f>IF(Q15="","",IFERROR(INDEX('Reference Values'!$B$8:$B$12,Q15),"?"))</f>
        <v/>
      </c>
      <c r="S15" s="21"/>
      <c r="T15" s="18" t="str">
        <f>IF(S15="","",IFERROR(INDEX('Reference Values'!$B$8:$B$12,S15),"?"))</f>
        <v/>
      </c>
      <c r="U15" s="13"/>
      <c r="V15" s="13"/>
      <c r="W15" s="13"/>
      <c r="X15" s="22"/>
    </row>
    <row r="16" spans="1:24" ht="24" customHeight="1" x14ac:dyDescent="0.25">
      <c r="A16" s="6" t="str">
        <f>IF(B16="","","D"&amp;TEXT(11,"000"))</f>
        <v/>
      </c>
      <c r="B16" s="15"/>
      <c r="C16" s="15"/>
      <c r="D16" s="15"/>
      <c r="E16" s="15"/>
      <c r="F16" s="15"/>
      <c r="G16" s="13"/>
      <c r="H16" s="13"/>
      <c r="I16" s="16"/>
      <c r="J16" s="9" t="str">
        <f>IF(I16="","",IFERROR(INDEX('Reference Values'!$B$8:$B$12,I16),"?"))</f>
        <v/>
      </c>
      <c r="K16" s="16"/>
      <c r="L16" s="9" t="str">
        <f>IF(K16="","",IFERROR(INDEX('Reference Values'!$B$8:$B$12,K16),"?"))</f>
        <v/>
      </c>
      <c r="M16" s="16"/>
      <c r="N16" s="9" t="str">
        <f>IF(M16="","",IFERROR(INDEX('Reference Values'!$B$8:$B$12,M16),"?"))</f>
        <v/>
      </c>
      <c r="O16" s="17"/>
      <c r="P16" s="18" t="str">
        <f>IF(O16="","",IFERROR(INDEX('Reference Values'!$B$8:$B$12,O16),"?"))</f>
        <v/>
      </c>
      <c r="Q16" s="17"/>
      <c r="R16" s="18" t="str">
        <f>IF(Q16="","",IFERROR(INDEX('Reference Values'!$B$8:$B$12,Q16),"?"))</f>
        <v/>
      </c>
      <c r="S16" s="17"/>
      <c r="T16" s="18" t="str">
        <f>IF(S16="","",IFERROR(INDEX('Reference Values'!$B$8:$B$12,S16),"?"))</f>
        <v/>
      </c>
      <c r="U16" s="13"/>
      <c r="V16" s="13"/>
      <c r="W16" s="13"/>
      <c r="X16" s="19"/>
    </row>
    <row r="17" spans="1:24" ht="24" customHeight="1" x14ac:dyDescent="0.25">
      <c r="A17" s="10" t="str">
        <f>IF(B17="","","D"&amp;TEXT(12,"000"))</f>
        <v/>
      </c>
      <c r="B17" s="20"/>
      <c r="C17" s="20"/>
      <c r="D17" s="20"/>
      <c r="E17" s="20"/>
      <c r="F17" s="20"/>
      <c r="G17" s="13"/>
      <c r="H17" s="13"/>
      <c r="I17" s="16"/>
      <c r="J17" s="9" t="str">
        <f>IF(I17="","",IFERROR(INDEX('Reference Values'!$B$8:$B$12,I17),"?"))</f>
        <v/>
      </c>
      <c r="K17" s="16"/>
      <c r="L17" s="9" t="str">
        <f>IF(K17="","",IFERROR(INDEX('Reference Values'!$B$8:$B$12,K17),"?"))</f>
        <v/>
      </c>
      <c r="M17" s="16"/>
      <c r="N17" s="9" t="str">
        <f>IF(M17="","",IFERROR(INDEX('Reference Values'!$B$8:$B$12,M17),"?"))</f>
        <v/>
      </c>
      <c r="O17" s="21"/>
      <c r="P17" s="18" t="str">
        <f>IF(O17="","",IFERROR(INDEX('Reference Values'!$B$8:$B$12,O17),"?"))</f>
        <v/>
      </c>
      <c r="Q17" s="21"/>
      <c r="R17" s="18" t="str">
        <f>IF(Q17="","",IFERROR(INDEX('Reference Values'!$B$8:$B$12,Q17),"?"))</f>
        <v/>
      </c>
      <c r="S17" s="21"/>
      <c r="T17" s="18" t="str">
        <f>IF(S17="","",IFERROR(INDEX('Reference Values'!$B$8:$B$12,S17),"?"))</f>
        <v/>
      </c>
      <c r="U17" s="13"/>
      <c r="V17" s="13"/>
      <c r="W17" s="13"/>
      <c r="X17" s="22"/>
    </row>
    <row r="18" spans="1:24" ht="24" customHeight="1" x14ac:dyDescent="0.25">
      <c r="A18" s="6" t="str">
        <f>IF(B18="","","D"&amp;TEXT(13,"000"))</f>
        <v/>
      </c>
      <c r="B18" s="15"/>
      <c r="C18" s="15"/>
      <c r="D18" s="15"/>
      <c r="E18" s="15"/>
      <c r="F18" s="15"/>
      <c r="G18" s="13"/>
      <c r="H18" s="13"/>
      <c r="I18" s="16"/>
      <c r="J18" s="9" t="str">
        <f>IF(I18="","",IFERROR(INDEX('Reference Values'!$B$8:$B$12,I18),"?"))</f>
        <v/>
      </c>
      <c r="K18" s="16"/>
      <c r="L18" s="9" t="str">
        <f>IF(K18="","",IFERROR(INDEX('Reference Values'!$B$8:$B$12,K18),"?"))</f>
        <v/>
      </c>
      <c r="M18" s="16"/>
      <c r="N18" s="9" t="str">
        <f>IF(M18="","",IFERROR(INDEX('Reference Values'!$B$8:$B$12,M18),"?"))</f>
        <v/>
      </c>
      <c r="O18" s="17"/>
      <c r="P18" s="18" t="str">
        <f>IF(O18="","",IFERROR(INDEX('Reference Values'!$B$8:$B$12,O18),"?"))</f>
        <v/>
      </c>
      <c r="Q18" s="17"/>
      <c r="R18" s="18" t="str">
        <f>IF(Q18="","",IFERROR(INDEX('Reference Values'!$B$8:$B$12,Q18),"?"))</f>
        <v/>
      </c>
      <c r="S18" s="17"/>
      <c r="T18" s="18" t="str">
        <f>IF(S18="","",IFERROR(INDEX('Reference Values'!$B$8:$B$12,S18),"?"))</f>
        <v/>
      </c>
      <c r="U18" s="13"/>
      <c r="V18" s="13"/>
      <c r="W18" s="13"/>
      <c r="X18" s="19"/>
    </row>
    <row r="19" spans="1:24" ht="24" customHeight="1" x14ac:dyDescent="0.25">
      <c r="A19" s="10" t="str">
        <f>IF(B19="","","D"&amp;TEXT(14,"000"))</f>
        <v/>
      </c>
      <c r="B19" s="20"/>
      <c r="C19" s="20"/>
      <c r="D19" s="20"/>
      <c r="E19" s="20"/>
      <c r="F19" s="20"/>
      <c r="G19" s="13"/>
      <c r="H19" s="13"/>
      <c r="I19" s="16"/>
      <c r="J19" s="9" t="str">
        <f>IF(I19="","",IFERROR(INDEX('Reference Values'!$B$8:$B$12,I19),"?"))</f>
        <v/>
      </c>
      <c r="K19" s="16"/>
      <c r="L19" s="9" t="str">
        <f>IF(K19="","",IFERROR(INDEX('Reference Values'!$B$8:$B$12,K19),"?"))</f>
        <v/>
      </c>
      <c r="M19" s="16"/>
      <c r="N19" s="9" t="str">
        <f>IF(M19="","",IFERROR(INDEX('Reference Values'!$B$8:$B$12,M19),"?"))</f>
        <v/>
      </c>
      <c r="O19" s="21"/>
      <c r="P19" s="18" t="str">
        <f>IF(O19="","",IFERROR(INDEX('Reference Values'!$B$8:$B$12,O19),"?"))</f>
        <v/>
      </c>
      <c r="Q19" s="21"/>
      <c r="R19" s="18" t="str">
        <f>IF(Q19="","",IFERROR(INDEX('Reference Values'!$B$8:$B$12,Q19),"?"))</f>
        <v/>
      </c>
      <c r="S19" s="21"/>
      <c r="T19" s="18" t="str">
        <f>IF(S19="","",IFERROR(INDEX('Reference Values'!$B$8:$B$12,S19),"?"))</f>
        <v/>
      </c>
      <c r="U19" s="13"/>
      <c r="V19" s="13"/>
      <c r="W19" s="13"/>
      <c r="X19" s="22"/>
    </row>
    <row r="20" spans="1:24" ht="24" customHeight="1" x14ac:dyDescent="0.25">
      <c r="A20" s="6" t="str">
        <f>IF(B20="","","D"&amp;TEXT(15,"000"))</f>
        <v/>
      </c>
      <c r="B20" s="15"/>
      <c r="C20" s="15"/>
      <c r="D20" s="15"/>
      <c r="E20" s="15"/>
      <c r="F20" s="15"/>
      <c r="G20" s="13"/>
      <c r="H20" s="13"/>
      <c r="I20" s="16"/>
      <c r="J20" s="9" t="str">
        <f>IF(I20="","",IFERROR(INDEX('Reference Values'!$B$8:$B$12,I20),"?"))</f>
        <v/>
      </c>
      <c r="K20" s="16"/>
      <c r="L20" s="9" t="str">
        <f>IF(K20="","",IFERROR(INDEX('Reference Values'!$B$8:$B$12,K20),"?"))</f>
        <v/>
      </c>
      <c r="M20" s="16"/>
      <c r="N20" s="9" t="str">
        <f>IF(M20="","",IFERROR(INDEX('Reference Values'!$B$8:$B$12,M20),"?"))</f>
        <v/>
      </c>
      <c r="O20" s="17"/>
      <c r="P20" s="18" t="str">
        <f>IF(O20="","",IFERROR(INDEX('Reference Values'!$B$8:$B$12,O20),"?"))</f>
        <v/>
      </c>
      <c r="Q20" s="17"/>
      <c r="R20" s="18" t="str">
        <f>IF(Q20="","",IFERROR(INDEX('Reference Values'!$B$8:$B$12,Q20),"?"))</f>
        <v/>
      </c>
      <c r="S20" s="17"/>
      <c r="T20" s="18" t="str">
        <f>IF(S20="","",IFERROR(INDEX('Reference Values'!$B$8:$B$12,S20),"?"))</f>
        <v/>
      </c>
      <c r="U20" s="13"/>
      <c r="V20" s="13"/>
      <c r="W20" s="13"/>
      <c r="X20" s="19"/>
    </row>
    <row r="21" spans="1:24" ht="24" customHeight="1" x14ac:dyDescent="0.25">
      <c r="A21" s="10" t="str">
        <f>IF(B21="","","D"&amp;TEXT(16,"000"))</f>
        <v/>
      </c>
      <c r="B21" s="20"/>
      <c r="C21" s="20"/>
      <c r="D21" s="20"/>
      <c r="E21" s="20"/>
      <c r="F21" s="20"/>
      <c r="G21" s="13"/>
      <c r="H21" s="13"/>
      <c r="I21" s="16"/>
      <c r="J21" s="9" t="str">
        <f>IF(I21="","",IFERROR(INDEX('Reference Values'!$B$8:$B$12,I21),"?"))</f>
        <v/>
      </c>
      <c r="K21" s="16"/>
      <c r="L21" s="9" t="str">
        <f>IF(K21="","",IFERROR(INDEX('Reference Values'!$B$8:$B$12,K21),"?"))</f>
        <v/>
      </c>
      <c r="M21" s="16"/>
      <c r="N21" s="9" t="str">
        <f>IF(M21="","",IFERROR(INDEX('Reference Values'!$B$8:$B$12,M21),"?"))</f>
        <v/>
      </c>
      <c r="O21" s="21"/>
      <c r="P21" s="18" t="str">
        <f>IF(O21="","",IFERROR(INDEX('Reference Values'!$B$8:$B$12,O21),"?"))</f>
        <v/>
      </c>
      <c r="Q21" s="21"/>
      <c r="R21" s="18" t="str">
        <f>IF(Q21="","",IFERROR(INDEX('Reference Values'!$B$8:$B$12,Q21),"?"))</f>
        <v/>
      </c>
      <c r="S21" s="21"/>
      <c r="T21" s="18" t="str">
        <f>IF(S21="","",IFERROR(INDEX('Reference Values'!$B$8:$B$12,S21),"?"))</f>
        <v/>
      </c>
      <c r="U21" s="13"/>
      <c r="V21" s="13"/>
      <c r="W21" s="13"/>
      <c r="X21" s="22"/>
    </row>
    <row r="22" spans="1:24" ht="24" customHeight="1" x14ac:dyDescent="0.25">
      <c r="A22" s="6" t="str">
        <f>IF(B22="","","D"&amp;TEXT(17,"000"))</f>
        <v/>
      </c>
      <c r="B22" s="15"/>
      <c r="C22" s="15"/>
      <c r="D22" s="15"/>
      <c r="E22" s="15"/>
      <c r="F22" s="15"/>
      <c r="G22" s="13"/>
      <c r="H22" s="13"/>
      <c r="I22" s="16"/>
      <c r="J22" s="9" t="str">
        <f>IF(I22="","",IFERROR(INDEX('Reference Values'!$B$8:$B$12,I22),"?"))</f>
        <v/>
      </c>
      <c r="K22" s="16"/>
      <c r="L22" s="9" t="str">
        <f>IF(K22="","",IFERROR(INDEX('Reference Values'!$B$8:$B$12,K22),"?"))</f>
        <v/>
      </c>
      <c r="M22" s="16"/>
      <c r="N22" s="9" t="str">
        <f>IF(M22="","",IFERROR(INDEX('Reference Values'!$B$8:$B$12,M22),"?"))</f>
        <v/>
      </c>
      <c r="O22" s="17"/>
      <c r="P22" s="18" t="str">
        <f>IF(O22="","",IFERROR(INDEX('Reference Values'!$B$8:$B$12,O22),"?"))</f>
        <v/>
      </c>
      <c r="Q22" s="17"/>
      <c r="R22" s="18" t="str">
        <f>IF(Q22="","",IFERROR(INDEX('Reference Values'!$B$8:$B$12,Q22),"?"))</f>
        <v/>
      </c>
      <c r="S22" s="17"/>
      <c r="T22" s="18" t="str">
        <f>IF(S22="","",IFERROR(INDEX('Reference Values'!$B$8:$B$12,S22),"?"))</f>
        <v/>
      </c>
      <c r="U22" s="13"/>
      <c r="V22" s="13"/>
      <c r="W22" s="13"/>
      <c r="X22" s="19"/>
    </row>
    <row r="23" spans="1:24" ht="24" customHeight="1" x14ac:dyDescent="0.25">
      <c r="A23" s="10" t="str">
        <f>IF(B23="","","D"&amp;TEXT(18,"000"))</f>
        <v/>
      </c>
      <c r="B23" s="20"/>
      <c r="C23" s="20"/>
      <c r="D23" s="20"/>
      <c r="E23" s="20"/>
      <c r="F23" s="20"/>
      <c r="G23" s="13"/>
      <c r="H23" s="13"/>
      <c r="I23" s="16"/>
      <c r="J23" s="9" t="str">
        <f>IF(I23="","",IFERROR(INDEX('Reference Values'!$B$8:$B$12,I23),"?"))</f>
        <v/>
      </c>
      <c r="K23" s="16"/>
      <c r="L23" s="9" t="str">
        <f>IF(K23="","",IFERROR(INDEX('Reference Values'!$B$8:$B$12,K23),"?"))</f>
        <v/>
      </c>
      <c r="M23" s="16"/>
      <c r="N23" s="9" t="str">
        <f>IF(M23="","",IFERROR(INDEX('Reference Values'!$B$8:$B$12,M23),"?"))</f>
        <v/>
      </c>
      <c r="O23" s="21"/>
      <c r="P23" s="18" t="str">
        <f>IF(O23="","",IFERROR(INDEX('Reference Values'!$B$8:$B$12,O23),"?"))</f>
        <v/>
      </c>
      <c r="Q23" s="21"/>
      <c r="R23" s="18" t="str">
        <f>IF(Q23="","",IFERROR(INDEX('Reference Values'!$B$8:$B$12,Q23),"?"))</f>
        <v/>
      </c>
      <c r="S23" s="21"/>
      <c r="T23" s="18" t="str">
        <f>IF(S23="","",IFERROR(INDEX('Reference Values'!$B$8:$B$12,S23),"?"))</f>
        <v/>
      </c>
      <c r="U23" s="13"/>
      <c r="V23" s="13"/>
      <c r="W23" s="13"/>
      <c r="X23" s="22"/>
    </row>
    <row r="24" spans="1:24" ht="24" customHeight="1" x14ac:dyDescent="0.25">
      <c r="A24" s="6" t="str">
        <f>IF(B24="","","D"&amp;TEXT(19,"000"))</f>
        <v/>
      </c>
      <c r="B24" s="15"/>
      <c r="C24" s="15"/>
      <c r="D24" s="15"/>
      <c r="E24" s="15"/>
      <c r="F24" s="15"/>
      <c r="G24" s="13"/>
      <c r="H24" s="13"/>
      <c r="I24" s="16"/>
      <c r="J24" s="9" t="str">
        <f>IF(I24="","",IFERROR(INDEX('Reference Values'!$B$8:$B$12,I24),"?"))</f>
        <v/>
      </c>
      <c r="K24" s="16"/>
      <c r="L24" s="9" t="str">
        <f>IF(K24="","",IFERROR(INDEX('Reference Values'!$B$8:$B$12,K24),"?"))</f>
        <v/>
      </c>
      <c r="M24" s="16"/>
      <c r="N24" s="9" t="str">
        <f>IF(M24="","",IFERROR(INDEX('Reference Values'!$B$8:$B$12,M24),"?"))</f>
        <v/>
      </c>
      <c r="O24" s="17"/>
      <c r="P24" s="18" t="str">
        <f>IF(O24="","",IFERROR(INDEX('Reference Values'!$B$8:$B$12,O24),"?"))</f>
        <v/>
      </c>
      <c r="Q24" s="17"/>
      <c r="R24" s="18" t="str">
        <f>IF(Q24="","",IFERROR(INDEX('Reference Values'!$B$8:$B$12,Q24),"?"))</f>
        <v/>
      </c>
      <c r="S24" s="17"/>
      <c r="T24" s="18" t="str">
        <f>IF(S24="","",IFERROR(INDEX('Reference Values'!$B$8:$B$12,S24),"?"))</f>
        <v/>
      </c>
      <c r="U24" s="13"/>
      <c r="V24" s="13"/>
      <c r="W24" s="13"/>
      <c r="X24" s="19"/>
    </row>
    <row r="25" spans="1:24" ht="24" customHeight="1" x14ac:dyDescent="0.25">
      <c r="A25" s="10" t="str">
        <f>IF(B25="","","D"&amp;TEXT(20,"000"))</f>
        <v/>
      </c>
      <c r="B25" s="20"/>
      <c r="C25" s="20"/>
      <c r="D25" s="20"/>
      <c r="E25" s="20"/>
      <c r="F25" s="20"/>
      <c r="G25" s="13"/>
      <c r="H25" s="13"/>
      <c r="I25" s="16"/>
      <c r="J25" s="9" t="str">
        <f>IF(I25="","",IFERROR(INDEX('Reference Values'!$B$8:$B$12,I25),"?"))</f>
        <v/>
      </c>
      <c r="K25" s="16"/>
      <c r="L25" s="9" t="str">
        <f>IF(K25="","",IFERROR(INDEX('Reference Values'!$B$8:$B$12,K25),"?"))</f>
        <v/>
      </c>
      <c r="M25" s="16"/>
      <c r="N25" s="9" t="str">
        <f>IF(M25="","",IFERROR(INDEX('Reference Values'!$B$8:$B$12,M25),"?"))</f>
        <v/>
      </c>
      <c r="O25" s="21"/>
      <c r="P25" s="18" t="str">
        <f>IF(O25="","",IFERROR(INDEX('Reference Values'!$B$8:$B$12,O25),"?"))</f>
        <v/>
      </c>
      <c r="Q25" s="21"/>
      <c r="R25" s="18" t="str">
        <f>IF(Q25="","",IFERROR(INDEX('Reference Values'!$B$8:$B$12,Q25),"?"))</f>
        <v/>
      </c>
      <c r="S25" s="21"/>
      <c r="T25" s="18" t="str">
        <f>IF(S25="","",IFERROR(INDEX('Reference Values'!$B$8:$B$12,S25),"?"))</f>
        <v/>
      </c>
      <c r="U25" s="13"/>
      <c r="V25" s="13"/>
      <c r="W25" s="13"/>
      <c r="X25" s="22"/>
    </row>
    <row r="26" spans="1:24" ht="24" customHeight="1" x14ac:dyDescent="0.25">
      <c r="A26" s="6" t="str">
        <f>IF(B26="","","D"&amp;TEXT(21,"000"))</f>
        <v/>
      </c>
      <c r="B26" s="15"/>
      <c r="C26" s="15"/>
      <c r="D26" s="15"/>
      <c r="E26" s="15"/>
      <c r="F26" s="15"/>
      <c r="G26" s="13"/>
      <c r="H26" s="13"/>
      <c r="I26" s="16"/>
      <c r="J26" s="9" t="str">
        <f>IF(I26="","",IFERROR(INDEX('Reference Values'!$B$8:$B$12,I26),"?"))</f>
        <v/>
      </c>
      <c r="K26" s="16"/>
      <c r="L26" s="9" t="str">
        <f>IF(K26="","",IFERROR(INDEX('Reference Values'!$B$8:$B$12,K26),"?"))</f>
        <v/>
      </c>
      <c r="M26" s="16"/>
      <c r="N26" s="9" t="str">
        <f>IF(M26="","",IFERROR(INDEX('Reference Values'!$B$8:$B$12,M26),"?"))</f>
        <v/>
      </c>
      <c r="O26" s="17"/>
      <c r="P26" s="18" t="str">
        <f>IF(O26="","",IFERROR(INDEX('Reference Values'!$B$8:$B$12,O26),"?"))</f>
        <v/>
      </c>
      <c r="Q26" s="17"/>
      <c r="R26" s="18" t="str">
        <f>IF(Q26="","",IFERROR(INDEX('Reference Values'!$B$8:$B$12,Q26),"?"))</f>
        <v/>
      </c>
      <c r="S26" s="17"/>
      <c r="T26" s="18" t="str">
        <f>IF(S26="","",IFERROR(INDEX('Reference Values'!$B$8:$B$12,S26),"?"))</f>
        <v/>
      </c>
      <c r="U26" s="13"/>
      <c r="V26" s="13"/>
      <c r="W26" s="13"/>
      <c r="X26" s="19"/>
    </row>
    <row r="27" spans="1:24" ht="24" customHeight="1" x14ac:dyDescent="0.25">
      <c r="A27" s="10" t="str">
        <f>IF(B27="","","D"&amp;TEXT(22,"000"))</f>
        <v/>
      </c>
      <c r="B27" s="20"/>
      <c r="C27" s="20"/>
      <c r="D27" s="20"/>
      <c r="E27" s="20"/>
      <c r="F27" s="20"/>
      <c r="G27" s="13"/>
      <c r="H27" s="13"/>
      <c r="I27" s="16"/>
      <c r="J27" s="9" t="str">
        <f>IF(I27="","",IFERROR(INDEX('Reference Values'!$B$8:$B$12,I27),"?"))</f>
        <v/>
      </c>
      <c r="K27" s="16"/>
      <c r="L27" s="9" t="str">
        <f>IF(K27="","",IFERROR(INDEX('Reference Values'!$B$8:$B$12,K27),"?"))</f>
        <v/>
      </c>
      <c r="M27" s="16"/>
      <c r="N27" s="9" t="str">
        <f>IF(M27="","",IFERROR(INDEX('Reference Values'!$B$8:$B$12,M27),"?"))</f>
        <v/>
      </c>
      <c r="O27" s="21"/>
      <c r="P27" s="18" t="str">
        <f>IF(O27="","",IFERROR(INDEX('Reference Values'!$B$8:$B$12,O27),"?"))</f>
        <v/>
      </c>
      <c r="Q27" s="21"/>
      <c r="R27" s="18" t="str">
        <f>IF(Q27="","",IFERROR(INDEX('Reference Values'!$B$8:$B$12,Q27),"?"))</f>
        <v/>
      </c>
      <c r="S27" s="21"/>
      <c r="T27" s="18" t="str">
        <f>IF(S27="","",IFERROR(INDEX('Reference Values'!$B$8:$B$12,S27),"?"))</f>
        <v/>
      </c>
      <c r="U27" s="13"/>
      <c r="V27" s="13"/>
      <c r="W27" s="13"/>
      <c r="X27" s="22"/>
    </row>
    <row r="28" spans="1:24" ht="24" customHeight="1" x14ac:dyDescent="0.25">
      <c r="A28" s="6" t="str">
        <f>IF(B28="","","D"&amp;TEXT(23,"000"))</f>
        <v/>
      </c>
      <c r="B28" s="15"/>
      <c r="C28" s="15"/>
      <c r="D28" s="15"/>
      <c r="E28" s="15"/>
      <c r="F28" s="15"/>
      <c r="G28" s="13"/>
      <c r="H28" s="13"/>
      <c r="I28" s="16"/>
      <c r="J28" s="9" t="str">
        <f>IF(I28="","",IFERROR(INDEX('Reference Values'!$B$8:$B$12,I28),"?"))</f>
        <v/>
      </c>
      <c r="K28" s="16"/>
      <c r="L28" s="9" t="str">
        <f>IF(K28="","",IFERROR(INDEX('Reference Values'!$B$8:$B$12,K28),"?"))</f>
        <v/>
      </c>
      <c r="M28" s="16"/>
      <c r="N28" s="9" t="str">
        <f>IF(M28="","",IFERROR(INDEX('Reference Values'!$B$8:$B$12,M28),"?"))</f>
        <v/>
      </c>
      <c r="O28" s="17"/>
      <c r="P28" s="18" t="str">
        <f>IF(O28="","",IFERROR(INDEX('Reference Values'!$B$8:$B$12,O28),"?"))</f>
        <v/>
      </c>
      <c r="Q28" s="17"/>
      <c r="R28" s="18" t="str">
        <f>IF(Q28="","",IFERROR(INDEX('Reference Values'!$B$8:$B$12,Q28),"?"))</f>
        <v/>
      </c>
      <c r="S28" s="17"/>
      <c r="T28" s="18" t="str">
        <f>IF(S28="","",IFERROR(INDEX('Reference Values'!$B$8:$B$12,S28),"?"))</f>
        <v/>
      </c>
      <c r="U28" s="13"/>
      <c r="V28" s="13"/>
      <c r="W28" s="13"/>
      <c r="X28" s="19"/>
    </row>
    <row r="29" spans="1:24" ht="24" customHeight="1" x14ac:dyDescent="0.25">
      <c r="A29" s="10" t="str">
        <f>IF(B29="","","D"&amp;TEXT(24,"000"))</f>
        <v/>
      </c>
      <c r="B29" s="20"/>
      <c r="C29" s="20"/>
      <c r="D29" s="20"/>
      <c r="E29" s="20"/>
      <c r="F29" s="20"/>
      <c r="G29" s="13"/>
      <c r="H29" s="13"/>
      <c r="I29" s="16"/>
      <c r="J29" s="9" t="str">
        <f>IF(I29="","",IFERROR(INDEX('Reference Values'!$B$8:$B$12,I29),"?"))</f>
        <v/>
      </c>
      <c r="K29" s="16"/>
      <c r="L29" s="9" t="str">
        <f>IF(K29="","",IFERROR(INDEX('Reference Values'!$B$8:$B$12,K29),"?"))</f>
        <v/>
      </c>
      <c r="M29" s="16"/>
      <c r="N29" s="9" t="str">
        <f>IF(M29="","",IFERROR(INDEX('Reference Values'!$B$8:$B$12,M29),"?"))</f>
        <v/>
      </c>
      <c r="O29" s="21"/>
      <c r="P29" s="18" t="str">
        <f>IF(O29="","",IFERROR(INDEX('Reference Values'!$B$8:$B$12,O29),"?"))</f>
        <v/>
      </c>
      <c r="Q29" s="21"/>
      <c r="R29" s="18" t="str">
        <f>IF(Q29="","",IFERROR(INDEX('Reference Values'!$B$8:$B$12,Q29),"?"))</f>
        <v/>
      </c>
      <c r="S29" s="21"/>
      <c r="T29" s="18" t="str">
        <f>IF(S29="","",IFERROR(INDEX('Reference Values'!$B$8:$B$12,S29),"?"))</f>
        <v/>
      </c>
      <c r="U29" s="13"/>
      <c r="V29" s="13"/>
      <c r="W29" s="13"/>
      <c r="X29" s="22"/>
    </row>
    <row r="30" spans="1:24" ht="24" customHeight="1" x14ac:dyDescent="0.25">
      <c r="A30" s="6" t="str">
        <f>IF(B30="","","D"&amp;TEXT(25,"000"))</f>
        <v/>
      </c>
      <c r="B30" s="15"/>
      <c r="C30" s="15"/>
      <c r="D30" s="15"/>
      <c r="E30" s="15"/>
      <c r="F30" s="15"/>
      <c r="G30" s="13"/>
      <c r="H30" s="13"/>
      <c r="I30" s="16"/>
      <c r="J30" s="9" t="str">
        <f>IF(I30="","",IFERROR(INDEX('Reference Values'!$B$8:$B$12,I30),"?"))</f>
        <v/>
      </c>
      <c r="K30" s="16"/>
      <c r="L30" s="9" t="str">
        <f>IF(K30="","",IFERROR(INDEX('Reference Values'!$B$8:$B$12,K30),"?"))</f>
        <v/>
      </c>
      <c r="M30" s="16"/>
      <c r="N30" s="9" t="str">
        <f>IF(M30="","",IFERROR(INDEX('Reference Values'!$B$8:$B$12,M30),"?"))</f>
        <v/>
      </c>
      <c r="O30" s="17"/>
      <c r="P30" s="18" t="str">
        <f>IF(O30="","",IFERROR(INDEX('Reference Values'!$B$8:$B$12,O30),"?"))</f>
        <v/>
      </c>
      <c r="Q30" s="17"/>
      <c r="R30" s="18" t="str">
        <f>IF(Q30="","",IFERROR(INDEX('Reference Values'!$B$8:$B$12,Q30),"?"))</f>
        <v/>
      </c>
      <c r="S30" s="17"/>
      <c r="T30" s="18" t="str">
        <f>IF(S30="","",IFERROR(INDEX('Reference Values'!$B$8:$B$12,S30),"?"))</f>
        <v/>
      </c>
      <c r="U30" s="13"/>
      <c r="V30" s="13"/>
      <c r="W30" s="13"/>
      <c r="X30" s="19"/>
    </row>
    <row r="31" spans="1:24" ht="24" customHeight="1" x14ac:dyDescent="0.25">
      <c r="A31" s="10" t="str">
        <f>IF(B31="","","D"&amp;TEXT(26,"000"))</f>
        <v/>
      </c>
      <c r="B31" s="20"/>
      <c r="C31" s="20"/>
      <c r="D31" s="20"/>
      <c r="E31" s="20"/>
      <c r="F31" s="20"/>
      <c r="G31" s="13"/>
      <c r="H31" s="13"/>
      <c r="I31" s="16"/>
      <c r="J31" s="9" t="str">
        <f>IF(I31="","",IFERROR(INDEX('Reference Values'!$B$8:$B$12,I31),"?"))</f>
        <v/>
      </c>
      <c r="K31" s="16"/>
      <c r="L31" s="9" t="str">
        <f>IF(K31="","",IFERROR(INDEX('Reference Values'!$B$8:$B$12,K31),"?"))</f>
        <v/>
      </c>
      <c r="M31" s="16"/>
      <c r="N31" s="9" t="str">
        <f>IF(M31="","",IFERROR(INDEX('Reference Values'!$B$8:$B$12,M31),"?"))</f>
        <v/>
      </c>
      <c r="O31" s="21"/>
      <c r="P31" s="18" t="str">
        <f>IF(O31="","",IFERROR(INDEX('Reference Values'!$B$8:$B$12,O31),"?"))</f>
        <v/>
      </c>
      <c r="Q31" s="21"/>
      <c r="R31" s="18" t="str">
        <f>IF(Q31="","",IFERROR(INDEX('Reference Values'!$B$8:$B$12,Q31),"?"))</f>
        <v/>
      </c>
      <c r="S31" s="21"/>
      <c r="T31" s="18" t="str">
        <f>IF(S31="","",IFERROR(INDEX('Reference Values'!$B$8:$B$12,S31),"?"))</f>
        <v/>
      </c>
      <c r="U31" s="13"/>
      <c r="V31" s="13"/>
      <c r="W31" s="13"/>
      <c r="X31" s="22"/>
    </row>
    <row r="32" spans="1:24" ht="24" customHeight="1" x14ac:dyDescent="0.25">
      <c r="A32" s="6" t="str">
        <f>IF(B32="","","D"&amp;TEXT(27,"000"))</f>
        <v/>
      </c>
      <c r="B32" s="15"/>
      <c r="C32" s="15"/>
      <c r="D32" s="15"/>
      <c r="E32" s="15"/>
      <c r="F32" s="15"/>
      <c r="G32" s="13"/>
      <c r="H32" s="13"/>
      <c r="I32" s="16"/>
      <c r="J32" s="9" t="str">
        <f>IF(I32="","",IFERROR(INDEX('Reference Values'!$B$8:$B$12,I32),"?"))</f>
        <v/>
      </c>
      <c r="K32" s="16"/>
      <c r="L32" s="9" t="str">
        <f>IF(K32="","",IFERROR(INDEX('Reference Values'!$B$8:$B$12,K32),"?"))</f>
        <v/>
      </c>
      <c r="M32" s="16"/>
      <c r="N32" s="9" t="str">
        <f>IF(M32="","",IFERROR(INDEX('Reference Values'!$B$8:$B$12,M32),"?"))</f>
        <v/>
      </c>
      <c r="O32" s="17"/>
      <c r="P32" s="18" t="str">
        <f>IF(O32="","",IFERROR(INDEX('Reference Values'!$B$8:$B$12,O32),"?"))</f>
        <v/>
      </c>
      <c r="Q32" s="17"/>
      <c r="R32" s="18" t="str">
        <f>IF(Q32="","",IFERROR(INDEX('Reference Values'!$B$8:$B$12,Q32),"?"))</f>
        <v/>
      </c>
      <c r="S32" s="17"/>
      <c r="T32" s="18" t="str">
        <f>IF(S32="","",IFERROR(INDEX('Reference Values'!$B$8:$B$12,S32),"?"))</f>
        <v/>
      </c>
      <c r="U32" s="13"/>
      <c r="V32" s="13"/>
      <c r="W32" s="13"/>
      <c r="X32" s="19"/>
    </row>
    <row r="33" spans="1:24" ht="24" customHeight="1" x14ac:dyDescent="0.25">
      <c r="A33" s="10" t="str">
        <f>IF(B33="","","D"&amp;TEXT(28,"000"))</f>
        <v/>
      </c>
      <c r="B33" s="20"/>
      <c r="C33" s="20"/>
      <c r="D33" s="20"/>
      <c r="E33" s="20"/>
      <c r="F33" s="20"/>
      <c r="G33" s="13"/>
      <c r="H33" s="13"/>
      <c r="I33" s="16"/>
      <c r="J33" s="9" t="str">
        <f>IF(I33="","",IFERROR(INDEX('Reference Values'!$B$8:$B$12,I33),"?"))</f>
        <v/>
      </c>
      <c r="K33" s="16"/>
      <c r="L33" s="9" t="str">
        <f>IF(K33="","",IFERROR(INDEX('Reference Values'!$B$8:$B$12,K33),"?"))</f>
        <v/>
      </c>
      <c r="M33" s="16"/>
      <c r="N33" s="9" t="str">
        <f>IF(M33="","",IFERROR(INDEX('Reference Values'!$B$8:$B$12,M33),"?"))</f>
        <v/>
      </c>
      <c r="O33" s="21"/>
      <c r="P33" s="18" t="str">
        <f>IF(O33="","",IFERROR(INDEX('Reference Values'!$B$8:$B$12,O33),"?"))</f>
        <v/>
      </c>
      <c r="Q33" s="21"/>
      <c r="R33" s="18" t="str">
        <f>IF(Q33="","",IFERROR(INDEX('Reference Values'!$B$8:$B$12,Q33),"?"))</f>
        <v/>
      </c>
      <c r="S33" s="21"/>
      <c r="T33" s="18" t="str">
        <f>IF(S33="","",IFERROR(INDEX('Reference Values'!$B$8:$B$12,S33),"?"))</f>
        <v/>
      </c>
      <c r="U33" s="13"/>
      <c r="V33" s="13"/>
      <c r="W33" s="13"/>
      <c r="X33" s="22"/>
    </row>
    <row r="34" spans="1:24" ht="24" customHeight="1" x14ac:dyDescent="0.25">
      <c r="A34" s="6" t="str">
        <f>IF(B34="","","D"&amp;TEXT(29,"000"))</f>
        <v/>
      </c>
      <c r="B34" s="15"/>
      <c r="C34" s="15"/>
      <c r="D34" s="15"/>
      <c r="E34" s="15"/>
      <c r="F34" s="15"/>
      <c r="G34" s="13"/>
      <c r="H34" s="13"/>
      <c r="I34" s="16"/>
      <c r="J34" s="9" t="str">
        <f>IF(I34="","",IFERROR(INDEX('Reference Values'!$B$8:$B$12,I34),"?"))</f>
        <v/>
      </c>
      <c r="K34" s="16"/>
      <c r="L34" s="9" t="str">
        <f>IF(K34="","",IFERROR(INDEX('Reference Values'!$B$8:$B$12,K34),"?"))</f>
        <v/>
      </c>
      <c r="M34" s="16"/>
      <c r="N34" s="9" t="str">
        <f>IF(M34="","",IFERROR(INDEX('Reference Values'!$B$8:$B$12,M34),"?"))</f>
        <v/>
      </c>
      <c r="O34" s="17"/>
      <c r="P34" s="18" t="str">
        <f>IF(O34="","",IFERROR(INDEX('Reference Values'!$B$8:$B$12,O34),"?"))</f>
        <v/>
      </c>
      <c r="Q34" s="17"/>
      <c r="R34" s="18" t="str">
        <f>IF(Q34="","",IFERROR(INDEX('Reference Values'!$B$8:$B$12,Q34),"?"))</f>
        <v/>
      </c>
      <c r="S34" s="17"/>
      <c r="T34" s="18" t="str">
        <f>IF(S34="","",IFERROR(INDEX('Reference Values'!$B$8:$B$12,S34),"?"))</f>
        <v/>
      </c>
      <c r="U34" s="13"/>
      <c r="V34" s="13"/>
      <c r="W34" s="13"/>
      <c r="X34" s="19"/>
    </row>
    <row r="35" spans="1:24" ht="24" customHeight="1" x14ac:dyDescent="0.25">
      <c r="A35" s="10" t="str">
        <f>IF(B35="","","D"&amp;TEXT(30,"000"))</f>
        <v/>
      </c>
      <c r="B35" s="20"/>
      <c r="C35" s="20"/>
      <c r="D35" s="20"/>
      <c r="E35" s="20"/>
      <c r="F35" s="20"/>
      <c r="G35" s="13"/>
      <c r="H35" s="13"/>
      <c r="I35" s="16"/>
      <c r="J35" s="9" t="str">
        <f>IF(I35="","",IFERROR(INDEX('Reference Values'!$B$8:$B$12,I35),"?"))</f>
        <v/>
      </c>
      <c r="K35" s="16"/>
      <c r="L35" s="9" t="str">
        <f>IF(K35="","",IFERROR(INDEX('Reference Values'!$B$8:$B$12,K35),"?"))</f>
        <v/>
      </c>
      <c r="M35" s="16"/>
      <c r="N35" s="9" t="str">
        <f>IF(M35="","",IFERROR(INDEX('Reference Values'!$B$8:$B$12,M35),"?"))</f>
        <v/>
      </c>
      <c r="O35" s="21"/>
      <c r="P35" s="18" t="str">
        <f>IF(O35="","",IFERROR(INDEX('Reference Values'!$B$8:$B$12,O35),"?"))</f>
        <v/>
      </c>
      <c r="Q35" s="21"/>
      <c r="R35" s="18" t="str">
        <f>IF(Q35="","",IFERROR(INDEX('Reference Values'!$B$8:$B$12,Q35),"?"))</f>
        <v/>
      </c>
      <c r="S35" s="21"/>
      <c r="T35" s="18" t="str">
        <f>IF(S35="","",IFERROR(INDEX('Reference Values'!$B$8:$B$12,S35),"?"))</f>
        <v/>
      </c>
      <c r="U35" s="13"/>
      <c r="V35" s="13"/>
      <c r="W35" s="13"/>
      <c r="X35" s="22"/>
    </row>
    <row r="36" spans="1:24" ht="24" customHeight="1" x14ac:dyDescent="0.25">
      <c r="A36" s="6" t="str">
        <f>IF(B36="","","D"&amp;TEXT(31,"000"))</f>
        <v/>
      </c>
      <c r="B36" s="15"/>
      <c r="C36" s="15"/>
      <c r="D36" s="15"/>
      <c r="E36" s="15"/>
      <c r="F36" s="15"/>
      <c r="G36" s="13"/>
      <c r="H36" s="13"/>
      <c r="I36" s="16"/>
      <c r="J36" s="9" t="str">
        <f>IF(I36="","",IFERROR(INDEX('Reference Values'!$B$8:$B$12,I36),"?"))</f>
        <v/>
      </c>
      <c r="K36" s="16"/>
      <c r="L36" s="9" t="str">
        <f>IF(K36="","",IFERROR(INDEX('Reference Values'!$B$8:$B$12,K36),"?"))</f>
        <v/>
      </c>
      <c r="M36" s="16"/>
      <c r="N36" s="9" t="str">
        <f>IF(M36="","",IFERROR(INDEX('Reference Values'!$B$8:$B$12,M36),"?"))</f>
        <v/>
      </c>
      <c r="O36" s="17"/>
      <c r="P36" s="18" t="str">
        <f>IF(O36="","",IFERROR(INDEX('Reference Values'!$B$8:$B$12,O36),"?"))</f>
        <v/>
      </c>
      <c r="Q36" s="17"/>
      <c r="R36" s="18" t="str">
        <f>IF(Q36="","",IFERROR(INDEX('Reference Values'!$B$8:$B$12,Q36),"?"))</f>
        <v/>
      </c>
      <c r="S36" s="17"/>
      <c r="T36" s="18" t="str">
        <f>IF(S36="","",IFERROR(INDEX('Reference Values'!$B$8:$B$12,S36),"?"))</f>
        <v/>
      </c>
      <c r="U36" s="13"/>
      <c r="V36" s="13"/>
      <c r="W36" s="13"/>
      <c r="X36" s="19"/>
    </row>
    <row r="37" spans="1:24" ht="24" customHeight="1" x14ac:dyDescent="0.25">
      <c r="A37" s="10" t="str">
        <f>IF(B37="","","D"&amp;TEXT(32,"000"))</f>
        <v/>
      </c>
      <c r="B37" s="20"/>
      <c r="C37" s="20"/>
      <c r="D37" s="20"/>
      <c r="E37" s="20"/>
      <c r="F37" s="20"/>
      <c r="G37" s="13"/>
      <c r="H37" s="13"/>
      <c r="I37" s="16"/>
      <c r="J37" s="9" t="str">
        <f>IF(I37="","",IFERROR(INDEX('Reference Values'!$B$8:$B$12,I37),"?"))</f>
        <v/>
      </c>
      <c r="K37" s="16"/>
      <c r="L37" s="9" t="str">
        <f>IF(K37="","",IFERROR(INDEX('Reference Values'!$B$8:$B$12,K37),"?"))</f>
        <v/>
      </c>
      <c r="M37" s="16"/>
      <c r="N37" s="9" t="str">
        <f>IF(M37="","",IFERROR(INDEX('Reference Values'!$B$8:$B$12,M37),"?"))</f>
        <v/>
      </c>
      <c r="O37" s="21"/>
      <c r="P37" s="18" t="str">
        <f>IF(O37="","",IFERROR(INDEX('Reference Values'!$B$8:$B$12,O37),"?"))</f>
        <v/>
      </c>
      <c r="Q37" s="21"/>
      <c r="R37" s="18" t="str">
        <f>IF(Q37="","",IFERROR(INDEX('Reference Values'!$B$8:$B$12,Q37),"?"))</f>
        <v/>
      </c>
      <c r="S37" s="21"/>
      <c r="T37" s="18" t="str">
        <f>IF(S37="","",IFERROR(INDEX('Reference Values'!$B$8:$B$12,S37),"?"))</f>
        <v/>
      </c>
      <c r="U37" s="13"/>
      <c r="V37" s="13"/>
      <c r="W37" s="13"/>
      <c r="X37" s="22"/>
    </row>
    <row r="38" spans="1:24" ht="24" customHeight="1" x14ac:dyDescent="0.25">
      <c r="A38" s="6" t="str">
        <f>IF(B38="","","D"&amp;TEXT(33,"000"))</f>
        <v/>
      </c>
      <c r="B38" s="15"/>
      <c r="C38" s="15"/>
      <c r="D38" s="15"/>
      <c r="E38" s="15"/>
      <c r="F38" s="15"/>
      <c r="G38" s="13"/>
      <c r="H38" s="13"/>
      <c r="I38" s="16"/>
      <c r="J38" s="9" t="str">
        <f>IF(I38="","",IFERROR(INDEX('Reference Values'!$B$8:$B$12,I38),"?"))</f>
        <v/>
      </c>
      <c r="K38" s="16"/>
      <c r="L38" s="9" t="str">
        <f>IF(K38="","",IFERROR(INDEX('Reference Values'!$B$8:$B$12,K38),"?"))</f>
        <v/>
      </c>
      <c r="M38" s="16"/>
      <c r="N38" s="9" t="str">
        <f>IF(M38="","",IFERROR(INDEX('Reference Values'!$B$8:$B$12,M38),"?"))</f>
        <v/>
      </c>
      <c r="O38" s="17"/>
      <c r="P38" s="18" t="str">
        <f>IF(O38="","",IFERROR(INDEX('Reference Values'!$B$8:$B$12,O38),"?"))</f>
        <v/>
      </c>
      <c r="Q38" s="17"/>
      <c r="R38" s="18" t="str">
        <f>IF(Q38="","",IFERROR(INDEX('Reference Values'!$B$8:$B$12,Q38),"?"))</f>
        <v/>
      </c>
      <c r="S38" s="17"/>
      <c r="T38" s="18" t="str">
        <f>IF(S38="","",IFERROR(INDEX('Reference Values'!$B$8:$B$12,S38),"?"))</f>
        <v/>
      </c>
      <c r="U38" s="13"/>
      <c r="V38" s="13"/>
      <c r="W38" s="13"/>
      <c r="X38" s="19"/>
    </row>
    <row r="39" spans="1:24" ht="24" customHeight="1" x14ac:dyDescent="0.25">
      <c r="A39" s="10" t="str">
        <f>IF(B39="","","D"&amp;TEXT(34,"000"))</f>
        <v/>
      </c>
      <c r="B39" s="20"/>
      <c r="C39" s="20"/>
      <c r="D39" s="20"/>
      <c r="E39" s="20"/>
      <c r="F39" s="20"/>
      <c r="G39" s="13"/>
      <c r="H39" s="13"/>
      <c r="I39" s="16"/>
      <c r="J39" s="9" t="str">
        <f>IF(I39="","",IFERROR(INDEX('Reference Values'!$B$8:$B$12,I39),"?"))</f>
        <v/>
      </c>
      <c r="K39" s="16"/>
      <c r="L39" s="9" t="str">
        <f>IF(K39="","",IFERROR(INDEX('Reference Values'!$B$8:$B$12,K39),"?"))</f>
        <v/>
      </c>
      <c r="M39" s="16"/>
      <c r="N39" s="9" t="str">
        <f>IF(M39="","",IFERROR(INDEX('Reference Values'!$B$8:$B$12,M39),"?"))</f>
        <v/>
      </c>
      <c r="O39" s="21"/>
      <c r="P39" s="18" t="str">
        <f>IF(O39="","",IFERROR(INDEX('Reference Values'!$B$8:$B$12,O39),"?"))</f>
        <v/>
      </c>
      <c r="Q39" s="21"/>
      <c r="R39" s="18" t="str">
        <f>IF(Q39="","",IFERROR(INDEX('Reference Values'!$B$8:$B$12,Q39),"?"))</f>
        <v/>
      </c>
      <c r="S39" s="21"/>
      <c r="T39" s="18" t="str">
        <f>IF(S39="","",IFERROR(INDEX('Reference Values'!$B$8:$B$12,S39),"?"))</f>
        <v/>
      </c>
      <c r="U39" s="13"/>
      <c r="V39" s="13"/>
      <c r="W39" s="13"/>
      <c r="X39" s="22"/>
    </row>
    <row r="40" spans="1:24" ht="24" customHeight="1" x14ac:dyDescent="0.25">
      <c r="A40" s="6" t="str">
        <f>IF(B40="","","D"&amp;TEXT(35,"000"))</f>
        <v/>
      </c>
      <c r="B40" s="15"/>
      <c r="C40" s="15"/>
      <c r="D40" s="15"/>
      <c r="E40" s="15"/>
      <c r="F40" s="15"/>
      <c r="G40" s="13"/>
      <c r="H40" s="13"/>
      <c r="I40" s="16"/>
      <c r="J40" s="9" t="str">
        <f>IF(I40="","",IFERROR(INDEX('Reference Values'!$B$8:$B$12,I40),"?"))</f>
        <v/>
      </c>
      <c r="K40" s="16"/>
      <c r="L40" s="9" t="str">
        <f>IF(K40="","",IFERROR(INDEX('Reference Values'!$B$8:$B$12,K40),"?"))</f>
        <v/>
      </c>
      <c r="M40" s="16"/>
      <c r="N40" s="9" t="str">
        <f>IF(M40="","",IFERROR(INDEX('Reference Values'!$B$8:$B$12,M40),"?"))</f>
        <v/>
      </c>
      <c r="O40" s="17"/>
      <c r="P40" s="18" t="str">
        <f>IF(O40="","",IFERROR(INDEX('Reference Values'!$B$8:$B$12,O40),"?"))</f>
        <v/>
      </c>
      <c r="Q40" s="17"/>
      <c r="R40" s="18" t="str">
        <f>IF(Q40="","",IFERROR(INDEX('Reference Values'!$B$8:$B$12,Q40),"?"))</f>
        <v/>
      </c>
      <c r="S40" s="17"/>
      <c r="T40" s="18" t="str">
        <f>IF(S40="","",IFERROR(INDEX('Reference Values'!$B$8:$B$12,S40),"?"))</f>
        <v/>
      </c>
      <c r="U40" s="13"/>
      <c r="V40" s="13"/>
      <c r="W40" s="13"/>
      <c r="X40" s="19"/>
    </row>
    <row r="41" spans="1:24" ht="24" customHeight="1" x14ac:dyDescent="0.25">
      <c r="A41" s="10" t="str">
        <f>IF(B41="","","D"&amp;TEXT(36,"000"))</f>
        <v/>
      </c>
      <c r="B41" s="20"/>
      <c r="C41" s="20"/>
      <c r="D41" s="20"/>
      <c r="E41" s="20"/>
      <c r="F41" s="20"/>
      <c r="G41" s="13"/>
      <c r="H41" s="13"/>
      <c r="I41" s="16"/>
      <c r="J41" s="9" t="str">
        <f>IF(I41="","",IFERROR(INDEX('Reference Values'!$B$8:$B$12,I41),"?"))</f>
        <v/>
      </c>
      <c r="K41" s="16"/>
      <c r="L41" s="9" t="str">
        <f>IF(K41="","",IFERROR(INDEX('Reference Values'!$B$8:$B$12,K41),"?"))</f>
        <v/>
      </c>
      <c r="M41" s="16"/>
      <c r="N41" s="9" t="str">
        <f>IF(M41="","",IFERROR(INDEX('Reference Values'!$B$8:$B$12,M41),"?"))</f>
        <v/>
      </c>
      <c r="O41" s="21"/>
      <c r="P41" s="18" t="str">
        <f>IF(O41="","",IFERROR(INDEX('Reference Values'!$B$8:$B$12,O41),"?"))</f>
        <v/>
      </c>
      <c r="Q41" s="21"/>
      <c r="R41" s="18" t="str">
        <f>IF(Q41="","",IFERROR(INDEX('Reference Values'!$B$8:$B$12,Q41),"?"))</f>
        <v/>
      </c>
      <c r="S41" s="21"/>
      <c r="T41" s="18" t="str">
        <f>IF(S41="","",IFERROR(INDEX('Reference Values'!$B$8:$B$12,S41),"?"))</f>
        <v/>
      </c>
      <c r="U41" s="13"/>
      <c r="V41" s="13"/>
      <c r="W41" s="13"/>
      <c r="X41" s="22"/>
    </row>
    <row r="42" spans="1:24" ht="24" customHeight="1" x14ac:dyDescent="0.25">
      <c r="A42" s="6" t="str">
        <f>IF(B42="","","D"&amp;TEXT(37,"000"))</f>
        <v/>
      </c>
      <c r="B42" s="15"/>
      <c r="C42" s="15"/>
      <c r="D42" s="15"/>
      <c r="E42" s="15"/>
      <c r="F42" s="15"/>
      <c r="G42" s="13"/>
      <c r="H42" s="13"/>
      <c r="I42" s="16"/>
      <c r="J42" s="9" t="str">
        <f>IF(I42="","",IFERROR(INDEX('Reference Values'!$B$8:$B$12,I42),"?"))</f>
        <v/>
      </c>
      <c r="K42" s="16"/>
      <c r="L42" s="9" t="str">
        <f>IF(K42="","",IFERROR(INDEX('Reference Values'!$B$8:$B$12,K42),"?"))</f>
        <v/>
      </c>
      <c r="M42" s="16"/>
      <c r="N42" s="9" t="str">
        <f>IF(M42="","",IFERROR(INDEX('Reference Values'!$B$8:$B$12,M42),"?"))</f>
        <v/>
      </c>
      <c r="O42" s="17"/>
      <c r="P42" s="18" t="str">
        <f>IF(O42="","",IFERROR(INDEX('Reference Values'!$B$8:$B$12,O42),"?"))</f>
        <v/>
      </c>
      <c r="Q42" s="17"/>
      <c r="R42" s="18" t="str">
        <f>IF(Q42="","",IFERROR(INDEX('Reference Values'!$B$8:$B$12,Q42),"?"))</f>
        <v/>
      </c>
      <c r="S42" s="17"/>
      <c r="T42" s="18" t="str">
        <f>IF(S42="","",IFERROR(INDEX('Reference Values'!$B$8:$B$12,S42),"?"))</f>
        <v/>
      </c>
      <c r="U42" s="13"/>
      <c r="V42" s="13"/>
      <c r="W42" s="13"/>
      <c r="X42" s="19"/>
    </row>
    <row r="43" spans="1:24" ht="24" customHeight="1" x14ac:dyDescent="0.25">
      <c r="A43" s="10" t="str">
        <f>IF(B43="","","D"&amp;TEXT(38,"000"))</f>
        <v/>
      </c>
      <c r="B43" s="20"/>
      <c r="C43" s="20"/>
      <c r="D43" s="20"/>
      <c r="E43" s="20"/>
      <c r="F43" s="20"/>
      <c r="G43" s="13"/>
      <c r="H43" s="13"/>
      <c r="I43" s="16"/>
      <c r="J43" s="9" t="str">
        <f>IF(I43="","",IFERROR(INDEX('Reference Values'!$B$8:$B$12,I43),"?"))</f>
        <v/>
      </c>
      <c r="K43" s="16"/>
      <c r="L43" s="9" t="str">
        <f>IF(K43="","",IFERROR(INDEX('Reference Values'!$B$8:$B$12,K43),"?"))</f>
        <v/>
      </c>
      <c r="M43" s="16"/>
      <c r="N43" s="9" t="str">
        <f>IF(M43="","",IFERROR(INDEX('Reference Values'!$B$8:$B$12,M43),"?"))</f>
        <v/>
      </c>
      <c r="O43" s="21"/>
      <c r="P43" s="18" t="str">
        <f>IF(O43="","",IFERROR(INDEX('Reference Values'!$B$8:$B$12,O43),"?"))</f>
        <v/>
      </c>
      <c r="Q43" s="21"/>
      <c r="R43" s="18" t="str">
        <f>IF(Q43="","",IFERROR(INDEX('Reference Values'!$B$8:$B$12,Q43),"?"))</f>
        <v/>
      </c>
      <c r="S43" s="21"/>
      <c r="T43" s="18" t="str">
        <f>IF(S43="","",IFERROR(INDEX('Reference Values'!$B$8:$B$12,S43),"?"))</f>
        <v/>
      </c>
      <c r="U43" s="13"/>
      <c r="V43" s="13"/>
      <c r="W43" s="13"/>
      <c r="X43" s="22"/>
    </row>
    <row r="44" spans="1:24" ht="24" customHeight="1" x14ac:dyDescent="0.25">
      <c r="A44" s="6" t="str">
        <f>IF(B44="","","D"&amp;TEXT(39,"000"))</f>
        <v/>
      </c>
      <c r="B44" s="15"/>
      <c r="C44" s="15"/>
      <c r="D44" s="15"/>
      <c r="E44" s="15"/>
      <c r="F44" s="15"/>
      <c r="G44" s="13"/>
      <c r="H44" s="13"/>
      <c r="I44" s="16"/>
      <c r="J44" s="9" t="str">
        <f>IF(I44="","",IFERROR(INDEX('Reference Values'!$B$8:$B$12,I44),"?"))</f>
        <v/>
      </c>
      <c r="K44" s="16"/>
      <c r="L44" s="9" t="str">
        <f>IF(K44="","",IFERROR(INDEX('Reference Values'!$B$8:$B$12,K44),"?"))</f>
        <v/>
      </c>
      <c r="M44" s="16"/>
      <c r="N44" s="9" t="str">
        <f>IF(M44="","",IFERROR(INDEX('Reference Values'!$B$8:$B$12,M44),"?"))</f>
        <v/>
      </c>
      <c r="O44" s="17"/>
      <c r="P44" s="18" t="str">
        <f>IF(O44="","",IFERROR(INDEX('Reference Values'!$B$8:$B$12,O44),"?"))</f>
        <v/>
      </c>
      <c r="Q44" s="17"/>
      <c r="R44" s="18" t="str">
        <f>IF(Q44="","",IFERROR(INDEX('Reference Values'!$B$8:$B$12,Q44),"?"))</f>
        <v/>
      </c>
      <c r="S44" s="17"/>
      <c r="T44" s="18" t="str">
        <f>IF(S44="","",IFERROR(INDEX('Reference Values'!$B$8:$B$12,S44),"?"))</f>
        <v/>
      </c>
      <c r="U44" s="13"/>
      <c r="V44" s="13"/>
      <c r="W44" s="13"/>
      <c r="X44" s="19"/>
    </row>
    <row r="45" spans="1:24" ht="24" customHeight="1" x14ac:dyDescent="0.25">
      <c r="A45" s="10" t="str">
        <f>IF(B45="","","D"&amp;TEXT(40,"000"))</f>
        <v/>
      </c>
      <c r="B45" s="20"/>
      <c r="C45" s="20"/>
      <c r="D45" s="20"/>
      <c r="E45" s="20"/>
      <c r="F45" s="20"/>
      <c r="G45" s="13"/>
      <c r="H45" s="13"/>
      <c r="I45" s="16"/>
      <c r="J45" s="9" t="str">
        <f>IF(I45="","",IFERROR(INDEX('Reference Values'!$B$8:$B$12,I45),"?"))</f>
        <v/>
      </c>
      <c r="K45" s="16"/>
      <c r="L45" s="9" t="str">
        <f>IF(K45="","",IFERROR(INDEX('Reference Values'!$B$8:$B$12,K45),"?"))</f>
        <v/>
      </c>
      <c r="M45" s="16"/>
      <c r="N45" s="9" t="str">
        <f>IF(M45="","",IFERROR(INDEX('Reference Values'!$B$8:$B$12,M45),"?"))</f>
        <v/>
      </c>
      <c r="O45" s="21"/>
      <c r="P45" s="18" t="str">
        <f>IF(O45="","",IFERROR(INDEX('Reference Values'!$B$8:$B$12,O45),"?"))</f>
        <v/>
      </c>
      <c r="Q45" s="21"/>
      <c r="R45" s="18" t="str">
        <f>IF(Q45="","",IFERROR(INDEX('Reference Values'!$B$8:$B$12,Q45),"?"))</f>
        <v/>
      </c>
      <c r="S45" s="21"/>
      <c r="T45" s="18" t="str">
        <f>IF(S45="","",IFERROR(INDEX('Reference Values'!$B$8:$B$12,S45),"?"))</f>
        <v/>
      </c>
      <c r="U45" s="13"/>
      <c r="V45" s="13"/>
      <c r="W45" s="13"/>
      <c r="X45" s="22"/>
    </row>
    <row r="46" spans="1:24" ht="24" customHeight="1" x14ac:dyDescent="0.25">
      <c r="A46" s="6" t="str">
        <f>IF(B46="","","D"&amp;TEXT(41,"000"))</f>
        <v/>
      </c>
      <c r="B46" s="15"/>
      <c r="C46" s="15"/>
      <c r="D46" s="15"/>
      <c r="E46" s="15"/>
      <c r="F46" s="15"/>
      <c r="G46" s="13"/>
      <c r="H46" s="13"/>
      <c r="I46" s="16"/>
      <c r="J46" s="9" t="str">
        <f>IF(I46="","",IFERROR(INDEX('Reference Values'!$B$8:$B$12,I46),"?"))</f>
        <v/>
      </c>
      <c r="K46" s="16"/>
      <c r="L46" s="9" t="str">
        <f>IF(K46="","",IFERROR(INDEX('Reference Values'!$B$8:$B$12,K46),"?"))</f>
        <v/>
      </c>
      <c r="M46" s="16"/>
      <c r="N46" s="9" t="str">
        <f>IF(M46="","",IFERROR(INDEX('Reference Values'!$B$8:$B$12,M46),"?"))</f>
        <v/>
      </c>
      <c r="O46" s="17"/>
      <c r="P46" s="18" t="str">
        <f>IF(O46="","",IFERROR(INDEX('Reference Values'!$B$8:$B$12,O46),"?"))</f>
        <v/>
      </c>
      <c r="Q46" s="17"/>
      <c r="R46" s="18" t="str">
        <f>IF(Q46="","",IFERROR(INDEX('Reference Values'!$B$8:$B$12,Q46),"?"))</f>
        <v/>
      </c>
      <c r="S46" s="17"/>
      <c r="T46" s="18" t="str">
        <f>IF(S46="","",IFERROR(INDEX('Reference Values'!$B$8:$B$12,S46),"?"))</f>
        <v/>
      </c>
      <c r="U46" s="13"/>
      <c r="V46" s="13"/>
      <c r="W46" s="13"/>
      <c r="X46" s="19"/>
    </row>
    <row r="47" spans="1:24" ht="24" customHeight="1" x14ac:dyDescent="0.25">
      <c r="A47" s="10" t="str">
        <f>IF(B47="","","D"&amp;TEXT(42,"000"))</f>
        <v/>
      </c>
      <c r="B47" s="20"/>
      <c r="C47" s="20"/>
      <c r="D47" s="20"/>
      <c r="E47" s="20"/>
      <c r="F47" s="20"/>
      <c r="G47" s="13"/>
      <c r="H47" s="13"/>
      <c r="I47" s="16"/>
      <c r="J47" s="9" t="str">
        <f>IF(I47="","",IFERROR(INDEX('Reference Values'!$B$8:$B$12,I47),"?"))</f>
        <v/>
      </c>
      <c r="K47" s="16"/>
      <c r="L47" s="9" t="str">
        <f>IF(K47="","",IFERROR(INDEX('Reference Values'!$B$8:$B$12,K47),"?"))</f>
        <v/>
      </c>
      <c r="M47" s="16"/>
      <c r="N47" s="9" t="str">
        <f>IF(M47="","",IFERROR(INDEX('Reference Values'!$B$8:$B$12,M47),"?"))</f>
        <v/>
      </c>
      <c r="O47" s="21"/>
      <c r="P47" s="18" t="str">
        <f>IF(O47="","",IFERROR(INDEX('Reference Values'!$B$8:$B$12,O47),"?"))</f>
        <v/>
      </c>
      <c r="Q47" s="21"/>
      <c r="R47" s="18" t="str">
        <f>IF(Q47="","",IFERROR(INDEX('Reference Values'!$B$8:$B$12,Q47),"?"))</f>
        <v/>
      </c>
      <c r="S47" s="21"/>
      <c r="T47" s="18" t="str">
        <f>IF(S47="","",IFERROR(INDEX('Reference Values'!$B$8:$B$12,S47),"?"))</f>
        <v/>
      </c>
      <c r="U47" s="13"/>
      <c r="V47" s="13"/>
      <c r="W47" s="13"/>
      <c r="X47" s="22"/>
    </row>
    <row r="48" spans="1:24" ht="24" customHeight="1" x14ac:dyDescent="0.25">
      <c r="A48" s="6" t="str">
        <f>IF(B48="","","D"&amp;TEXT(43,"000"))</f>
        <v/>
      </c>
      <c r="B48" s="15"/>
      <c r="C48" s="15"/>
      <c r="D48" s="15"/>
      <c r="E48" s="15"/>
      <c r="F48" s="15"/>
      <c r="G48" s="13"/>
      <c r="H48" s="13"/>
      <c r="I48" s="16"/>
      <c r="J48" s="9" t="str">
        <f>IF(I48="","",IFERROR(INDEX('Reference Values'!$B$8:$B$12,I48),"?"))</f>
        <v/>
      </c>
      <c r="K48" s="16"/>
      <c r="L48" s="9" t="str">
        <f>IF(K48="","",IFERROR(INDEX('Reference Values'!$B$8:$B$12,K48),"?"))</f>
        <v/>
      </c>
      <c r="M48" s="16"/>
      <c r="N48" s="9" t="str">
        <f>IF(M48="","",IFERROR(INDEX('Reference Values'!$B$8:$B$12,M48),"?"))</f>
        <v/>
      </c>
      <c r="O48" s="17"/>
      <c r="P48" s="18" t="str">
        <f>IF(O48="","",IFERROR(INDEX('Reference Values'!$B$8:$B$12,O48),"?"))</f>
        <v/>
      </c>
      <c r="Q48" s="17"/>
      <c r="R48" s="18" t="str">
        <f>IF(Q48="","",IFERROR(INDEX('Reference Values'!$B$8:$B$12,Q48),"?"))</f>
        <v/>
      </c>
      <c r="S48" s="17"/>
      <c r="T48" s="18" t="str">
        <f>IF(S48="","",IFERROR(INDEX('Reference Values'!$B$8:$B$12,S48),"?"))</f>
        <v/>
      </c>
      <c r="U48" s="13"/>
      <c r="V48" s="13"/>
      <c r="W48" s="13"/>
      <c r="X48" s="19"/>
    </row>
    <row r="49" spans="1:24" ht="24" customHeight="1" x14ac:dyDescent="0.25">
      <c r="A49" s="10" t="str">
        <f>IF(B49="","","D"&amp;TEXT(44,"000"))</f>
        <v/>
      </c>
      <c r="B49" s="20"/>
      <c r="C49" s="20"/>
      <c r="D49" s="20"/>
      <c r="E49" s="20"/>
      <c r="F49" s="20"/>
      <c r="G49" s="13"/>
      <c r="H49" s="13"/>
      <c r="I49" s="16"/>
      <c r="J49" s="9" t="str">
        <f>IF(I49="","",IFERROR(INDEX('Reference Values'!$B$8:$B$12,I49),"?"))</f>
        <v/>
      </c>
      <c r="K49" s="16"/>
      <c r="L49" s="9" t="str">
        <f>IF(K49="","",IFERROR(INDEX('Reference Values'!$B$8:$B$12,K49),"?"))</f>
        <v/>
      </c>
      <c r="M49" s="16"/>
      <c r="N49" s="9" t="str">
        <f>IF(M49="","",IFERROR(INDEX('Reference Values'!$B$8:$B$12,M49),"?"))</f>
        <v/>
      </c>
      <c r="O49" s="21"/>
      <c r="P49" s="18" t="str">
        <f>IF(O49="","",IFERROR(INDEX('Reference Values'!$B$8:$B$12,O49),"?"))</f>
        <v/>
      </c>
      <c r="Q49" s="21"/>
      <c r="R49" s="18" t="str">
        <f>IF(Q49="","",IFERROR(INDEX('Reference Values'!$B$8:$B$12,Q49),"?"))</f>
        <v/>
      </c>
      <c r="S49" s="21"/>
      <c r="T49" s="18" t="str">
        <f>IF(S49="","",IFERROR(INDEX('Reference Values'!$B$8:$B$12,S49),"?"))</f>
        <v/>
      </c>
      <c r="U49" s="13"/>
      <c r="V49" s="13"/>
      <c r="W49" s="13"/>
      <c r="X49" s="22"/>
    </row>
    <row r="50" spans="1:24" ht="24" customHeight="1" x14ac:dyDescent="0.25">
      <c r="A50" s="6" t="str">
        <f>IF(B50="","","D"&amp;TEXT(45,"000"))</f>
        <v/>
      </c>
      <c r="B50" s="15"/>
      <c r="C50" s="15"/>
      <c r="D50" s="15"/>
      <c r="E50" s="15"/>
      <c r="F50" s="15"/>
      <c r="G50" s="13"/>
      <c r="H50" s="13"/>
      <c r="I50" s="16"/>
      <c r="J50" s="9" t="str">
        <f>IF(I50="","",IFERROR(INDEX('Reference Values'!$B$8:$B$12,I50),"?"))</f>
        <v/>
      </c>
      <c r="K50" s="16"/>
      <c r="L50" s="9" t="str">
        <f>IF(K50="","",IFERROR(INDEX('Reference Values'!$B$8:$B$12,K50),"?"))</f>
        <v/>
      </c>
      <c r="M50" s="16"/>
      <c r="N50" s="9" t="str">
        <f>IF(M50="","",IFERROR(INDEX('Reference Values'!$B$8:$B$12,M50),"?"))</f>
        <v/>
      </c>
      <c r="O50" s="17"/>
      <c r="P50" s="18" t="str">
        <f>IF(O50="","",IFERROR(INDEX('Reference Values'!$B$8:$B$12,O50),"?"))</f>
        <v/>
      </c>
      <c r="Q50" s="17"/>
      <c r="R50" s="18" t="str">
        <f>IF(Q50="","",IFERROR(INDEX('Reference Values'!$B$8:$B$12,Q50),"?"))</f>
        <v/>
      </c>
      <c r="S50" s="17"/>
      <c r="T50" s="18" t="str">
        <f>IF(S50="","",IFERROR(INDEX('Reference Values'!$B$8:$B$12,S50),"?"))</f>
        <v/>
      </c>
      <c r="U50" s="13"/>
      <c r="V50" s="13"/>
      <c r="W50" s="13"/>
      <c r="X50" s="19"/>
    </row>
    <row r="51" spans="1:24" ht="24" customHeight="1" x14ac:dyDescent="0.25">
      <c r="A51" s="10" t="str">
        <f>IF(B51="","","D"&amp;TEXT(46,"000"))</f>
        <v/>
      </c>
      <c r="B51" s="20"/>
      <c r="C51" s="20"/>
      <c r="D51" s="20"/>
      <c r="E51" s="20"/>
      <c r="F51" s="20"/>
      <c r="G51" s="13"/>
      <c r="H51" s="13"/>
      <c r="I51" s="16"/>
      <c r="J51" s="9" t="str">
        <f>IF(I51="","",IFERROR(INDEX('Reference Values'!$B$8:$B$12,I51),"?"))</f>
        <v/>
      </c>
      <c r="K51" s="16"/>
      <c r="L51" s="9" t="str">
        <f>IF(K51="","",IFERROR(INDEX('Reference Values'!$B$8:$B$12,K51),"?"))</f>
        <v/>
      </c>
      <c r="M51" s="16"/>
      <c r="N51" s="9" t="str">
        <f>IF(M51="","",IFERROR(INDEX('Reference Values'!$B$8:$B$12,M51),"?"))</f>
        <v/>
      </c>
      <c r="O51" s="21"/>
      <c r="P51" s="18" t="str">
        <f>IF(O51="","",IFERROR(INDEX('Reference Values'!$B$8:$B$12,O51),"?"))</f>
        <v/>
      </c>
      <c r="Q51" s="21"/>
      <c r="R51" s="18" t="str">
        <f>IF(Q51="","",IFERROR(INDEX('Reference Values'!$B$8:$B$12,Q51),"?"))</f>
        <v/>
      </c>
      <c r="S51" s="21"/>
      <c r="T51" s="18" t="str">
        <f>IF(S51="","",IFERROR(INDEX('Reference Values'!$B$8:$B$12,S51),"?"))</f>
        <v/>
      </c>
      <c r="U51" s="13"/>
      <c r="V51" s="13"/>
      <c r="W51" s="13"/>
      <c r="X51" s="22"/>
    </row>
    <row r="52" spans="1:24" ht="24" customHeight="1" x14ac:dyDescent="0.25">
      <c r="A52" s="6" t="str">
        <f>IF(B52="","","D"&amp;TEXT(47,"000"))</f>
        <v/>
      </c>
      <c r="B52" s="15"/>
      <c r="C52" s="15"/>
      <c r="D52" s="15"/>
      <c r="E52" s="15"/>
      <c r="F52" s="15"/>
      <c r="G52" s="13"/>
      <c r="H52" s="13"/>
      <c r="I52" s="16"/>
      <c r="J52" s="9" t="str">
        <f>IF(I52="","",IFERROR(INDEX('Reference Values'!$B$8:$B$12,I52),"?"))</f>
        <v/>
      </c>
      <c r="K52" s="16"/>
      <c r="L52" s="9" t="str">
        <f>IF(K52="","",IFERROR(INDEX('Reference Values'!$B$8:$B$12,K52),"?"))</f>
        <v/>
      </c>
      <c r="M52" s="16"/>
      <c r="N52" s="9" t="str">
        <f>IF(M52="","",IFERROR(INDEX('Reference Values'!$B$8:$B$12,M52),"?"))</f>
        <v/>
      </c>
      <c r="O52" s="17"/>
      <c r="P52" s="18" t="str">
        <f>IF(O52="","",IFERROR(INDEX('Reference Values'!$B$8:$B$12,O52),"?"))</f>
        <v/>
      </c>
      <c r="Q52" s="17"/>
      <c r="R52" s="18" t="str">
        <f>IF(Q52="","",IFERROR(INDEX('Reference Values'!$B$8:$B$12,Q52),"?"))</f>
        <v/>
      </c>
      <c r="S52" s="17"/>
      <c r="T52" s="18" t="str">
        <f>IF(S52="","",IFERROR(INDEX('Reference Values'!$B$8:$B$12,S52),"?"))</f>
        <v/>
      </c>
      <c r="U52" s="13"/>
      <c r="V52" s="13"/>
      <c r="W52" s="13"/>
      <c r="X52" s="19"/>
    </row>
    <row r="53" spans="1:24" ht="24" customHeight="1" x14ac:dyDescent="0.25">
      <c r="A53" s="10" t="str">
        <f>IF(B53="","","D"&amp;TEXT(48,"000"))</f>
        <v/>
      </c>
      <c r="B53" s="20"/>
      <c r="C53" s="20"/>
      <c r="D53" s="20"/>
      <c r="E53" s="20"/>
      <c r="F53" s="20"/>
      <c r="G53" s="13"/>
      <c r="H53" s="13"/>
      <c r="I53" s="16"/>
      <c r="J53" s="9" t="str">
        <f>IF(I53="","",IFERROR(INDEX('Reference Values'!$B$8:$B$12,I53),"?"))</f>
        <v/>
      </c>
      <c r="K53" s="16"/>
      <c r="L53" s="9" t="str">
        <f>IF(K53="","",IFERROR(INDEX('Reference Values'!$B$8:$B$12,K53),"?"))</f>
        <v/>
      </c>
      <c r="M53" s="16"/>
      <c r="N53" s="9" t="str">
        <f>IF(M53="","",IFERROR(INDEX('Reference Values'!$B$8:$B$12,M53),"?"))</f>
        <v/>
      </c>
      <c r="O53" s="21"/>
      <c r="P53" s="18" t="str">
        <f>IF(O53="","",IFERROR(INDEX('Reference Values'!$B$8:$B$12,O53),"?"))</f>
        <v/>
      </c>
      <c r="Q53" s="21"/>
      <c r="R53" s="18" t="str">
        <f>IF(Q53="","",IFERROR(INDEX('Reference Values'!$B$8:$B$12,Q53),"?"))</f>
        <v/>
      </c>
      <c r="S53" s="21"/>
      <c r="T53" s="18" t="str">
        <f>IF(S53="","",IFERROR(INDEX('Reference Values'!$B$8:$B$12,S53),"?"))</f>
        <v/>
      </c>
      <c r="U53" s="13"/>
      <c r="V53" s="13"/>
      <c r="W53" s="13"/>
      <c r="X53" s="22"/>
    </row>
    <row r="54" spans="1:24" ht="24" customHeight="1" x14ac:dyDescent="0.25">
      <c r="A54" s="6" t="str">
        <f>IF(B54="","","D"&amp;TEXT(49,"000"))</f>
        <v/>
      </c>
      <c r="B54" s="15"/>
      <c r="C54" s="15"/>
      <c r="D54" s="15"/>
      <c r="E54" s="15"/>
      <c r="F54" s="15"/>
      <c r="G54" s="13"/>
      <c r="H54" s="13"/>
      <c r="I54" s="16"/>
      <c r="J54" s="9" t="str">
        <f>IF(I54="","",IFERROR(INDEX('Reference Values'!$B$8:$B$12,I54),"?"))</f>
        <v/>
      </c>
      <c r="K54" s="16"/>
      <c r="L54" s="9" t="str">
        <f>IF(K54="","",IFERROR(INDEX('Reference Values'!$B$8:$B$12,K54),"?"))</f>
        <v/>
      </c>
      <c r="M54" s="16"/>
      <c r="N54" s="9" t="str">
        <f>IF(M54="","",IFERROR(INDEX('Reference Values'!$B$8:$B$12,M54),"?"))</f>
        <v/>
      </c>
      <c r="O54" s="17"/>
      <c r="P54" s="18" t="str">
        <f>IF(O54="","",IFERROR(INDEX('Reference Values'!$B$8:$B$12,O54),"?"))</f>
        <v/>
      </c>
      <c r="Q54" s="17"/>
      <c r="R54" s="18" t="str">
        <f>IF(Q54="","",IFERROR(INDEX('Reference Values'!$B$8:$B$12,Q54),"?"))</f>
        <v/>
      </c>
      <c r="S54" s="17"/>
      <c r="T54" s="18" t="str">
        <f>IF(S54="","",IFERROR(INDEX('Reference Values'!$B$8:$B$12,S54),"?"))</f>
        <v/>
      </c>
      <c r="U54" s="13"/>
      <c r="V54" s="13"/>
      <c r="W54" s="13"/>
      <c r="X54" s="19"/>
    </row>
    <row r="55" spans="1:24" ht="24" customHeight="1" x14ac:dyDescent="0.25">
      <c r="A55" s="10" t="str">
        <f>IF(B55="","","D"&amp;TEXT(50,"000"))</f>
        <v/>
      </c>
      <c r="B55" s="20"/>
      <c r="C55" s="20"/>
      <c r="D55" s="20"/>
      <c r="E55" s="20"/>
      <c r="F55" s="20"/>
      <c r="G55" s="13"/>
      <c r="H55" s="13"/>
      <c r="I55" s="16"/>
      <c r="J55" s="9" t="str">
        <f>IF(I55="","",IFERROR(INDEX('Reference Values'!$B$8:$B$12,I55),"?"))</f>
        <v/>
      </c>
      <c r="K55" s="16"/>
      <c r="L55" s="9" t="str">
        <f>IF(K55="","",IFERROR(INDEX('Reference Values'!$B$8:$B$12,K55),"?"))</f>
        <v/>
      </c>
      <c r="M55" s="16"/>
      <c r="N55" s="9" t="str">
        <f>IF(M55="","",IFERROR(INDEX('Reference Values'!$B$8:$B$12,M55),"?"))</f>
        <v/>
      </c>
      <c r="O55" s="21"/>
      <c r="P55" s="18" t="str">
        <f>IF(O55="","",IFERROR(INDEX('Reference Values'!$B$8:$B$12,O55),"?"))</f>
        <v/>
      </c>
      <c r="Q55" s="21"/>
      <c r="R55" s="18" t="str">
        <f>IF(Q55="","",IFERROR(INDEX('Reference Values'!$B$8:$B$12,Q55),"?"))</f>
        <v/>
      </c>
      <c r="S55" s="21"/>
      <c r="T55" s="18" t="str">
        <f>IF(S55="","",IFERROR(INDEX('Reference Values'!$B$8:$B$12,S55),"?"))</f>
        <v/>
      </c>
      <c r="U55" s="13"/>
      <c r="V55" s="13"/>
      <c r="W55" s="13"/>
      <c r="X55" s="22"/>
    </row>
    <row r="56" spans="1:24" ht="24" customHeight="1" x14ac:dyDescent="0.25">
      <c r="A56" s="6" t="str">
        <f>IF(B56="","","D"&amp;TEXT(51,"000"))</f>
        <v/>
      </c>
      <c r="B56" s="15"/>
      <c r="C56" s="15"/>
      <c r="D56" s="15"/>
      <c r="E56" s="15"/>
      <c r="F56" s="15"/>
      <c r="G56" s="13"/>
      <c r="H56" s="13"/>
      <c r="I56" s="16"/>
      <c r="J56" s="9" t="str">
        <f>IF(I56="","",IFERROR(INDEX('Reference Values'!$B$8:$B$12,I56),"?"))</f>
        <v/>
      </c>
      <c r="K56" s="16"/>
      <c r="L56" s="9" t="str">
        <f>IF(K56="","",IFERROR(INDEX('Reference Values'!$B$8:$B$12,K56),"?"))</f>
        <v/>
      </c>
      <c r="M56" s="16"/>
      <c r="N56" s="9" t="str">
        <f>IF(M56="","",IFERROR(INDEX('Reference Values'!$B$8:$B$12,M56),"?"))</f>
        <v/>
      </c>
      <c r="O56" s="17"/>
      <c r="P56" s="18" t="str">
        <f>IF(O56="","",IFERROR(INDEX('Reference Values'!$B$8:$B$12,O56),"?"))</f>
        <v/>
      </c>
      <c r="Q56" s="17"/>
      <c r="R56" s="18" t="str">
        <f>IF(Q56="","",IFERROR(INDEX('Reference Values'!$B$8:$B$12,Q56),"?"))</f>
        <v/>
      </c>
      <c r="S56" s="17"/>
      <c r="T56" s="18" t="str">
        <f>IF(S56="","",IFERROR(INDEX('Reference Values'!$B$8:$B$12,S56),"?"))</f>
        <v/>
      </c>
      <c r="U56" s="13"/>
      <c r="V56" s="13"/>
      <c r="W56" s="13"/>
      <c r="X56" s="19"/>
    </row>
    <row r="57" spans="1:24" ht="24" customHeight="1" x14ac:dyDescent="0.25">
      <c r="A57" s="10" t="str">
        <f>IF(B57="","","D"&amp;TEXT(52,"000"))</f>
        <v/>
      </c>
      <c r="B57" s="20"/>
      <c r="C57" s="20"/>
      <c r="D57" s="20"/>
      <c r="E57" s="20"/>
      <c r="F57" s="20"/>
      <c r="G57" s="13"/>
      <c r="H57" s="13"/>
      <c r="I57" s="16"/>
      <c r="J57" s="9" t="str">
        <f>IF(I57="","",IFERROR(INDEX('Reference Values'!$B$8:$B$12,I57),"?"))</f>
        <v/>
      </c>
      <c r="K57" s="16"/>
      <c r="L57" s="9" t="str">
        <f>IF(K57="","",IFERROR(INDEX('Reference Values'!$B$8:$B$12,K57),"?"))</f>
        <v/>
      </c>
      <c r="M57" s="16"/>
      <c r="N57" s="9" t="str">
        <f>IF(M57="","",IFERROR(INDEX('Reference Values'!$B$8:$B$12,M57),"?"))</f>
        <v/>
      </c>
      <c r="O57" s="21"/>
      <c r="P57" s="18" t="str">
        <f>IF(O57="","",IFERROR(INDEX('Reference Values'!$B$8:$B$12,O57),"?"))</f>
        <v/>
      </c>
      <c r="Q57" s="21"/>
      <c r="R57" s="18" t="str">
        <f>IF(Q57="","",IFERROR(INDEX('Reference Values'!$B$8:$B$12,Q57),"?"))</f>
        <v/>
      </c>
      <c r="S57" s="21"/>
      <c r="T57" s="18" t="str">
        <f>IF(S57="","",IFERROR(INDEX('Reference Values'!$B$8:$B$12,S57),"?"))</f>
        <v/>
      </c>
      <c r="U57" s="13"/>
      <c r="V57" s="13"/>
      <c r="W57" s="13"/>
      <c r="X57" s="22"/>
    </row>
    <row r="58" spans="1:24" ht="24" customHeight="1" x14ac:dyDescent="0.25">
      <c r="A58" s="6" t="str">
        <f>IF(B58="","","D"&amp;TEXT(53,"000"))</f>
        <v/>
      </c>
      <c r="B58" s="15"/>
      <c r="C58" s="15"/>
      <c r="D58" s="15"/>
      <c r="E58" s="15"/>
      <c r="F58" s="15"/>
      <c r="G58" s="13"/>
      <c r="H58" s="13"/>
      <c r="I58" s="16"/>
      <c r="J58" s="9" t="str">
        <f>IF(I58="","",IFERROR(INDEX('Reference Values'!$B$8:$B$12,I58),"?"))</f>
        <v/>
      </c>
      <c r="K58" s="16"/>
      <c r="L58" s="9" t="str">
        <f>IF(K58="","",IFERROR(INDEX('Reference Values'!$B$8:$B$12,K58),"?"))</f>
        <v/>
      </c>
      <c r="M58" s="16"/>
      <c r="N58" s="9" t="str">
        <f>IF(M58="","",IFERROR(INDEX('Reference Values'!$B$8:$B$12,M58),"?"))</f>
        <v/>
      </c>
      <c r="O58" s="17"/>
      <c r="P58" s="18" t="str">
        <f>IF(O58="","",IFERROR(INDEX('Reference Values'!$B$8:$B$12,O58),"?"))</f>
        <v/>
      </c>
      <c r="Q58" s="17"/>
      <c r="R58" s="18" t="str">
        <f>IF(Q58="","",IFERROR(INDEX('Reference Values'!$B$8:$B$12,Q58),"?"))</f>
        <v/>
      </c>
      <c r="S58" s="17"/>
      <c r="T58" s="18" t="str">
        <f>IF(S58="","",IFERROR(INDEX('Reference Values'!$B$8:$B$12,S58),"?"))</f>
        <v/>
      </c>
      <c r="U58" s="13"/>
      <c r="V58" s="13"/>
      <c r="W58" s="13"/>
      <c r="X58" s="19"/>
    </row>
    <row r="59" spans="1:24" ht="24" customHeight="1" x14ac:dyDescent="0.25">
      <c r="A59" s="10" t="str">
        <f>IF(B59="","","D"&amp;TEXT(54,"000"))</f>
        <v/>
      </c>
      <c r="B59" s="20"/>
      <c r="C59" s="20"/>
      <c r="D59" s="20"/>
      <c r="E59" s="20"/>
      <c r="F59" s="20"/>
      <c r="G59" s="13"/>
      <c r="H59" s="13"/>
      <c r="I59" s="16"/>
      <c r="J59" s="9" t="str">
        <f>IF(I59="","",IFERROR(INDEX('Reference Values'!$B$8:$B$12,I59),"?"))</f>
        <v/>
      </c>
      <c r="K59" s="16"/>
      <c r="L59" s="9" t="str">
        <f>IF(K59="","",IFERROR(INDEX('Reference Values'!$B$8:$B$12,K59),"?"))</f>
        <v/>
      </c>
      <c r="M59" s="16"/>
      <c r="N59" s="9" t="str">
        <f>IF(M59="","",IFERROR(INDEX('Reference Values'!$B$8:$B$12,M59),"?"))</f>
        <v/>
      </c>
      <c r="O59" s="21"/>
      <c r="P59" s="18" t="str">
        <f>IF(O59="","",IFERROR(INDEX('Reference Values'!$B$8:$B$12,O59),"?"))</f>
        <v/>
      </c>
      <c r="Q59" s="21"/>
      <c r="R59" s="18" t="str">
        <f>IF(Q59="","",IFERROR(INDEX('Reference Values'!$B$8:$B$12,Q59),"?"))</f>
        <v/>
      </c>
      <c r="S59" s="21"/>
      <c r="T59" s="18" t="str">
        <f>IF(S59="","",IFERROR(INDEX('Reference Values'!$B$8:$B$12,S59),"?"))</f>
        <v/>
      </c>
      <c r="U59" s="13"/>
      <c r="V59" s="13"/>
      <c r="W59" s="13"/>
      <c r="X59" s="22"/>
    </row>
    <row r="60" spans="1:24" ht="24" customHeight="1" x14ac:dyDescent="0.25">
      <c r="A60" s="6" t="str">
        <f>IF(B60="","","D"&amp;TEXT(55,"000"))</f>
        <v/>
      </c>
      <c r="B60" s="15"/>
      <c r="C60" s="15"/>
      <c r="D60" s="15"/>
      <c r="E60" s="15"/>
      <c r="F60" s="15"/>
      <c r="G60" s="13"/>
      <c r="H60" s="13"/>
      <c r="I60" s="16"/>
      <c r="J60" s="9" t="str">
        <f>IF(I60="","",IFERROR(INDEX('Reference Values'!$B$8:$B$12,I60),"?"))</f>
        <v/>
      </c>
      <c r="K60" s="16"/>
      <c r="L60" s="9" t="str">
        <f>IF(K60="","",IFERROR(INDEX('Reference Values'!$B$8:$B$12,K60),"?"))</f>
        <v/>
      </c>
      <c r="M60" s="16"/>
      <c r="N60" s="9" t="str">
        <f>IF(M60="","",IFERROR(INDEX('Reference Values'!$B$8:$B$12,M60),"?"))</f>
        <v/>
      </c>
      <c r="O60" s="17"/>
      <c r="P60" s="18" t="str">
        <f>IF(O60="","",IFERROR(INDEX('Reference Values'!$B$8:$B$12,O60),"?"))</f>
        <v/>
      </c>
      <c r="Q60" s="17"/>
      <c r="R60" s="18" t="str">
        <f>IF(Q60="","",IFERROR(INDEX('Reference Values'!$B$8:$B$12,Q60),"?"))</f>
        <v/>
      </c>
      <c r="S60" s="17"/>
      <c r="T60" s="18" t="str">
        <f>IF(S60="","",IFERROR(INDEX('Reference Values'!$B$8:$B$12,S60),"?"))</f>
        <v/>
      </c>
      <c r="U60" s="13"/>
      <c r="V60" s="13"/>
      <c r="W60" s="13"/>
      <c r="X60" s="19"/>
    </row>
    <row r="61" spans="1:24" ht="24" customHeight="1" x14ac:dyDescent="0.25">
      <c r="A61" s="10" t="str">
        <f>IF(B61="","","D"&amp;TEXT(56,"000"))</f>
        <v/>
      </c>
      <c r="B61" s="20"/>
      <c r="C61" s="20"/>
      <c r="D61" s="20"/>
      <c r="E61" s="20"/>
      <c r="F61" s="20"/>
      <c r="G61" s="13"/>
      <c r="H61" s="13"/>
      <c r="I61" s="16"/>
      <c r="J61" s="9" t="str">
        <f>IF(I61="","",IFERROR(INDEX('Reference Values'!$B$8:$B$12,I61),"?"))</f>
        <v/>
      </c>
      <c r="K61" s="16"/>
      <c r="L61" s="9" t="str">
        <f>IF(K61="","",IFERROR(INDEX('Reference Values'!$B$8:$B$12,K61),"?"))</f>
        <v/>
      </c>
      <c r="M61" s="16"/>
      <c r="N61" s="9" t="str">
        <f>IF(M61="","",IFERROR(INDEX('Reference Values'!$B$8:$B$12,M61),"?"))</f>
        <v/>
      </c>
      <c r="O61" s="21"/>
      <c r="P61" s="18" t="str">
        <f>IF(O61="","",IFERROR(INDEX('Reference Values'!$B$8:$B$12,O61),"?"))</f>
        <v/>
      </c>
      <c r="Q61" s="21"/>
      <c r="R61" s="18" t="str">
        <f>IF(Q61="","",IFERROR(INDEX('Reference Values'!$B$8:$B$12,Q61),"?"))</f>
        <v/>
      </c>
      <c r="S61" s="21"/>
      <c r="T61" s="18" t="str">
        <f>IF(S61="","",IFERROR(INDEX('Reference Values'!$B$8:$B$12,S61),"?"))</f>
        <v/>
      </c>
      <c r="U61" s="13"/>
      <c r="V61" s="13"/>
      <c r="W61" s="13"/>
      <c r="X61" s="22"/>
    </row>
    <row r="62" spans="1:24" ht="24" customHeight="1" x14ac:dyDescent="0.25">
      <c r="A62" s="6" t="str">
        <f>IF(B62="","","D"&amp;TEXT(57,"000"))</f>
        <v/>
      </c>
      <c r="B62" s="15"/>
      <c r="C62" s="15"/>
      <c r="D62" s="15"/>
      <c r="E62" s="15"/>
      <c r="F62" s="15"/>
      <c r="G62" s="13"/>
      <c r="H62" s="13"/>
      <c r="I62" s="16"/>
      <c r="J62" s="9" t="str">
        <f>IF(I62="","",IFERROR(INDEX('Reference Values'!$B$8:$B$12,I62),"?"))</f>
        <v/>
      </c>
      <c r="K62" s="16"/>
      <c r="L62" s="9" t="str">
        <f>IF(K62="","",IFERROR(INDEX('Reference Values'!$B$8:$B$12,K62),"?"))</f>
        <v/>
      </c>
      <c r="M62" s="16"/>
      <c r="N62" s="9" t="str">
        <f>IF(M62="","",IFERROR(INDEX('Reference Values'!$B$8:$B$12,M62),"?"))</f>
        <v/>
      </c>
      <c r="O62" s="17"/>
      <c r="P62" s="18" t="str">
        <f>IF(O62="","",IFERROR(INDEX('Reference Values'!$B$8:$B$12,O62),"?"))</f>
        <v/>
      </c>
      <c r="Q62" s="17"/>
      <c r="R62" s="18" t="str">
        <f>IF(Q62="","",IFERROR(INDEX('Reference Values'!$B$8:$B$12,Q62),"?"))</f>
        <v/>
      </c>
      <c r="S62" s="17"/>
      <c r="T62" s="18" t="str">
        <f>IF(S62="","",IFERROR(INDEX('Reference Values'!$B$8:$B$12,S62),"?"))</f>
        <v/>
      </c>
      <c r="U62" s="13"/>
      <c r="V62" s="13"/>
      <c r="W62" s="13"/>
      <c r="X62" s="19"/>
    </row>
    <row r="63" spans="1:24" ht="24" customHeight="1" x14ac:dyDescent="0.25">
      <c r="A63" s="10" t="str">
        <f>IF(B63="","","D"&amp;TEXT(58,"000"))</f>
        <v/>
      </c>
      <c r="B63" s="20"/>
      <c r="C63" s="20"/>
      <c r="D63" s="20"/>
      <c r="E63" s="20"/>
      <c r="F63" s="20"/>
      <c r="G63" s="13"/>
      <c r="H63" s="13"/>
      <c r="I63" s="16"/>
      <c r="J63" s="9" t="str">
        <f>IF(I63="","",IFERROR(INDEX('Reference Values'!$B$8:$B$12,I63),"?"))</f>
        <v/>
      </c>
      <c r="K63" s="16"/>
      <c r="L63" s="9" t="str">
        <f>IF(K63="","",IFERROR(INDEX('Reference Values'!$B$8:$B$12,K63),"?"))</f>
        <v/>
      </c>
      <c r="M63" s="16"/>
      <c r="N63" s="9" t="str">
        <f>IF(M63="","",IFERROR(INDEX('Reference Values'!$B$8:$B$12,M63),"?"))</f>
        <v/>
      </c>
      <c r="O63" s="21"/>
      <c r="P63" s="18" t="str">
        <f>IF(O63="","",IFERROR(INDEX('Reference Values'!$B$8:$B$12,O63),"?"))</f>
        <v/>
      </c>
      <c r="Q63" s="21"/>
      <c r="R63" s="18" t="str">
        <f>IF(Q63="","",IFERROR(INDEX('Reference Values'!$B$8:$B$12,Q63),"?"))</f>
        <v/>
      </c>
      <c r="S63" s="21"/>
      <c r="T63" s="18" t="str">
        <f>IF(S63="","",IFERROR(INDEX('Reference Values'!$B$8:$B$12,S63),"?"))</f>
        <v/>
      </c>
      <c r="U63" s="13"/>
      <c r="V63" s="13"/>
      <c r="W63" s="13"/>
      <c r="X63" s="22"/>
    </row>
    <row r="64" spans="1:24" ht="24" customHeight="1" x14ac:dyDescent="0.25">
      <c r="A64" s="6" t="str">
        <f>IF(B64="","","D"&amp;TEXT(59,"000"))</f>
        <v/>
      </c>
      <c r="B64" s="15"/>
      <c r="C64" s="15"/>
      <c r="D64" s="15"/>
      <c r="E64" s="15"/>
      <c r="F64" s="15"/>
      <c r="G64" s="13"/>
      <c r="H64" s="13"/>
      <c r="I64" s="16"/>
      <c r="J64" s="9" t="str">
        <f>IF(I64="","",IFERROR(INDEX('Reference Values'!$B$8:$B$12,I64),"?"))</f>
        <v/>
      </c>
      <c r="K64" s="16"/>
      <c r="L64" s="9" t="str">
        <f>IF(K64="","",IFERROR(INDEX('Reference Values'!$B$8:$B$12,K64),"?"))</f>
        <v/>
      </c>
      <c r="M64" s="16"/>
      <c r="N64" s="9" t="str">
        <f>IF(M64="","",IFERROR(INDEX('Reference Values'!$B$8:$B$12,M64),"?"))</f>
        <v/>
      </c>
      <c r="O64" s="17"/>
      <c r="P64" s="18" t="str">
        <f>IF(O64="","",IFERROR(INDEX('Reference Values'!$B$8:$B$12,O64),"?"))</f>
        <v/>
      </c>
      <c r="Q64" s="17"/>
      <c r="R64" s="18" t="str">
        <f>IF(Q64="","",IFERROR(INDEX('Reference Values'!$B$8:$B$12,Q64),"?"))</f>
        <v/>
      </c>
      <c r="S64" s="17"/>
      <c r="T64" s="18" t="str">
        <f>IF(S64="","",IFERROR(INDEX('Reference Values'!$B$8:$B$12,S64),"?"))</f>
        <v/>
      </c>
      <c r="U64" s="13"/>
      <c r="V64" s="13"/>
      <c r="W64" s="13"/>
      <c r="X64" s="19"/>
    </row>
    <row r="65" spans="1:24" ht="24" customHeight="1" x14ac:dyDescent="0.25">
      <c r="A65" s="10" t="str">
        <f>IF(B65="","","D"&amp;TEXT(60,"000"))</f>
        <v/>
      </c>
      <c r="B65" s="20"/>
      <c r="C65" s="20"/>
      <c r="D65" s="20"/>
      <c r="E65" s="20"/>
      <c r="F65" s="20"/>
      <c r="G65" s="13"/>
      <c r="H65" s="13"/>
      <c r="I65" s="16"/>
      <c r="J65" s="9" t="str">
        <f>IF(I65="","",IFERROR(INDEX('Reference Values'!$B$8:$B$12,I65),"?"))</f>
        <v/>
      </c>
      <c r="K65" s="16"/>
      <c r="L65" s="9" t="str">
        <f>IF(K65="","",IFERROR(INDEX('Reference Values'!$B$8:$B$12,K65),"?"))</f>
        <v/>
      </c>
      <c r="M65" s="16"/>
      <c r="N65" s="9" t="str">
        <f>IF(M65="","",IFERROR(INDEX('Reference Values'!$B$8:$B$12,M65),"?"))</f>
        <v/>
      </c>
      <c r="O65" s="21"/>
      <c r="P65" s="18" t="str">
        <f>IF(O65="","",IFERROR(INDEX('Reference Values'!$B$8:$B$12,O65),"?"))</f>
        <v/>
      </c>
      <c r="Q65" s="21"/>
      <c r="R65" s="18" t="str">
        <f>IF(Q65="","",IFERROR(INDEX('Reference Values'!$B$8:$B$12,Q65),"?"))</f>
        <v/>
      </c>
      <c r="S65" s="21"/>
      <c r="T65" s="18" t="str">
        <f>IF(S65="","",IFERROR(INDEX('Reference Values'!$B$8:$B$12,S65),"?"))</f>
        <v/>
      </c>
      <c r="U65" s="13"/>
      <c r="V65" s="13"/>
      <c r="W65" s="13"/>
      <c r="X65" s="22"/>
    </row>
    <row r="66" spans="1:24" ht="24" customHeight="1" x14ac:dyDescent="0.25">
      <c r="A66" s="6" t="str">
        <f>IF(B66="","","D"&amp;TEXT(61,"000"))</f>
        <v/>
      </c>
      <c r="B66" s="15"/>
      <c r="C66" s="15"/>
      <c r="D66" s="15"/>
      <c r="E66" s="15"/>
      <c r="F66" s="15"/>
      <c r="G66" s="13"/>
      <c r="H66" s="13"/>
      <c r="I66" s="16"/>
      <c r="J66" s="9" t="str">
        <f>IF(I66="","",IFERROR(INDEX('Reference Values'!$B$8:$B$12,I66),"?"))</f>
        <v/>
      </c>
      <c r="K66" s="16"/>
      <c r="L66" s="9" t="str">
        <f>IF(K66="","",IFERROR(INDEX('Reference Values'!$B$8:$B$12,K66),"?"))</f>
        <v/>
      </c>
      <c r="M66" s="16"/>
      <c r="N66" s="9" t="str">
        <f>IF(M66="","",IFERROR(INDEX('Reference Values'!$B$8:$B$12,M66),"?"))</f>
        <v/>
      </c>
      <c r="O66" s="17"/>
      <c r="P66" s="18" t="str">
        <f>IF(O66="","",IFERROR(INDEX('Reference Values'!$B$8:$B$12,O66),"?"))</f>
        <v/>
      </c>
      <c r="Q66" s="17"/>
      <c r="R66" s="18" t="str">
        <f>IF(Q66="","",IFERROR(INDEX('Reference Values'!$B$8:$B$12,Q66),"?"))</f>
        <v/>
      </c>
      <c r="S66" s="17"/>
      <c r="T66" s="18" t="str">
        <f>IF(S66="","",IFERROR(INDEX('Reference Values'!$B$8:$B$12,S66),"?"))</f>
        <v/>
      </c>
      <c r="U66" s="13"/>
      <c r="V66" s="13"/>
      <c r="W66" s="13"/>
      <c r="X66" s="19"/>
    </row>
    <row r="67" spans="1:24" ht="24" customHeight="1" x14ac:dyDescent="0.25">
      <c r="A67" s="10" t="str">
        <f>IF(B67="","","D"&amp;TEXT(62,"000"))</f>
        <v/>
      </c>
      <c r="B67" s="20"/>
      <c r="C67" s="20"/>
      <c r="D67" s="20"/>
      <c r="E67" s="20"/>
      <c r="F67" s="20"/>
      <c r="G67" s="13"/>
      <c r="H67" s="13"/>
      <c r="I67" s="16"/>
      <c r="J67" s="9" t="str">
        <f>IF(I67="","",IFERROR(INDEX('Reference Values'!$B$8:$B$12,I67),"?"))</f>
        <v/>
      </c>
      <c r="K67" s="16"/>
      <c r="L67" s="9" t="str">
        <f>IF(K67="","",IFERROR(INDEX('Reference Values'!$B$8:$B$12,K67),"?"))</f>
        <v/>
      </c>
      <c r="M67" s="16"/>
      <c r="N67" s="9" t="str">
        <f>IF(M67="","",IFERROR(INDEX('Reference Values'!$B$8:$B$12,M67),"?"))</f>
        <v/>
      </c>
      <c r="O67" s="21"/>
      <c r="P67" s="18" t="str">
        <f>IF(O67="","",IFERROR(INDEX('Reference Values'!$B$8:$B$12,O67),"?"))</f>
        <v/>
      </c>
      <c r="Q67" s="21"/>
      <c r="R67" s="18" t="str">
        <f>IF(Q67="","",IFERROR(INDEX('Reference Values'!$B$8:$B$12,Q67),"?"))</f>
        <v/>
      </c>
      <c r="S67" s="21"/>
      <c r="T67" s="18" t="str">
        <f>IF(S67="","",IFERROR(INDEX('Reference Values'!$B$8:$B$12,S67),"?"))</f>
        <v/>
      </c>
      <c r="U67" s="13"/>
      <c r="V67" s="13"/>
      <c r="W67" s="13"/>
      <c r="X67" s="22"/>
    </row>
    <row r="68" spans="1:24" ht="24" customHeight="1" x14ac:dyDescent="0.25">
      <c r="A68" s="6" t="str">
        <f>IF(B68="","","D"&amp;TEXT(63,"000"))</f>
        <v/>
      </c>
      <c r="B68" s="15"/>
      <c r="C68" s="15"/>
      <c r="D68" s="15"/>
      <c r="E68" s="15"/>
      <c r="F68" s="15"/>
      <c r="G68" s="13"/>
      <c r="H68" s="13"/>
      <c r="I68" s="16"/>
      <c r="J68" s="9" t="str">
        <f>IF(I68="","",IFERROR(INDEX('Reference Values'!$B$8:$B$12,I68),"?"))</f>
        <v/>
      </c>
      <c r="K68" s="16"/>
      <c r="L68" s="9" t="str">
        <f>IF(K68="","",IFERROR(INDEX('Reference Values'!$B$8:$B$12,K68),"?"))</f>
        <v/>
      </c>
      <c r="M68" s="16"/>
      <c r="N68" s="9" t="str">
        <f>IF(M68="","",IFERROR(INDEX('Reference Values'!$B$8:$B$12,M68),"?"))</f>
        <v/>
      </c>
      <c r="O68" s="17"/>
      <c r="P68" s="18" t="str">
        <f>IF(O68="","",IFERROR(INDEX('Reference Values'!$B$8:$B$12,O68),"?"))</f>
        <v/>
      </c>
      <c r="Q68" s="17"/>
      <c r="R68" s="18" t="str">
        <f>IF(Q68="","",IFERROR(INDEX('Reference Values'!$B$8:$B$12,Q68),"?"))</f>
        <v/>
      </c>
      <c r="S68" s="17"/>
      <c r="T68" s="18" t="str">
        <f>IF(S68="","",IFERROR(INDEX('Reference Values'!$B$8:$B$12,S68),"?"))</f>
        <v/>
      </c>
      <c r="U68" s="13"/>
      <c r="V68" s="13"/>
      <c r="W68" s="13"/>
      <c r="X68" s="19"/>
    </row>
    <row r="69" spans="1:24" ht="24" customHeight="1" x14ac:dyDescent="0.25">
      <c r="A69" s="10" t="str">
        <f>IF(B69="","","D"&amp;TEXT(64,"000"))</f>
        <v/>
      </c>
      <c r="B69" s="20"/>
      <c r="C69" s="20"/>
      <c r="D69" s="20"/>
      <c r="E69" s="20"/>
      <c r="F69" s="20"/>
      <c r="G69" s="13"/>
      <c r="H69" s="13"/>
      <c r="I69" s="16"/>
      <c r="J69" s="9" t="str">
        <f>IF(I69="","",IFERROR(INDEX('Reference Values'!$B$8:$B$12,I69),"?"))</f>
        <v/>
      </c>
      <c r="K69" s="16"/>
      <c r="L69" s="9" t="str">
        <f>IF(K69="","",IFERROR(INDEX('Reference Values'!$B$8:$B$12,K69),"?"))</f>
        <v/>
      </c>
      <c r="M69" s="16"/>
      <c r="N69" s="9" t="str">
        <f>IF(M69="","",IFERROR(INDEX('Reference Values'!$B$8:$B$12,M69),"?"))</f>
        <v/>
      </c>
      <c r="O69" s="21"/>
      <c r="P69" s="18" t="str">
        <f>IF(O69="","",IFERROR(INDEX('Reference Values'!$B$8:$B$12,O69),"?"))</f>
        <v/>
      </c>
      <c r="Q69" s="21"/>
      <c r="R69" s="18" t="str">
        <f>IF(Q69="","",IFERROR(INDEX('Reference Values'!$B$8:$B$12,Q69),"?"))</f>
        <v/>
      </c>
      <c r="S69" s="21"/>
      <c r="T69" s="18" t="str">
        <f>IF(S69="","",IFERROR(INDEX('Reference Values'!$B$8:$B$12,S69),"?"))</f>
        <v/>
      </c>
      <c r="U69" s="13"/>
      <c r="V69" s="13"/>
      <c r="W69" s="13"/>
      <c r="X69" s="22"/>
    </row>
    <row r="70" spans="1:24" ht="24" customHeight="1" x14ac:dyDescent="0.25">
      <c r="A70" s="6" t="str">
        <f>IF(B70="","","D"&amp;TEXT(65,"000"))</f>
        <v/>
      </c>
      <c r="B70" s="15"/>
      <c r="C70" s="15"/>
      <c r="D70" s="15"/>
      <c r="E70" s="15"/>
      <c r="F70" s="15"/>
      <c r="G70" s="13"/>
      <c r="H70" s="13"/>
      <c r="I70" s="16"/>
      <c r="J70" s="9" t="str">
        <f>IF(I70="","",IFERROR(INDEX('Reference Values'!$B$8:$B$12,I70),"?"))</f>
        <v/>
      </c>
      <c r="K70" s="16"/>
      <c r="L70" s="9" t="str">
        <f>IF(K70="","",IFERROR(INDEX('Reference Values'!$B$8:$B$12,K70),"?"))</f>
        <v/>
      </c>
      <c r="M70" s="16"/>
      <c r="N70" s="9" t="str">
        <f>IF(M70="","",IFERROR(INDEX('Reference Values'!$B$8:$B$12,M70),"?"))</f>
        <v/>
      </c>
      <c r="O70" s="17"/>
      <c r="P70" s="18" t="str">
        <f>IF(O70="","",IFERROR(INDEX('Reference Values'!$B$8:$B$12,O70),"?"))</f>
        <v/>
      </c>
      <c r="Q70" s="17"/>
      <c r="R70" s="18" t="str">
        <f>IF(Q70="","",IFERROR(INDEX('Reference Values'!$B$8:$B$12,Q70),"?"))</f>
        <v/>
      </c>
      <c r="S70" s="17"/>
      <c r="T70" s="18" t="str">
        <f>IF(S70="","",IFERROR(INDEX('Reference Values'!$B$8:$B$12,S70),"?"))</f>
        <v/>
      </c>
      <c r="U70" s="13"/>
      <c r="V70" s="13"/>
      <c r="W70" s="13"/>
      <c r="X70" s="19"/>
    </row>
    <row r="71" spans="1:24" ht="24" customHeight="1" x14ac:dyDescent="0.25">
      <c r="A71" s="10" t="str">
        <f>IF(B71="","","D"&amp;TEXT(66,"000"))</f>
        <v/>
      </c>
      <c r="B71" s="20"/>
      <c r="C71" s="20"/>
      <c r="D71" s="20"/>
      <c r="E71" s="20"/>
      <c r="F71" s="20"/>
      <c r="G71" s="13"/>
      <c r="H71" s="13"/>
      <c r="I71" s="16"/>
      <c r="J71" s="9" t="str">
        <f>IF(I71="","",IFERROR(INDEX('Reference Values'!$B$8:$B$12,I71),"?"))</f>
        <v/>
      </c>
      <c r="K71" s="16"/>
      <c r="L71" s="9" t="str">
        <f>IF(K71="","",IFERROR(INDEX('Reference Values'!$B$8:$B$12,K71),"?"))</f>
        <v/>
      </c>
      <c r="M71" s="16"/>
      <c r="N71" s="9" t="str">
        <f>IF(M71="","",IFERROR(INDEX('Reference Values'!$B$8:$B$12,M71),"?"))</f>
        <v/>
      </c>
      <c r="O71" s="21"/>
      <c r="P71" s="18" t="str">
        <f>IF(O71="","",IFERROR(INDEX('Reference Values'!$B$8:$B$12,O71),"?"))</f>
        <v/>
      </c>
      <c r="Q71" s="21"/>
      <c r="R71" s="18" t="str">
        <f>IF(Q71="","",IFERROR(INDEX('Reference Values'!$B$8:$B$12,Q71),"?"))</f>
        <v/>
      </c>
      <c r="S71" s="21"/>
      <c r="T71" s="18" t="str">
        <f>IF(S71="","",IFERROR(INDEX('Reference Values'!$B$8:$B$12,S71),"?"))</f>
        <v/>
      </c>
      <c r="U71" s="13"/>
      <c r="V71" s="13"/>
      <c r="W71" s="13"/>
      <c r="X71" s="22"/>
    </row>
    <row r="72" spans="1:24" ht="24" customHeight="1" x14ac:dyDescent="0.25">
      <c r="A72" s="6" t="str">
        <f>IF(B72="","","D"&amp;TEXT(67,"000"))</f>
        <v/>
      </c>
      <c r="B72" s="15"/>
      <c r="C72" s="15"/>
      <c r="D72" s="15"/>
      <c r="E72" s="15"/>
      <c r="F72" s="15"/>
      <c r="G72" s="13"/>
      <c r="H72" s="13"/>
      <c r="I72" s="16"/>
      <c r="J72" s="9" t="str">
        <f>IF(I72="","",IFERROR(INDEX('Reference Values'!$B$8:$B$12,I72),"?"))</f>
        <v/>
      </c>
      <c r="K72" s="16"/>
      <c r="L72" s="9" t="str">
        <f>IF(K72="","",IFERROR(INDEX('Reference Values'!$B$8:$B$12,K72),"?"))</f>
        <v/>
      </c>
      <c r="M72" s="16"/>
      <c r="N72" s="9" t="str">
        <f>IF(M72="","",IFERROR(INDEX('Reference Values'!$B$8:$B$12,M72),"?"))</f>
        <v/>
      </c>
      <c r="O72" s="17"/>
      <c r="P72" s="18" t="str">
        <f>IF(O72="","",IFERROR(INDEX('Reference Values'!$B$8:$B$12,O72),"?"))</f>
        <v/>
      </c>
      <c r="Q72" s="17"/>
      <c r="R72" s="18" t="str">
        <f>IF(Q72="","",IFERROR(INDEX('Reference Values'!$B$8:$B$12,Q72),"?"))</f>
        <v/>
      </c>
      <c r="S72" s="17"/>
      <c r="T72" s="18" t="str">
        <f>IF(S72="","",IFERROR(INDEX('Reference Values'!$B$8:$B$12,S72),"?"))</f>
        <v/>
      </c>
      <c r="U72" s="13"/>
      <c r="V72" s="13"/>
      <c r="W72" s="13"/>
      <c r="X72" s="19"/>
    </row>
    <row r="73" spans="1:24" ht="24" customHeight="1" x14ac:dyDescent="0.25">
      <c r="A73" s="10" t="str">
        <f>IF(B73="","","D"&amp;TEXT(68,"000"))</f>
        <v/>
      </c>
      <c r="B73" s="20"/>
      <c r="C73" s="20"/>
      <c r="D73" s="20"/>
      <c r="E73" s="20"/>
      <c r="F73" s="20"/>
      <c r="G73" s="13"/>
      <c r="H73" s="13"/>
      <c r="I73" s="16"/>
      <c r="J73" s="9" t="str">
        <f>IF(I73="","",IFERROR(INDEX('Reference Values'!$B$8:$B$12,I73),"?"))</f>
        <v/>
      </c>
      <c r="K73" s="16"/>
      <c r="L73" s="9" t="str">
        <f>IF(K73="","",IFERROR(INDEX('Reference Values'!$B$8:$B$12,K73),"?"))</f>
        <v/>
      </c>
      <c r="M73" s="16"/>
      <c r="N73" s="9" t="str">
        <f>IF(M73="","",IFERROR(INDEX('Reference Values'!$B$8:$B$12,M73),"?"))</f>
        <v/>
      </c>
      <c r="O73" s="21"/>
      <c r="P73" s="18" t="str">
        <f>IF(O73="","",IFERROR(INDEX('Reference Values'!$B$8:$B$12,O73),"?"))</f>
        <v/>
      </c>
      <c r="Q73" s="21"/>
      <c r="R73" s="18" t="str">
        <f>IF(Q73="","",IFERROR(INDEX('Reference Values'!$B$8:$B$12,Q73),"?"))</f>
        <v/>
      </c>
      <c r="S73" s="21"/>
      <c r="T73" s="18" t="str">
        <f>IF(S73="","",IFERROR(INDEX('Reference Values'!$B$8:$B$12,S73),"?"))</f>
        <v/>
      </c>
      <c r="U73" s="13"/>
      <c r="V73" s="13"/>
      <c r="W73" s="13"/>
      <c r="X73" s="22"/>
    </row>
    <row r="74" spans="1:24" ht="24" customHeight="1" x14ac:dyDescent="0.25">
      <c r="A74" s="6" t="str">
        <f>IF(B74="","","D"&amp;TEXT(69,"000"))</f>
        <v/>
      </c>
      <c r="B74" s="15"/>
      <c r="C74" s="15"/>
      <c r="D74" s="15"/>
      <c r="E74" s="15"/>
      <c r="F74" s="15"/>
      <c r="G74" s="13"/>
      <c r="H74" s="13"/>
      <c r="I74" s="16"/>
      <c r="J74" s="9" t="str">
        <f>IF(I74="","",IFERROR(INDEX('Reference Values'!$B$8:$B$12,I74),"?"))</f>
        <v/>
      </c>
      <c r="K74" s="16"/>
      <c r="L74" s="9" t="str">
        <f>IF(K74="","",IFERROR(INDEX('Reference Values'!$B$8:$B$12,K74),"?"))</f>
        <v/>
      </c>
      <c r="M74" s="16"/>
      <c r="N74" s="9" t="str">
        <f>IF(M74="","",IFERROR(INDEX('Reference Values'!$B$8:$B$12,M74),"?"))</f>
        <v/>
      </c>
      <c r="O74" s="17"/>
      <c r="P74" s="18" t="str">
        <f>IF(O74="","",IFERROR(INDEX('Reference Values'!$B$8:$B$12,O74),"?"))</f>
        <v/>
      </c>
      <c r="Q74" s="17"/>
      <c r="R74" s="18" t="str">
        <f>IF(Q74="","",IFERROR(INDEX('Reference Values'!$B$8:$B$12,Q74),"?"))</f>
        <v/>
      </c>
      <c r="S74" s="17"/>
      <c r="T74" s="18" t="str">
        <f>IF(S74="","",IFERROR(INDEX('Reference Values'!$B$8:$B$12,S74),"?"))</f>
        <v/>
      </c>
      <c r="U74" s="13"/>
      <c r="V74" s="13"/>
      <c r="W74" s="13"/>
      <c r="X74" s="19"/>
    </row>
    <row r="75" spans="1:24" ht="24" customHeight="1" x14ac:dyDescent="0.25">
      <c r="A75" s="10" t="str">
        <f>IF(B75="","","D"&amp;TEXT(70,"000"))</f>
        <v/>
      </c>
      <c r="B75" s="20"/>
      <c r="C75" s="20"/>
      <c r="D75" s="20"/>
      <c r="E75" s="20"/>
      <c r="F75" s="20"/>
      <c r="G75" s="13"/>
      <c r="H75" s="13"/>
      <c r="I75" s="16"/>
      <c r="J75" s="9" t="str">
        <f>IF(I75="","",IFERROR(INDEX('Reference Values'!$B$8:$B$12,I75),"?"))</f>
        <v/>
      </c>
      <c r="K75" s="16"/>
      <c r="L75" s="9" t="str">
        <f>IF(K75="","",IFERROR(INDEX('Reference Values'!$B$8:$B$12,K75),"?"))</f>
        <v/>
      </c>
      <c r="M75" s="16"/>
      <c r="N75" s="9" t="str">
        <f>IF(M75="","",IFERROR(INDEX('Reference Values'!$B$8:$B$12,M75),"?"))</f>
        <v/>
      </c>
      <c r="O75" s="21"/>
      <c r="P75" s="18" t="str">
        <f>IF(O75="","",IFERROR(INDEX('Reference Values'!$B$8:$B$12,O75),"?"))</f>
        <v/>
      </c>
      <c r="Q75" s="21"/>
      <c r="R75" s="18" t="str">
        <f>IF(Q75="","",IFERROR(INDEX('Reference Values'!$B$8:$B$12,Q75),"?"))</f>
        <v/>
      </c>
      <c r="S75" s="21"/>
      <c r="T75" s="18" t="str">
        <f>IF(S75="","",IFERROR(INDEX('Reference Values'!$B$8:$B$12,S75),"?"))</f>
        <v/>
      </c>
      <c r="U75" s="13"/>
      <c r="V75" s="13"/>
      <c r="W75" s="13"/>
      <c r="X75" s="22"/>
    </row>
    <row r="76" spans="1:24" ht="24" customHeight="1" x14ac:dyDescent="0.25">
      <c r="A76" s="6" t="str">
        <f>IF(B76="","","D"&amp;TEXT(71,"000"))</f>
        <v/>
      </c>
      <c r="B76" s="15"/>
      <c r="C76" s="15"/>
      <c r="D76" s="15"/>
      <c r="E76" s="15"/>
      <c r="F76" s="15"/>
      <c r="G76" s="13"/>
      <c r="H76" s="13"/>
      <c r="I76" s="16"/>
      <c r="J76" s="9" t="str">
        <f>IF(I76="","",IFERROR(INDEX('Reference Values'!$B$8:$B$12,I76),"?"))</f>
        <v/>
      </c>
      <c r="K76" s="16"/>
      <c r="L76" s="9" t="str">
        <f>IF(K76="","",IFERROR(INDEX('Reference Values'!$B$8:$B$12,K76),"?"))</f>
        <v/>
      </c>
      <c r="M76" s="16"/>
      <c r="N76" s="9" t="str">
        <f>IF(M76="","",IFERROR(INDEX('Reference Values'!$B$8:$B$12,M76),"?"))</f>
        <v/>
      </c>
      <c r="O76" s="17"/>
      <c r="P76" s="18" t="str">
        <f>IF(O76="","",IFERROR(INDEX('Reference Values'!$B$8:$B$12,O76),"?"))</f>
        <v/>
      </c>
      <c r="Q76" s="17"/>
      <c r="R76" s="18" t="str">
        <f>IF(Q76="","",IFERROR(INDEX('Reference Values'!$B$8:$B$12,Q76),"?"))</f>
        <v/>
      </c>
      <c r="S76" s="17"/>
      <c r="T76" s="18" t="str">
        <f>IF(S76="","",IFERROR(INDEX('Reference Values'!$B$8:$B$12,S76),"?"))</f>
        <v/>
      </c>
      <c r="U76" s="13"/>
      <c r="V76" s="13"/>
      <c r="W76" s="13"/>
      <c r="X76" s="19"/>
    </row>
    <row r="77" spans="1:24" ht="24" customHeight="1" x14ac:dyDescent="0.25">
      <c r="A77" s="10" t="str">
        <f>IF(B77="","","D"&amp;TEXT(72,"000"))</f>
        <v/>
      </c>
      <c r="B77" s="20"/>
      <c r="C77" s="20"/>
      <c r="D77" s="20"/>
      <c r="E77" s="20"/>
      <c r="F77" s="20"/>
      <c r="G77" s="13"/>
      <c r="H77" s="13"/>
      <c r="I77" s="16"/>
      <c r="J77" s="9" t="str">
        <f>IF(I77="","",IFERROR(INDEX('Reference Values'!$B$8:$B$12,I77),"?"))</f>
        <v/>
      </c>
      <c r="K77" s="16"/>
      <c r="L77" s="9" t="str">
        <f>IF(K77="","",IFERROR(INDEX('Reference Values'!$B$8:$B$12,K77),"?"))</f>
        <v/>
      </c>
      <c r="M77" s="16"/>
      <c r="N77" s="9" t="str">
        <f>IF(M77="","",IFERROR(INDEX('Reference Values'!$B$8:$B$12,M77),"?"))</f>
        <v/>
      </c>
      <c r="O77" s="21"/>
      <c r="P77" s="18" t="str">
        <f>IF(O77="","",IFERROR(INDEX('Reference Values'!$B$8:$B$12,O77),"?"))</f>
        <v/>
      </c>
      <c r="Q77" s="21"/>
      <c r="R77" s="18" t="str">
        <f>IF(Q77="","",IFERROR(INDEX('Reference Values'!$B$8:$B$12,Q77),"?"))</f>
        <v/>
      </c>
      <c r="S77" s="21"/>
      <c r="T77" s="18" t="str">
        <f>IF(S77="","",IFERROR(INDEX('Reference Values'!$B$8:$B$12,S77),"?"))</f>
        <v/>
      </c>
      <c r="U77" s="13"/>
      <c r="V77" s="13"/>
      <c r="W77" s="13"/>
      <c r="X77" s="22"/>
    </row>
    <row r="78" spans="1:24" ht="24" customHeight="1" x14ac:dyDescent="0.25">
      <c r="A78" s="6" t="str">
        <f>IF(B78="","","D"&amp;TEXT(73,"000"))</f>
        <v/>
      </c>
      <c r="B78" s="15"/>
      <c r="C78" s="15"/>
      <c r="D78" s="15"/>
      <c r="E78" s="15"/>
      <c r="F78" s="15"/>
      <c r="G78" s="13"/>
      <c r="H78" s="13"/>
      <c r="I78" s="16"/>
      <c r="J78" s="9" t="str">
        <f>IF(I78="","",IFERROR(INDEX('Reference Values'!$B$8:$B$12,I78),"?"))</f>
        <v/>
      </c>
      <c r="K78" s="16"/>
      <c r="L78" s="9" t="str">
        <f>IF(K78="","",IFERROR(INDEX('Reference Values'!$B$8:$B$12,K78),"?"))</f>
        <v/>
      </c>
      <c r="M78" s="16"/>
      <c r="N78" s="9" t="str">
        <f>IF(M78="","",IFERROR(INDEX('Reference Values'!$B$8:$B$12,M78),"?"))</f>
        <v/>
      </c>
      <c r="O78" s="17"/>
      <c r="P78" s="18" t="str">
        <f>IF(O78="","",IFERROR(INDEX('Reference Values'!$B$8:$B$12,O78),"?"))</f>
        <v/>
      </c>
      <c r="Q78" s="17"/>
      <c r="R78" s="18" t="str">
        <f>IF(Q78="","",IFERROR(INDEX('Reference Values'!$B$8:$B$12,Q78),"?"))</f>
        <v/>
      </c>
      <c r="S78" s="17"/>
      <c r="T78" s="18" t="str">
        <f>IF(S78="","",IFERROR(INDEX('Reference Values'!$B$8:$B$12,S78),"?"))</f>
        <v/>
      </c>
      <c r="U78" s="13"/>
      <c r="V78" s="13"/>
      <c r="W78" s="13"/>
      <c r="X78" s="19"/>
    </row>
    <row r="79" spans="1:24" ht="24" customHeight="1" x14ac:dyDescent="0.25">
      <c r="A79" s="10" t="str">
        <f>IF(B79="","","D"&amp;TEXT(74,"000"))</f>
        <v/>
      </c>
      <c r="B79" s="20"/>
      <c r="C79" s="20"/>
      <c r="D79" s="20"/>
      <c r="E79" s="20"/>
      <c r="F79" s="20"/>
      <c r="G79" s="13"/>
      <c r="H79" s="13"/>
      <c r="I79" s="16"/>
      <c r="J79" s="9" t="str">
        <f>IF(I79="","",IFERROR(INDEX('Reference Values'!$B$8:$B$12,I79),"?"))</f>
        <v/>
      </c>
      <c r="K79" s="16"/>
      <c r="L79" s="9" t="str">
        <f>IF(K79="","",IFERROR(INDEX('Reference Values'!$B$8:$B$12,K79),"?"))</f>
        <v/>
      </c>
      <c r="M79" s="16"/>
      <c r="N79" s="9" t="str">
        <f>IF(M79="","",IFERROR(INDEX('Reference Values'!$B$8:$B$12,M79),"?"))</f>
        <v/>
      </c>
      <c r="O79" s="21"/>
      <c r="P79" s="18" t="str">
        <f>IF(O79="","",IFERROR(INDEX('Reference Values'!$B$8:$B$12,O79),"?"))</f>
        <v/>
      </c>
      <c r="Q79" s="21"/>
      <c r="R79" s="18" t="str">
        <f>IF(Q79="","",IFERROR(INDEX('Reference Values'!$B$8:$B$12,Q79),"?"))</f>
        <v/>
      </c>
      <c r="S79" s="21"/>
      <c r="T79" s="18" t="str">
        <f>IF(S79="","",IFERROR(INDEX('Reference Values'!$B$8:$B$12,S79),"?"))</f>
        <v/>
      </c>
      <c r="U79" s="13"/>
      <c r="V79" s="13"/>
      <c r="W79" s="13"/>
      <c r="X79" s="22"/>
    </row>
    <row r="80" spans="1:24" ht="24" customHeight="1" x14ac:dyDescent="0.25">
      <c r="A80" s="6" t="str">
        <f>IF(B80="","","D"&amp;TEXT(75,"000"))</f>
        <v/>
      </c>
      <c r="B80" s="15"/>
      <c r="C80" s="15"/>
      <c r="D80" s="15"/>
      <c r="E80" s="15"/>
      <c r="F80" s="15"/>
      <c r="G80" s="13"/>
      <c r="H80" s="13"/>
      <c r="I80" s="16"/>
      <c r="J80" s="9" t="str">
        <f>IF(I80="","",IFERROR(INDEX('Reference Values'!$B$8:$B$12,I80),"?"))</f>
        <v/>
      </c>
      <c r="K80" s="16"/>
      <c r="L80" s="9" t="str">
        <f>IF(K80="","",IFERROR(INDEX('Reference Values'!$B$8:$B$12,K80),"?"))</f>
        <v/>
      </c>
      <c r="M80" s="16"/>
      <c r="N80" s="9" t="str">
        <f>IF(M80="","",IFERROR(INDEX('Reference Values'!$B$8:$B$12,M80),"?"))</f>
        <v/>
      </c>
      <c r="O80" s="17"/>
      <c r="P80" s="18" t="str">
        <f>IF(O80="","",IFERROR(INDEX('Reference Values'!$B$8:$B$12,O80),"?"))</f>
        <v/>
      </c>
      <c r="Q80" s="17"/>
      <c r="R80" s="18" t="str">
        <f>IF(Q80="","",IFERROR(INDEX('Reference Values'!$B$8:$B$12,Q80),"?"))</f>
        <v/>
      </c>
      <c r="S80" s="17"/>
      <c r="T80" s="18" t="str">
        <f>IF(S80="","",IFERROR(INDEX('Reference Values'!$B$8:$B$12,S80),"?"))</f>
        <v/>
      </c>
      <c r="U80" s="13"/>
      <c r="V80" s="13"/>
      <c r="W80" s="13"/>
      <c r="X80" s="19"/>
    </row>
    <row r="81" spans="1:24" ht="24" customHeight="1" x14ac:dyDescent="0.25">
      <c r="A81" s="10" t="str">
        <f>IF(B81="","","D"&amp;TEXT(76,"000"))</f>
        <v/>
      </c>
      <c r="B81" s="20"/>
      <c r="C81" s="20"/>
      <c r="D81" s="20"/>
      <c r="E81" s="20"/>
      <c r="F81" s="20"/>
      <c r="G81" s="13"/>
      <c r="H81" s="13"/>
      <c r="I81" s="16"/>
      <c r="J81" s="9" t="str">
        <f>IF(I81="","",IFERROR(INDEX('Reference Values'!$B$8:$B$12,I81),"?"))</f>
        <v/>
      </c>
      <c r="K81" s="16"/>
      <c r="L81" s="9" t="str">
        <f>IF(K81="","",IFERROR(INDEX('Reference Values'!$B$8:$B$12,K81),"?"))</f>
        <v/>
      </c>
      <c r="M81" s="16"/>
      <c r="N81" s="9" t="str">
        <f>IF(M81="","",IFERROR(INDEX('Reference Values'!$B$8:$B$12,M81),"?"))</f>
        <v/>
      </c>
      <c r="O81" s="21"/>
      <c r="P81" s="18" t="str">
        <f>IF(O81="","",IFERROR(INDEX('Reference Values'!$B$8:$B$12,O81),"?"))</f>
        <v/>
      </c>
      <c r="Q81" s="21"/>
      <c r="R81" s="18" t="str">
        <f>IF(Q81="","",IFERROR(INDEX('Reference Values'!$B$8:$B$12,Q81),"?"))</f>
        <v/>
      </c>
      <c r="S81" s="21"/>
      <c r="T81" s="18" t="str">
        <f>IF(S81="","",IFERROR(INDEX('Reference Values'!$B$8:$B$12,S81),"?"))</f>
        <v/>
      </c>
      <c r="U81" s="13"/>
      <c r="V81" s="13"/>
      <c r="W81" s="13"/>
      <c r="X81" s="22"/>
    </row>
    <row r="82" spans="1:24" ht="24" customHeight="1" x14ac:dyDescent="0.25">
      <c r="A82" s="6" t="str">
        <f>IF(B82="","","D"&amp;TEXT(77,"000"))</f>
        <v/>
      </c>
      <c r="B82" s="15"/>
      <c r="C82" s="15"/>
      <c r="D82" s="15"/>
      <c r="E82" s="15"/>
      <c r="F82" s="15"/>
      <c r="G82" s="13"/>
      <c r="H82" s="13"/>
      <c r="I82" s="16"/>
      <c r="J82" s="9" t="str">
        <f>IF(I82="","",IFERROR(INDEX('Reference Values'!$B$8:$B$12,I82),"?"))</f>
        <v/>
      </c>
      <c r="K82" s="16"/>
      <c r="L82" s="9" t="str">
        <f>IF(K82="","",IFERROR(INDEX('Reference Values'!$B$8:$B$12,K82),"?"))</f>
        <v/>
      </c>
      <c r="M82" s="16"/>
      <c r="N82" s="9" t="str">
        <f>IF(M82="","",IFERROR(INDEX('Reference Values'!$B$8:$B$12,M82),"?"))</f>
        <v/>
      </c>
      <c r="O82" s="17"/>
      <c r="P82" s="18" t="str">
        <f>IF(O82="","",IFERROR(INDEX('Reference Values'!$B$8:$B$12,O82),"?"))</f>
        <v/>
      </c>
      <c r="Q82" s="17"/>
      <c r="R82" s="18" t="str">
        <f>IF(Q82="","",IFERROR(INDEX('Reference Values'!$B$8:$B$12,Q82),"?"))</f>
        <v/>
      </c>
      <c r="S82" s="17"/>
      <c r="T82" s="18" t="str">
        <f>IF(S82="","",IFERROR(INDEX('Reference Values'!$B$8:$B$12,S82),"?"))</f>
        <v/>
      </c>
      <c r="U82" s="13"/>
      <c r="V82" s="13"/>
      <c r="W82" s="13"/>
      <c r="X82" s="19"/>
    </row>
    <row r="83" spans="1:24" ht="24" customHeight="1" x14ac:dyDescent="0.25">
      <c r="A83" s="10" t="str">
        <f>IF(B83="","","D"&amp;TEXT(78,"000"))</f>
        <v/>
      </c>
      <c r="B83" s="20"/>
      <c r="C83" s="20"/>
      <c r="D83" s="20"/>
      <c r="E83" s="20"/>
      <c r="F83" s="20"/>
      <c r="G83" s="13"/>
      <c r="H83" s="13"/>
      <c r="I83" s="16"/>
      <c r="J83" s="9" t="str">
        <f>IF(I83="","",IFERROR(INDEX('Reference Values'!$B$8:$B$12,I83),"?"))</f>
        <v/>
      </c>
      <c r="K83" s="16"/>
      <c r="L83" s="9" t="str">
        <f>IF(K83="","",IFERROR(INDEX('Reference Values'!$B$8:$B$12,K83),"?"))</f>
        <v/>
      </c>
      <c r="M83" s="16"/>
      <c r="N83" s="9" t="str">
        <f>IF(M83="","",IFERROR(INDEX('Reference Values'!$B$8:$B$12,M83),"?"))</f>
        <v/>
      </c>
      <c r="O83" s="21"/>
      <c r="P83" s="18" t="str">
        <f>IF(O83="","",IFERROR(INDEX('Reference Values'!$B$8:$B$12,O83),"?"))</f>
        <v/>
      </c>
      <c r="Q83" s="21"/>
      <c r="R83" s="18" t="str">
        <f>IF(Q83="","",IFERROR(INDEX('Reference Values'!$B$8:$B$12,Q83),"?"))</f>
        <v/>
      </c>
      <c r="S83" s="21"/>
      <c r="T83" s="18" t="str">
        <f>IF(S83="","",IFERROR(INDEX('Reference Values'!$B$8:$B$12,S83),"?"))</f>
        <v/>
      </c>
      <c r="U83" s="13"/>
      <c r="V83" s="13"/>
      <c r="W83" s="13"/>
      <c r="X83" s="22"/>
    </row>
    <row r="84" spans="1:24" ht="24" customHeight="1" x14ac:dyDescent="0.25">
      <c r="A84" s="6" t="str">
        <f>IF(B84="","","D"&amp;TEXT(79,"000"))</f>
        <v/>
      </c>
      <c r="B84" s="15"/>
      <c r="C84" s="15"/>
      <c r="D84" s="15"/>
      <c r="E84" s="15"/>
      <c r="F84" s="15"/>
      <c r="G84" s="13"/>
      <c r="H84" s="13"/>
      <c r="I84" s="16"/>
      <c r="J84" s="9" t="str">
        <f>IF(I84="","",IFERROR(INDEX('Reference Values'!$B$8:$B$12,I84),"?"))</f>
        <v/>
      </c>
      <c r="K84" s="16"/>
      <c r="L84" s="9" t="str">
        <f>IF(K84="","",IFERROR(INDEX('Reference Values'!$B$8:$B$12,K84),"?"))</f>
        <v/>
      </c>
      <c r="M84" s="16"/>
      <c r="N84" s="9" t="str">
        <f>IF(M84="","",IFERROR(INDEX('Reference Values'!$B$8:$B$12,M84),"?"))</f>
        <v/>
      </c>
      <c r="O84" s="17"/>
      <c r="P84" s="18" t="str">
        <f>IF(O84="","",IFERROR(INDEX('Reference Values'!$B$8:$B$12,O84),"?"))</f>
        <v/>
      </c>
      <c r="Q84" s="17"/>
      <c r="R84" s="18" t="str">
        <f>IF(Q84="","",IFERROR(INDEX('Reference Values'!$B$8:$B$12,Q84),"?"))</f>
        <v/>
      </c>
      <c r="S84" s="17"/>
      <c r="T84" s="18" t="str">
        <f>IF(S84="","",IFERROR(INDEX('Reference Values'!$B$8:$B$12,S84),"?"))</f>
        <v/>
      </c>
      <c r="U84" s="13"/>
      <c r="V84" s="13"/>
      <c r="W84" s="13"/>
      <c r="X84" s="19"/>
    </row>
    <row r="85" spans="1:24" ht="24" customHeight="1" x14ac:dyDescent="0.25">
      <c r="A85" s="10" t="str">
        <f>IF(B85="","","D"&amp;TEXT(80,"000"))</f>
        <v/>
      </c>
      <c r="B85" s="20"/>
      <c r="C85" s="20"/>
      <c r="D85" s="20"/>
      <c r="E85" s="20"/>
      <c r="F85" s="20"/>
      <c r="G85" s="13"/>
      <c r="H85" s="13"/>
      <c r="I85" s="16"/>
      <c r="J85" s="9" t="str">
        <f>IF(I85="","",IFERROR(INDEX('Reference Values'!$B$8:$B$12,I85),"?"))</f>
        <v/>
      </c>
      <c r="K85" s="16"/>
      <c r="L85" s="9" t="str">
        <f>IF(K85="","",IFERROR(INDEX('Reference Values'!$B$8:$B$12,K85),"?"))</f>
        <v/>
      </c>
      <c r="M85" s="16"/>
      <c r="N85" s="9" t="str">
        <f>IF(M85="","",IFERROR(INDEX('Reference Values'!$B$8:$B$12,M85),"?"))</f>
        <v/>
      </c>
      <c r="O85" s="21"/>
      <c r="P85" s="18" t="str">
        <f>IF(O85="","",IFERROR(INDEX('Reference Values'!$B$8:$B$12,O85),"?"))</f>
        <v/>
      </c>
      <c r="Q85" s="21"/>
      <c r="R85" s="18" t="str">
        <f>IF(Q85="","",IFERROR(INDEX('Reference Values'!$B$8:$B$12,Q85),"?"))</f>
        <v/>
      </c>
      <c r="S85" s="21"/>
      <c r="T85" s="18" t="str">
        <f>IF(S85="","",IFERROR(INDEX('Reference Values'!$B$8:$B$12,S85),"?"))</f>
        <v/>
      </c>
      <c r="U85" s="13"/>
      <c r="V85" s="13"/>
      <c r="W85" s="13"/>
      <c r="X85" s="22"/>
    </row>
    <row r="86" spans="1:24" ht="24" customHeight="1" x14ac:dyDescent="0.25">
      <c r="A86" s="6" t="str">
        <f>IF(B86="","","D"&amp;TEXT(81,"000"))</f>
        <v/>
      </c>
      <c r="B86" s="15"/>
      <c r="C86" s="15"/>
      <c r="D86" s="15"/>
      <c r="E86" s="15"/>
      <c r="F86" s="15"/>
      <c r="G86" s="13"/>
      <c r="H86" s="13"/>
      <c r="I86" s="16"/>
      <c r="J86" s="9" t="str">
        <f>IF(I86="","",IFERROR(INDEX('Reference Values'!$B$8:$B$12,I86),"?"))</f>
        <v/>
      </c>
      <c r="K86" s="16"/>
      <c r="L86" s="9" t="str">
        <f>IF(K86="","",IFERROR(INDEX('Reference Values'!$B$8:$B$12,K86),"?"))</f>
        <v/>
      </c>
      <c r="M86" s="16"/>
      <c r="N86" s="9" t="str">
        <f>IF(M86="","",IFERROR(INDEX('Reference Values'!$B$8:$B$12,M86),"?"))</f>
        <v/>
      </c>
      <c r="O86" s="17"/>
      <c r="P86" s="18" t="str">
        <f>IF(O86="","",IFERROR(INDEX('Reference Values'!$B$8:$B$12,O86),"?"))</f>
        <v/>
      </c>
      <c r="Q86" s="17"/>
      <c r="R86" s="18" t="str">
        <f>IF(Q86="","",IFERROR(INDEX('Reference Values'!$B$8:$B$12,Q86),"?"))</f>
        <v/>
      </c>
      <c r="S86" s="17"/>
      <c r="T86" s="18" t="str">
        <f>IF(S86="","",IFERROR(INDEX('Reference Values'!$B$8:$B$12,S86),"?"))</f>
        <v/>
      </c>
      <c r="U86" s="13"/>
      <c r="V86" s="13"/>
      <c r="W86" s="13"/>
      <c r="X86" s="19"/>
    </row>
    <row r="87" spans="1:24" ht="24" customHeight="1" x14ac:dyDescent="0.25">
      <c r="A87" s="10" t="str">
        <f>IF(B87="","","D"&amp;TEXT(82,"000"))</f>
        <v/>
      </c>
      <c r="B87" s="20"/>
      <c r="C87" s="20"/>
      <c r="D87" s="20"/>
      <c r="E87" s="20"/>
      <c r="F87" s="20"/>
      <c r="G87" s="13"/>
      <c r="H87" s="13"/>
      <c r="I87" s="16"/>
      <c r="J87" s="9" t="str">
        <f>IF(I87="","",IFERROR(INDEX('Reference Values'!$B$8:$B$12,I87),"?"))</f>
        <v/>
      </c>
      <c r="K87" s="16"/>
      <c r="L87" s="9" t="str">
        <f>IF(K87="","",IFERROR(INDEX('Reference Values'!$B$8:$B$12,K87),"?"))</f>
        <v/>
      </c>
      <c r="M87" s="16"/>
      <c r="N87" s="9" t="str">
        <f>IF(M87="","",IFERROR(INDEX('Reference Values'!$B$8:$B$12,M87),"?"))</f>
        <v/>
      </c>
      <c r="O87" s="21"/>
      <c r="P87" s="18" t="str">
        <f>IF(O87="","",IFERROR(INDEX('Reference Values'!$B$8:$B$12,O87),"?"))</f>
        <v/>
      </c>
      <c r="Q87" s="21"/>
      <c r="R87" s="18" t="str">
        <f>IF(Q87="","",IFERROR(INDEX('Reference Values'!$B$8:$B$12,Q87),"?"))</f>
        <v/>
      </c>
      <c r="S87" s="21"/>
      <c r="T87" s="18" t="str">
        <f>IF(S87="","",IFERROR(INDEX('Reference Values'!$B$8:$B$12,S87),"?"))</f>
        <v/>
      </c>
      <c r="U87" s="13"/>
      <c r="V87" s="13"/>
      <c r="W87" s="13"/>
      <c r="X87" s="22"/>
    </row>
    <row r="88" spans="1:24" ht="24" customHeight="1" x14ac:dyDescent="0.25">
      <c r="A88" s="6" t="str">
        <f>IF(B88="","","D"&amp;TEXT(83,"000"))</f>
        <v/>
      </c>
      <c r="B88" s="15"/>
      <c r="C88" s="15"/>
      <c r="D88" s="15"/>
      <c r="E88" s="15"/>
      <c r="F88" s="15"/>
      <c r="G88" s="13"/>
      <c r="H88" s="13"/>
      <c r="I88" s="16"/>
      <c r="J88" s="9" t="str">
        <f>IF(I88="","",IFERROR(INDEX('Reference Values'!$B$8:$B$12,I88),"?"))</f>
        <v/>
      </c>
      <c r="K88" s="16"/>
      <c r="L88" s="9" t="str">
        <f>IF(K88="","",IFERROR(INDEX('Reference Values'!$B$8:$B$12,K88),"?"))</f>
        <v/>
      </c>
      <c r="M88" s="16"/>
      <c r="N88" s="9" t="str">
        <f>IF(M88="","",IFERROR(INDEX('Reference Values'!$B$8:$B$12,M88),"?"))</f>
        <v/>
      </c>
      <c r="O88" s="17"/>
      <c r="P88" s="18" t="str">
        <f>IF(O88="","",IFERROR(INDEX('Reference Values'!$B$8:$B$12,O88),"?"))</f>
        <v/>
      </c>
      <c r="Q88" s="17"/>
      <c r="R88" s="18" t="str">
        <f>IF(Q88="","",IFERROR(INDEX('Reference Values'!$B$8:$B$12,Q88),"?"))</f>
        <v/>
      </c>
      <c r="S88" s="17"/>
      <c r="T88" s="18" t="str">
        <f>IF(S88="","",IFERROR(INDEX('Reference Values'!$B$8:$B$12,S88),"?"))</f>
        <v/>
      </c>
      <c r="U88" s="13"/>
      <c r="V88" s="13"/>
      <c r="W88" s="13"/>
      <c r="X88" s="19"/>
    </row>
    <row r="89" spans="1:24" ht="24" customHeight="1" x14ac:dyDescent="0.25">
      <c r="A89" s="10" t="str">
        <f>IF(B89="","","D"&amp;TEXT(84,"000"))</f>
        <v/>
      </c>
      <c r="B89" s="20"/>
      <c r="C89" s="20"/>
      <c r="D89" s="20"/>
      <c r="E89" s="20"/>
      <c r="F89" s="20"/>
      <c r="G89" s="13"/>
      <c r="H89" s="13"/>
      <c r="I89" s="16"/>
      <c r="J89" s="9" t="str">
        <f>IF(I89="","",IFERROR(INDEX('Reference Values'!$B$8:$B$12,I89),"?"))</f>
        <v/>
      </c>
      <c r="K89" s="16"/>
      <c r="L89" s="9" t="str">
        <f>IF(K89="","",IFERROR(INDEX('Reference Values'!$B$8:$B$12,K89),"?"))</f>
        <v/>
      </c>
      <c r="M89" s="16"/>
      <c r="N89" s="9" t="str">
        <f>IF(M89="","",IFERROR(INDEX('Reference Values'!$B$8:$B$12,M89),"?"))</f>
        <v/>
      </c>
      <c r="O89" s="21"/>
      <c r="P89" s="18" t="str">
        <f>IF(O89="","",IFERROR(INDEX('Reference Values'!$B$8:$B$12,O89),"?"))</f>
        <v/>
      </c>
      <c r="Q89" s="21"/>
      <c r="R89" s="18" t="str">
        <f>IF(Q89="","",IFERROR(INDEX('Reference Values'!$B$8:$B$12,Q89),"?"))</f>
        <v/>
      </c>
      <c r="S89" s="21"/>
      <c r="T89" s="18" t="str">
        <f>IF(S89="","",IFERROR(INDEX('Reference Values'!$B$8:$B$12,S89),"?"))</f>
        <v/>
      </c>
      <c r="U89" s="13"/>
      <c r="V89" s="13"/>
      <c r="W89" s="13"/>
      <c r="X89" s="22"/>
    </row>
    <row r="90" spans="1:24" ht="24" customHeight="1" x14ac:dyDescent="0.25">
      <c r="A90" s="6" t="str">
        <f>IF(B90="","","D"&amp;TEXT(85,"000"))</f>
        <v/>
      </c>
      <c r="B90" s="15"/>
      <c r="C90" s="15"/>
      <c r="D90" s="15"/>
      <c r="E90" s="15"/>
      <c r="F90" s="15"/>
      <c r="G90" s="13"/>
      <c r="H90" s="13"/>
      <c r="I90" s="16"/>
      <c r="J90" s="9" t="str">
        <f>IF(I90="","",IFERROR(INDEX('Reference Values'!$B$8:$B$12,I90),"?"))</f>
        <v/>
      </c>
      <c r="K90" s="16"/>
      <c r="L90" s="9" t="str">
        <f>IF(K90="","",IFERROR(INDEX('Reference Values'!$B$8:$B$12,K90),"?"))</f>
        <v/>
      </c>
      <c r="M90" s="16"/>
      <c r="N90" s="9" t="str">
        <f>IF(M90="","",IFERROR(INDEX('Reference Values'!$B$8:$B$12,M90),"?"))</f>
        <v/>
      </c>
      <c r="O90" s="17"/>
      <c r="P90" s="18" t="str">
        <f>IF(O90="","",IFERROR(INDEX('Reference Values'!$B$8:$B$12,O90),"?"))</f>
        <v/>
      </c>
      <c r="Q90" s="17"/>
      <c r="R90" s="18" t="str">
        <f>IF(Q90="","",IFERROR(INDEX('Reference Values'!$B$8:$B$12,Q90),"?"))</f>
        <v/>
      </c>
      <c r="S90" s="17"/>
      <c r="T90" s="18" t="str">
        <f>IF(S90="","",IFERROR(INDEX('Reference Values'!$B$8:$B$12,S90),"?"))</f>
        <v/>
      </c>
      <c r="U90" s="13"/>
      <c r="V90" s="13"/>
      <c r="W90" s="13"/>
      <c r="X90" s="19"/>
    </row>
    <row r="91" spans="1:24" ht="24" customHeight="1" x14ac:dyDescent="0.25">
      <c r="A91" s="10" t="str">
        <f>IF(B91="","","D"&amp;TEXT(86,"000"))</f>
        <v/>
      </c>
      <c r="B91" s="20"/>
      <c r="C91" s="20"/>
      <c r="D91" s="20"/>
      <c r="E91" s="20"/>
      <c r="F91" s="20"/>
      <c r="G91" s="13"/>
      <c r="H91" s="13"/>
      <c r="I91" s="16"/>
      <c r="J91" s="9" t="str">
        <f>IF(I91="","",IFERROR(INDEX('Reference Values'!$B$8:$B$12,I91),"?"))</f>
        <v/>
      </c>
      <c r="K91" s="16"/>
      <c r="L91" s="9" t="str">
        <f>IF(K91="","",IFERROR(INDEX('Reference Values'!$B$8:$B$12,K91),"?"))</f>
        <v/>
      </c>
      <c r="M91" s="16"/>
      <c r="N91" s="9" t="str">
        <f>IF(M91="","",IFERROR(INDEX('Reference Values'!$B$8:$B$12,M91),"?"))</f>
        <v/>
      </c>
      <c r="O91" s="21"/>
      <c r="P91" s="18" t="str">
        <f>IF(O91="","",IFERROR(INDEX('Reference Values'!$B$8:$B$12,O91),"?"))</f>
        <v/>
      </c>
      <c r="Q91" s="21"/>
      <c r="R91" s="18" t="str">
        <f>IF(Q91="","",IFERROR(INDEX('Reference Values'!$B$8:$B$12,Q91),"?"))</f>
        <v/>
      </c>
      <c r="S91" s="21"/>
      <c r="T91" s="18" t="str">
        <f>IF(S91="","",IFERROR(INDEX('Reference Values'!$B$8:$B$12,S91),"?"))</f>
        <v/>
      </c>
      <c r="U91" s="13"/>
      <c r="V91" s="13"/>
      <c r="W91" s="13"/>
      <c r="X91" s="22"/>
    </row>
    <row r="92" spans="1:24" ht="24" customHeight="1" x14ac:dyDescent="0.25">
      <c r="A92" s="6" t="str">
        <f>IF(B92="","","D"&amp;TEXT(87,"000"))</f>
        <v/>
      </c>
      <c r="B92" s="15"/>
      <c r="C92" s="15"/>
      <c r="D92" s="15"/>
      <c r="E92" s="15"/>
      <c r="F92" s="15"/>
      <c r="G92" s="13"/>
      <c r="H92" s="13"/>
      <c r="I92" s="16"/>
      <c r="J92" s="9" t="str">
        <f>IF(I92="","",IFERROR(INDEX('Reference Values'!$B$8:$B$12,I92),"?"))</f>
        <v/>
      </c>
      <c r="K92" s="16"/>
      <c r="L92" s="9" t="str">
        <f>IF(K92="","",IFERROR(INDEX('Reference Values'!$B$8:$B$12,K92),"?"))</f>
        <v/>
      </c>
      <c r="M92" s="16"/>
      <c r="N92" s="9" t="str">
        <f>IF(M92="","",IFERROR(INDEX('Reference Values'!$B$8:$B$12,M92),"?"))</f>
        <v/>
      </c>
      <c r="O92" s="17"/>
      <c r="P92" s="18" t="str">
        <f>IF(O92="","",IFERROR(INDEX('Reference Values'!$B$8:$B$12,O92),"?"))</f>
        <v/>
      </c>
      <c r="Q92" s="17"/>
      <c r="R92" s="18" t="str">
        <f>IF(Q92="","",IFERROR(INDEX('Reference Values'!$B$8:$B$12,Q92),"?"))</f>
        <v/>
      </c>
      <c r="S92" s="17"/>
      <c r="T92" s="18" t="str">
        <f>IF(S92="","",IFERROR(INDEX('Reference Values'!$B$8:$B$12,S92),"?"))</f>
        <v/>
      </c>
      <c r="U92" s="13"/>
      <c r="V92" s="13"/>
      <c r="W92" s="13"/>
      <c r="X92" s="19"/>
    </row>
    <row r="93" spans="1:24" ht="24" customHeight="1" x14ac:dyDescent="0.25">
      <c r="A93" s="10" t="str">
        <f>IF(B93="","","D"&amp;TEXT(88,"000"))</f>
        <v/>
      </c>
      <c r="B93" s="20"/>
      <c r="C93" s="20"/>
      <c r="D93" s="20"/>
      <c r="E93" s="20"/>
      <c r="F93" s="20"/>
      <c r="G93" s="13"/>
      <c r="H93" s="13"/>
      <c r="I93" s="16"/>
      <c r="J93" s="9" t="str">
        <f>IF(I93="","",IFERROR(INDEX('Reference Values'!$B$8:$B$12,I93),"?"))</f>
        <v/>
      </c>
      <c r="K93" s="16"/>
      <c r="L93" s="9" t="str">
        <f>IF(K93="","",IFERROR(INDEX('Reference Values'!$B$8:$B$12,K93),"?"))</f>
        <v/>
      </c>
      <c r="M93" s="16"/>
      <c r="N93" s="9" t="str">
        <f>IF(M93="","",IFERROR(INDEX('Reference Values'!$B$8:$B$12,M93),"?"))</f>
        <v/>
      </c>
      <c r="O93" s="21"/>
      <c r="P93" s="18" t="str">
        <f>IF(O93="","",IFERROR(INDEX('Reference Values'!$B$8:$B$12,O93),"?"))</f>
        <v/>
      </c>
      <c r="Q93" s="21"/>
      <c r="R93" s="18" t="str">
        <f>IF(Q93="","",IFERROR(INDEX('Reference Values'!$B$8:$B$12,Q93),"?"))</f>
        <v/>
      </c>
      <c r="S93" s="21"/>
      <c r="T93" s="18" t="str">
        <f>IF(S93="","",IFERROR(INDEX('Reference Values'!$B$8:$B$12,S93),"?"))</f>
        <v/>
      </c>
      <c r="U93" s="13"/>
      <c r="V93" s="13"/>
      <c r="W93" s="13"/>
      <c r="X93" s="22"/>
    </row>
    <row r="94" spans="1:24" ht="24" customHeight="1" x14ac:dyDescent="0.25">
      <c r="A94" s="6" t="str">
        <f>IF(B94="","","D"&amp;TEXT(89,"000"))</f>
        <v/>
      </c>
      <c r="B94" s="15"/>
      <c r="C94" s="15"/>
      <c r="D94" s="15"/>
      <c r="E94" s="15"/>
      <c r="F94" s="15"/>
      <c r="G94" s="13"/>
      <c r="H94" s="13"/>
      <c r="I94" s="16"/>
      <c r="J94" s="9" t="str">
        <f>IF(I94="","",IFERROR(INDEX('Reference Values'!$B$8:$B$12,I94),"?"))</f>
        <v/>
      </c>
      <c r="K94" s="16"/>
      <c r="L94" s="9" t="str">
        <f>IF(K94="","",IFERROR(INDEX('Reference Values'!$B$8:$B$12,K94),"?"))</f>
        <v/>
      </c>
      <c r="M94" s="16"/>
      <c r="N94" s="9" t="str">
        <f>IF(M94="","",IFERROR(INDEX('Reference Values'!$B$8:$B$12,M94),"?"))</f>
        <v/>
      </c>
      <c r="O94" s="17"/>
      <c r="P94" s="18" t="str">
        <f>IF(O94="","",IFERROR(INDEX('Reference Values'!$B$8:$B$12,O94),"?"))</f>
        <v/>
      </c>
      <c r="Q94" s="17"/>
      <c r="R94" s="18" t="str">
        <f>IF(Q94="","",IFERROR(INDEX('Reference Values'!$B$8:$B$12,Q94),"?"))</f>
        <v/>
      </c>
      <c r="S94" s="17"/>
      <c r="T94" s="18" t="str">
        <f>IF(S94="","",IFERROR(INDEX('Reference Values'!$B$8:$B$12,S94),"?"))</f>
        <v/>
      </c>
      <c r="U94" s="13"/>
      <c r="V94" s="13"/>
      <c r="W94" s="13"/>
      <c r="X94" s="19"/>
    </row>
    <row r="95" spans="1:24" ht="24" customHeight="1" x14ac:dyDescent="0.25">
      <c r="A95" s="10" t="str">
        <f>IF(B95="","","D"&amp;TEXT(90,"000"))</f>
        <v/>
      </c>
      <c r="B95" s="20"/>
      <c r="C95" s="20"/>
      <c r="D95" s="20"/>
      <c r="E95" s="20"/>
      <c r="F95" s="20"/>
      <c r="G95" s="13"/>
      <c r="H95" s="13"/>
      <c r="I95" s="16"/>
      <c r="J95" s="9" t="str">
        <f>IF(I95="","",IFERROR(INDEX('Reference Values'!$B$8:$B$12,I95),"?"))</f>
        <v/>
      </c>
      <c r="K95" s="16"/>
      <c r="L95" s="9" t="str">
        <f>IF(K95="","",IFERROR(INDEX('Reference Values'!$B$8:$B$12,K95),"?"))</f>
        <v/>
      </c>
      <c r="M95" s="16"/>
      <c r="N95" s="9" t="str">
        <f>IF(M95="","",IFERROR(INDEX('Reference Values'!$B$8:$B$12,M95),"?"))</f>
        <v/>
      </c>
      <c r="O95" s="21"/>
      <c r="P95" s="18" t="str">
        <f>IF(O95="","",IFERROR(INDEX('Reference Values'!$B$8:$B$12,O95),"?"))</f>
        <v/>
      </c>
      <c r="Q95" s="21"/>
      <c r="R95" s="18" t="str">
        <f>IF(Q95="","",IFERROR(INDEX('Reference Values'!$B$8:$B$12,Q95),"?"))</f>
        <v/>
      </c>
      <c r="S95" s="21"/>
      <c r="T95" s="18" t="str">
        <f>IF(S95="","",IFERROR(INDEX('Reference Values'!$B$8:$B$12,S95),"?"))</f>
        <v/>
      </c>
      <c r="U95" s="13"/>
      <c r="V95" s="13"/>
      <c r="W95" s="13"/>
      <c r="X95" s="22"/>
    </row>
    <row r="96" spans="1:24" ht="24" customHeight="1" x14ac:dyDescent="0.25">
      <c r="A96" s="6" t="str">
        <f>IF(B96="","","D"&amp;TEXT(91,"000"))</f>
        <v/>
      </c>
      <c r="B96" s="15"/>
      <c r="C96" s="15"/>
      <c r="D96" s="15"/>
      <c r="E96" s="15"/>
      <c r="F96" s="15"/>
      <c r="G96" s="13"/>
      <c r="H96" s="13"/>
      <c r="I96" s="16"/>
      <c r="J96" s="9" t="str">
        <f>IF(I96="","",IFERROR(INDEX('Reference Values'!$B$8:$B$12,I96),"?"))</f>
        <v/>
      </c>
      <c r="K96" s="16"/>
      <c r="L96" s="9" t="str">
        <f>IF(K96="","",IFERROR(INDEX('Reference Values'!$B$8:$B$12,K96),"?"))</f>
        <v/>
      </c>
      <c r="M96" s="16"/>
      <c r="N96" s="9" t="str">
        <f>IF(M96="","",IFERROR(INDEX('Reference Values'!$B$8:$B$12,M96),"?"))</f>
        <v/>
      </c>
      <c r="O96" s="17"/>
      <c r="P96" s="18" t="str">
        <f>IF(O96="","",IFERROR(INDEX('Reference Values'!$B$8:$B$12,O96),"?"))</f>
        <v/>
      </c>
      <c r="Q96" s="17"/>
      <c r="R96" s="18" t="str">
        <f>IF(Q96="","",IFERROR(INDEX('Reference Values'!$B$8:$B$12,Q96),"?"))</f>
        <v/>
      </c>
      <c r="S96" s="17"/>
      <c r="T96" s="18" t="str">
        <f>IF(S96="","",IFERROR(INDEX('Reference Values'!$B$8:$B$12,S96),"?"))</f>
        <v/>
      </c>
      <c r="U96" s="13"/>
      <c r="V96" s="13"/>
      <c r="W96" s="13"/>
      <c r="X96" s="19"/>
    </row>
    <row r="97" spans="1:24" ht="24" customHeight="1" x14ac:dyDescent="0.25">
      <c r="A97" s="10" t="str">
        <f>IF(B97="","","D"&amp;TEXT(92,"000"))</f>
        <v/>
      </c>
      <c r="B97" s="20"/>
      <c r="C97" s="20"/>
      <c r="D97" s="20"/>
      <c r="E97" s="20"/>
      <c r="F97" s="20"/>
      <c r="G97" s="13"/>
      <c r="H97" s="13"/>
      <c r="I97" s="16"/>
      <c r="J97" s="9" t="str">
        <f>IF(I97="","",IFERROR(INDEX('Reference Values'!$B$8:$B$12,I97),"?"))</f>
        <v/>
      </c>
      <c r="K97" s="16"/>
      <c r="L97" s="9" t="str">
        <f>IF(K97="","",IFERROR(INDEX('Reference Values'!$B$8:$B$12,K97),"?"))</f>
        <v/>
      </c>
      <c r="M97" s="16"/>
      <c r="N97" s="9" t="str">
        <f>IF(M97="","",IFERROR(INDEX('Reference Values'!$B$8:$B$12,M97),"?"))</f>
        <v/>
      </c>
      <c r="O97" s="21"/>
      <c r="P97" s="18" t="str">
        <f>IF(O97="","",IFERROR(INDEX('Reference Values'!$B$8:$B$12,O97),"?"))</f>
        <v/>
      </c>
      <c r="Q97" s="21"/>
      <c r="R97" s="18" t="str">
        <f>IF(Q97="","",IFERROR(INDEX('Reference Values'!$B$8:$B$12,Q97),"?"))</f>
        <v/>
      </c>
      <c r="S97" s="21"/>
      <c r="T97" s="18" t="str">
        <f>IF(S97="","",IFERROR(INDEX('Reference Values'!$B$8:$B$12,S97),"?"))</f>
        <v/>
      </c>
      <c r="U97" s="13"/>
      <c r="V97" s="13"/>
      <c r="W97" s="13"/>
      <c r="X97" s="22"/>
    </row>
    <row r="98" spans="1:24" ht="24" customHeight="1" x14ac:dyDescent="0.25">
      <c r="A98" s="6" t="str">
        <f>IF(B98="","","D"&amp;TEXT(93,"000"))</f>
        <v/>
      </c>
      <c r="B98" s="15"/>
      <c r="C98" s="15"/>
      <c r="D98" s="15"/>
      <c r="E98" s="15"/>
      <c r="F98" s="15"/>
      <c r="G98" s="13"/>
      <c r="H98" s="13"/>
      <c r="I98" s="16"/>
      <c r="J98" s="9" t="str">
        <f>IF(I98="","",IFERROR(INDEX('Reference Values'!$B$8:$B$12,I98),"?"))</f>
        <v/>
      </c>
      <c r="K98" s="16"/>
      <c r="L98" s="9" t="str">
        <f>IF(K98="","",IFERROR(INDEX('Reference Values'!$B$8:$B$12,K98),"?"))</f>
        <v/>
      </c>
      <c r="M98" s="16"/>
      <c r="N98" s="9" t="str">
        <f>IF(M98="","",IFERROR(INDEX('Reference Values'!$B$8:$B$12,M98),"?"))</f>
        <v/>
      </c>
      <c r="O98" s="17"/>
      <c r="P98" s="18" t="str">
        <f>IF(O98="","",IFERROR(INDEX('Reference Values'!$B$8:$B$12,O98),"?"))</f>
        <v/>
      </c>
      <c r="Q98" s="17"/>
      <c r="R98" s="18" t="str">
        <f>IF(Q98="","",IFERROR(INDEX('Reference Values'!$B$8:$B$12,Q98),"?"))</f>
        <v/>
      </c>
      <c r="S98" s="17"/>
      <c r="T98" s="18" t="str">
        <f>IF(S98="","",IFERROR(INDEX('Reference Values'!$B$8:$B$12,S98),"?"))</f>
        <v/>
      </c>
      <c r="U98" s="13"/>
      <c r="V98" s="13"/>
      <c r="W98" s="13"/>
      <c r="X98" s="19"/>
    </row>
    <row r="99" spans="1:24" ht="24" customHeight="1" x14ac:dyDescent="0.25">
      <c r="A99" s="10" t="str">
        <f>IF(B99="","","D"&amp;TEXT(94,"000"))</f>
        <v/>
      </c>
      <c r="B99" s="20"/>
      <c r="C99" s="20"/>
      <c r="D99" s="20"/>
      <c r="E99" s="20"/>
      <c r="F99" s="20"/>
      <c r="G99" s="13"/>
      <c r="H99" s="13"/>
      <c r="I99" s="16"/>
      <c r="J99" s="9" t="str">
        <f>IF(I99="","",IFERROR(INDEX('Reference Values'!$B$8:$B$12,I99),"?"))</f>
        <v/>
      </c>
      <c r="K99" s="16"/>
      <c r="L99" s="9" t="str">
        <f>IF(K99="","",IFERROR(INDEX('Reference Values'!$B$8:$B$12,K99),"?"))</f>
        <v/>
      </c>
      <c r="M99" s="16"/>
      <c r="N99" s="9" t="str">
        <f>IF(M99="","",IFERROR(INDEX('Reference Values'!$B$8:$B$12,M99),"?"))</f>
        <v/>
      </c>
      <c r="O99" s="21"/>
      <c r="P99" s="18" t="str">
        <f>IF(O99="","",IFERROR(INDEX('Reference Values'!$B$8:$B$12,O99),"?"))</f>
        <v/>
      </c>
      <c r="Q99" s="21"/>
      <c r="R99" s="18" t="str">
        <f>IF(Q99="","",IFERROR(INDEX('Reference Values'!$B$8:$B$12,Q99),"?"))</f>
        <v/>
      </c>
      <c r="S99" s="21"/>
      <c r="T99" s="18" t="str">
        <f>IF(S99="","",IFERROR(INDEX('Reference Values'!$B$8:$B$12,S99),"?"))</f>
        <v/>
      </c>
      <c r="U99" s="13"/>
      <c r="V99" s="13"/>
      <c r="W99" s="13"/>
      <c r="X99" s="22"/>
    </row>
    <row r="100" spans="1:24" ht="24" customHeight="1" x14ac:dyDescent="0.25">
      <c r="A100" s="6" t="str">
        <f>IF(B100="","","D"&amp;TEXT(95,"000"))</f>
        <v/>
      </c>
      <c r="B100" s="15"/>
      <c r="C100" s="15"/>
      <c r="D100" s="15"/>
      <c r="E100" s="15"/>
      <c r="F100" s="15"/>
      <c r="G100" s="13"/>
      <c r="H100" s="13"/>
      <c r="I100" s="16"/>
      <c r="J100" s="9" t="str">
        <f>IF(I100="","",IFERROR(INDEX('Reference Values'!$B$8:$B$12,I100),"?"))</f>
        <v/>
      </c>
      <c r="K100" s="16"/>
      <c r="L100" s="9" t="str">
        <f>IF(K100="","",IFERROR(INDEX('Reference Values'!$B$8:$B$12,K100),"?"))</f>
        <v/>
      </c>
      <c r="M100" s="16"/>
      <c r="N100" s="9" t="str">
        <f>IF(M100="","",IFERROR(INDEX('Reference Values'!$B$8:$B$12,M100),"?"))</f>
        <v/>
      </c>
      <c r="O100" s="17"/>
      <c r="P100" s="18" t="str">
        <f>IF(O100="","",IFERROR(INDEX('Reference Values'!$B$8:$B$12,O100),"?"))</f>
        <v/>
      </c>
      <c r="Q100" s="17"/>
      <c r="R100" s="18" t="str">
        <f>IF(Q100="","",IFERROR(INDEX('Reference Values'!$B$8:$B$12,Q100),"?"))</f>
        <v/>
      </c>
      <c r="S100" s="17"/>
      <c r="T100" s="18" t="str">
        <f>IF(S100="","",IFERROR(INDEX('Reference Values'!$B$8:$B$12,S100),"?"))</f>
        <v/>
      </c>
      <c r="U100" s="13"/>
      <c r="V100" s="13"/>
      <c r="W100" s="13"/>
      <c r="X100" s="19"/>
    </row>
    <row r="101" spans="1:24" ht="24" customHeight="1" x14ac:dyDescent="0.25">
      <c r="A101" s="10" t="str">
        <f>IF(B101="","","D"&amp;TEXT(96,"000"))</f>
        <v/>
      </c>
      <c r="B101" s="20"/>
      <c r="C101" s="20"/>
      <c r="D101" s="20"/>
      <c r="E101" s="20"/>
      <c r="F101" s="20"/>
      <c r="G101" s="13"/>
      <c r="H101" s="13"/>
      <c r="I101" s="16"/>
      <c r="J101" s="9" t="str">
        <f>IF(I101="","",IFERROR(INDEX('Reference Values'!$B$8:$B$12,I101),"?"))</f>
        <v/>
      </c>
      <c r="K101" s="16"/>
      <c r="L101" s="9" t="str">
        <f>IF(K101="","",IFERROR(INDEX('Reference Values'!$B$8:$B$12,K101),"?"))</f>
        <v/>
      </c>
      <c r="M101" s="16"/>
      <c r="N101" s="9" t="str">
        <f>IF(M101="","",IFERROR(INDEX('Reference Values'!$B$8:$B$12,M101),"?"))</f>
        <v/>
      </c>
      <c r="O101" s="21"/>
      <c r="P101" s="18" t="str">
        <f>IF(O101="","",IFERROR(INDEX('Reference Values'!$B$8:$B$12,O101),"?"))</f>
        <v/>
      </c>
      <c r="Q101" s="21"/>
      <c r="R101" s="18" t="str">
        <f>IF(Q101="","",IFERROR(INDEX('Reference Values'!$B$8:$B$12,Q101),"?"))</f>
        <v/>
      </c>
      <c r="S101" s="21"/>
      <c r="T101" s="18" t="str">
        <f>IF(S101="","",IFERROR(INDEX('Reference Values'!$B$8:$B$12,S101),"?"))</f>
        <v/>
      </c>
      <c r="U101" s="13"/>
      <c r="V101" s="13"/>
      <c r="W101" s="13"/>
      <c r="X101" s="22"/>
    </row>
    <row r="102" spans="1:24" ht="24" customHeight="1" x14ac:dyDescent="0.25">
      <c r="A102" s="6" t="str">
        <f>IF(B102="","","D"&amp;TEXT(97,"000"))</f>
        <v/>
      </c>
      <c r="B102" s="15"/>
      <c r="C102" s="15"/>
      <c r="D102" s="15"/>
      <c r="E102" s="15"/>
      <c r="F102" s="15"/>
      <c r="G102" s="13"/>
      <c r="H102" s="13"/>
      <c r="I102" s="16"/>
      <c r="J102" s="9" t="str">
        <f>IF(I102="","",IFERROR(INDEX('Reference Values'!$B$8:$B$12,I102),"?"))</f>
        <v/>
      </c>
      <c r="K102" s="16"/>
      <c r="L102" s="9" t="str">
        <f>IF(K102="","",IFERROR(INDEX('Reference Values'!$B$8:$B$12,K102),"?"))</f>
        <v/>
      </c>
      <c r="M102" s="16"/>
      <c r="N102" s="9" t="str">
        <f>IF(M102="","",IFERROR(INDEX('Reference Values'!$B$8:$B$12,M102),"?"))</f>
        <v/>
      </c>
      <c r="O102" s="17"/>
      <c r="P102" s="18" t="str">
        <f>IF(O102="","",IFERROR(INDEX('Reference Values'!$B$8:$B$12,O102),"?"))</f>
        <v/>
      </c>
      <c r="Q102" s="17"/>
      <c r="R102" s="18" t="str">
        <f>IF(Q102="","",IFERROR(INDEX('Reference Values'!$B$8:$B$12,Q102),"?"))</f>
        <v/>
      </c>
      <c r="S102" s="17"/>
      <c r="T102" s="18" t="str">
        <f>IF(S102="","",IFERROR(INDEX('Reference Values'!$B$8:$B$12,S102),"?"))</f>
        <v/>
      </c>
      <c r="U102" s="13"/>
      <c r="V102" s="13"/>
      <c r="W102" s="13"/>
      <c r="X102" s="19"/>
    </row>
    <row r="103" spans="1:24" ht="24" customHeight="1" x14ac:dyDescent="0.25">
      <c r="A103" s="10" t="str">
        <f>IF(B103="","","D"&amp;TEXT(98,"000"))</f>
        <v/>
      </c>
      <c r="B103" s="20"/>
      <c r="C103" s="20"/>
      <c r="D103" s="20"/>
      <c r="E103" s="20"/>
      <c r="F103" s="20"/>
      <c r="G103" s="13"/>
      <c r="H103" s="13"/>
      <c r="I103" s="16"/>
      <c r="J103" s="9" t="str">
        <f>IF(I103="","",IFERROR(INDEX('Reference Values'!$B$8:$B$12,I103),"?"))</f>
        <v/>
      </c>
      <c r="K103" s="16"/>
      <c r="L103" s="9" t="str">
        <f>IF(K103="","",IFERROR(INDEX('Reference Values'!$B$8:$B$12,K103),"?"))</f>
        <v/>
      </c>
      <c r="M103" s="16"/>
      <c r="N103" s="9" t="str">
        <f>IF(M103="","",IFERROR(INDEX('Reference Values'!$B$8:$B$12,M103),"?"))</f>
        <v/>
      </c>
      <c r="O103" s="21"/>
      <c r="P103" s="18" t="str">
        <f>IF(O103="","",IFERROR(INDEX('Reference Values'!$B$8:$B$12,O103),"?"))</f>
        <v/>
      </c>
      <c r="Q103" s="21"/>
      <c r="R103" s="18" t="str">
        <f>IF(Q103="","",IFERROR(INDEX('Reference Values'!$B$8:$B$12,Q103),"?"))</f>
        <v/>
      </c>
      <c r="S103" s="21"/>
      <c r="T103" s="18" t="str">
        <f>IF(S103="","",IFERROR(INDEX('Reference Values'!$B$8:$B$12,S103),"?"))</f>
        <v/>
      </c>
      <c r="U103" s="13"/>
      <c r="V103" s="13"/>
      <c r="W103" s="13"/>
      <c r="X103" s="22"/>
    </row>
    <row r="104" spans="1:24" ht="24" customHeight="1" x14ac:dyDescent="0.25">
      <c r="A104" s="6" t="str">
        <f>IF(B104="","","D"&amp;TEXT(99,"000"))</f>
        <v/>
      </c>
      <c r="B104" s="15"/>
      <c r="C104" s="15"/>
      <c r="D104" s="15"/>
      <c r="E104" s="15"/>
      <c r="F104" s="15"/>
      <c r="G104" s="13"/>
      <c r="H104" s="13"/>
      <c r="I104" s="16"/>
      <c r="J104" s="9" t="str">
        <f>IF(I104="","",IFERROR(INDEX('Reference Values'!$B$8:$B$12,I104),"?"))</f>
        <v/>
      </c>
      <c r="K104" s="16"/>
      <c r="L104" s="9" t="str">
        <f>IF(K104="","",IFERROR(INDEX('Reference Values'!$B$8:$B$12,K104),"?"))</f>
        <v/>
      </c>
      <c r="M104" s="16"/>
      <c r="N104" s="9" t="str">
        <f>IF(M104="","",IFERROR(INDEX('Reference Values'!$B$8:$B$12,M104),"?"))</f>
        <v/>
      </c>
      <c r="O104" s="17"/>
      <c r="P104" s="18" t="str">
        <f>IF(O104="","",IFERROR(INDEX('Reference Values'!$B$8:$B$12,O104),"?"))</f>
        <v/>
      </c>
      <c r="Q104" s="17"/>
      <c r="R104" s="18" t="str">
        <f>IF(Q104="","",IFERROR(INDEX('Reference Values'!$B$8:$B$12,Q104),"?"))</f>
        <v/>
      </c>
      <c r="S104" s="17"/>
      <c r="T104" s="18" t="str">
        <f>IF(S104="","",IFERROR(INDEX('Reference Values'!$B$8:$B$12,S104),"?"))</f>
        <v/>
      </c>
      <c r="U104" s="13"/>
      <c r="V104" s="13"/>
      <c r="W104" s="13"/>
      <c r="X104" s="19"/>
    </row>
    <row r="105" spans="1:24" ht="24" customHeight="1" x14ac:dyDescent="0.25">
      <c r="A105" s="10" t="str">
        <f>IF(B105="","","D"&amp;TEXT(100,"000"))</f>
        <v/>
      </c>
      <c r="B105" s="20"/>
      <c r="C105" s="20"/>
      <c r="D105" s="20"/>
      <c r="E105" s="20"/>
      <c r="F105" s="20"/>
      <c r="G105" s="13"/>
      <c r="H105" s="13"/>
      <c r="I105" s="16"/>
      <c r="J105" s="9" t="str">
        <f>IF(I105="","",IFERROR(INDEX('Reference Values'!$B$8:$B$12,I105),"?"))</f>
        <v/>
      </c>
      <c r="K105" s="16"/>
      <c r="L105" s="9" t="str">
        <f>IF(K105="","",IFERROR(INDEX('Reference Values'!$B$8:$B$12,K105),"?"))</f>
        <v/>
      </c>
      <c r="M105" s="16"/>
      <c r="N105" s="9" t="str">
        <f>IF(M105="","",IFERROR(INDEX('Reference Values'!$B$8:$B$12,M105),"?"))</f>
        <v/>
      </c>
      <c r="O105" s="21"/>
      <c r="P105" s="18" t="str">
        <f>IF(O105="","",IFERROR(INDEX('Reference Values'!$B$8:$B$12,O105),"?"))</f>
        <v/>
      </c>
      <c r="Q105" s="21"/>
      <c r="R105" s="18" t="str">
        <f>IF(Q105="","",IFERROR(INDEX('Reference Values'!$B$8:$B$12,Q105),"?"))</f>
        <v/>
      </c>
      <c r="S105" s="21"/>
      <c r="T105" s="18" t="str">
        <f>IF(S105="","",IFERROR(INDEX('Reference Values'!$B$8:$B$12,S105),"?"))</f>
        <v/>
      </c>
      <c r="U105" s="13"/>
      <c r="V105" s="13"/>
      <c r="W105" s="13"/>
      <c r="X105" s="22"/>
    </row>
  </sheetData>
  <sheetProtection sheet="1" sort="0" autoFilter="0"/>
  <autoFilter ref="A5:X5" xr:uid="{00000000-0009-0000-0000-000004000000}"/>
  <mergeCells count="12">
    <mergeCell ref="A1:X1"/>
    <mergeCell ref="I4:N4"/>
    <mergeCell ref="A3:X3"/>
    <mergeCell ref="O5:P5"/>
    <mergeCell ref="A2:X2"/>
    <mergeCell ref="Q5:R5"/>
    <mergeCell ref="S5:T5"/>
    <mergeCell ref="O4:T4"/>
    <mergeCell ref="U4:W4"/>
    <mergeCell ref="K5:L5"/>
    <mergeCell ref="I5:J5"/>
    <mergeCell ref="M5:N5"/>
  </mergeCells>
  <conditionalFormatting sqref="I6:I105">
    <cfRule type="expression" dxfId="60" priority="1">
      <formula>I6=1</formula>
    </cfRule>
    <cfRule type="expression" dxfId="59" priority="3">
      <formula>I6=2</formula>
    </cfRule>
    <cfRule type="expression" dxfId="58" priority="5">
      <formula>I6=3</formula>
    </cfRule>
    <cfRule type="expression" dxfId="57" priority="7">
      <formula>I6=4</formula>
    </cfRule>
    <cfRule type="expression" dxfId="56" priority="9">
      <formula>I6=5</formula>
    </cfRule>
  </conditionalFormatting>
  <conditionalFormatting sqref="J6:J105">
    <cfRule type="expression" dxfId="55" priority="2">
      <formula>I6=1</formula>
    </cfRule>
    <cfRule type="expression" dxfId="54" priority="4">
      <formula>I6=2</formula>
    </cfRule>
    <cfRule type="expression" dxfId="53" priority="6">
      <formula>I6=3</formula>
    </cfRule>
    <cfRule type="expression" dxfId="52" priority="8">
      <formula>I6=4</formula>
    </cfRule>
    <cfRule type="expression" dxfId="51" priority="10">
      <formula>I6=5</formula>
    </cfRule>
  </conditionalFormatting>
  <conditionalFormatting sqref="K6:K105">
    <cfRule type="expression" dxfId="50" priority="11">
      <formula>K6=1</formula>
    </cfRule>
    <cfRule type="expression" dxfId="49" priority="13">
      <formula>K6=2</formula>
    </cfRule>
    <cfRule type="expression" dxfId="48" priority="15">
      <formula>K6=3</formula>
    </cfRule>
    <cfRule type="expression" dxfId="47" priority="17">
      <formula>K6=4</formula>
    </cfRule>
    <cfRule type="expression" dxfId="46" priority="19">
      <formula>K6=5</formula>
    </cfRule>
  </conditionalFormatting>
  <conditionalFormatting sqref="L6:L105">
    <cfRule type="expression" dxfId="45" priority="12">
      <formula>K6=1</formula>
    </cfRule>
    <cfRule type="expression" dxfId="44" priority="14">
      <formula>K6=2</formula>
    </cfRule>
    <cfRule type="expression" dxfId="43" priority="16">
      <formula>K6=3</formula>
    </cfRule>
    <cfRule type="expression" dxfId="42" priority="18">
      <formula>K6=4</formula>
    </cfRule>
    <cfRule type="expression" dxfId="41" priority="20">
      <formula>K6=5</formula>
    </cfRule>
  </conditionalFormatting>
  <conditionalFormatting sqref="M6:M105">
    <cfRule type="expression" dxfId="40" priority="21">
      <formula>M6=1</formula>
    </cfRule>
    <cfRule type="expression" dxfId="39" priority="23">
      <formula>M6=2</formula>
    </cfRule>
    <cfRule type="expression" dxfId="38" priority="25">
      <formula>M6=3</formula>
    </cfRule>
    <cfRule type="expression" dxfId="37" priority="27">
      <formula>M6=4</formula>
    </cfRule>
    <cfRule type="expression" dxfId="36" priority="29">
      <formula>M6=5</formula>
    </cfRule>
  </conditionalFormatting>
  <conditionalFormatting sqref="N6:N105">
    <cfRule type="expression" dxfId="35" priority="22">
      <formula>M6=1</formula>
    </cfRule>
    <cfRule type="expression" dxfId="34" priority="24">
      <formula>M6=2</formula>
    </cfRule>
    <cfRule type="expression" dxfId="33" priority="26">
      <formula>M6=3</formula>
    </cfRule>
    <cfRule type="expression" dxfId="32" priority="28">
      <formula>M6=4</formula>
    </cfRule>
    <cfRule type="expression" dxfId="31" priority="30">
      <formula>M6=5</formula>
    </cfRule>
  </conditionalFormatting>
  <conditionalFormatting sqref="O6:O105">
    <cfRule type="expression" dxfId="30" priority="31">
      <formula>O6=1</formula>
    </cfRule>
    <cfRule type="expression" dxfId="29" priority="39">
      <formula>O6=5</formula>
    </cfRule>
    <cfRule type="expression" dxfId="28" priority="33">
      <formula>O6=2</formula>
    </cfRule>
    <cfRule type="expression" dxfId="27" priority="35">
      <formula>O6=3</formula>
    </cfRule>
    <cfRule type="expression" dxfId="26" priority="37">
      <formula>O6=4</formula>
    </cfRule>
  </conditionalFormatting>
  <conditionalFormatting sqref="P6:P105">
    <cfRule type="expression" dxfId="25" priority="36">
      <formula>O6=3</formula>
    </cfRule>
    <cfRule type="expression" dxfId="24" priority="34">
      <formula>O6=2</formula>
    </cfRule>
    <cfRule type="expression" dxfId="23" priority="38">
      <formula>O6=4</formula>
    </cfRule>
    <cfRule type="expression" dxfId="22" priority="32">
      <formula>O6=1</formula>
    </cfRule>
    <cfRule type="expression" dxfId="21" priority="40">
      <formula>O6=5</formula>
    </cfRule>
  </conditionalFormatting>
  <conditionalFormatting sqref="Q6:Q105">
    <cfRule type="expression" dxfId="20" priority="41">
      <formula>Q6=1</formula>
    </cfRule>
    <cfRule type="expression" dxfId="19" priority="43">
      <formula>Q6=2</formula>
    </cfRule>
    <cfRule type="expression" dxfId="18" priority="45">
      <formula>Q6=3</formula>
    </cfRule>
    <cfRule type="expression" dxfId="17" priority="47">
      <formula>Q6=4</formula>
    </cfRule>
    <cfRule type="expression" dxfId="16" priority="49">
      <formula>Q6=5</formula>
    </cfRule>
  </conditionalFormatting>
  <conditionalFormatting sqref="R6:R105">
    <cfRule type="expression" dxfId="15" priority="42">
      <formula>Q6=1</formula>
    </cfRule>
    <cfRule type="expression" dxfId="14" priority="44">
      <formula>Q6=2</formula>
    </cfRule>
    <cfRule type="expression" dxfId="13" priority="46">
      <formula>Q6=3</formula>
    </cfRule>
    <cfRule type="expression" dxfId="12" priority="48">
      <formula>Q6=4</formula>
    </cfRule>
    <cfRule type="expression" dxfId="11" priority="50">
      <formula>Q6=5</formula>
    </cfRule>
  </conditionalFormatting>
  <conditionalFormatting sqref="S6:S105">
    <cfRule type="expression" dxfId="10" priority="51">
      <formula>S6=1</formula>
    </cfRule>
    <cfRule type="expression" dxfId="9" priority="53">
      <formula>S6=2</formula>
    </cfRule>
    <cfRule type="expression" dxfId="8" priority="55">
      <formula>S6=3</formula>
    </cfRule>
    <cfRule type="expression" dxfId="7" priority="57">
      <formula>S6=4</formula>
    </cfRule>
    <cfRule type="expression" dxfId="6" priority="59">
      <formula>S6=5</formula>
    </cfRule>
  </conditionalFormatting>
  <conditionalFormatting sqref="T6:T105">
    <cfRule type="expression" dxfId="5" priority="52">
      <formula>S6=1</formula>
    </cfRule>
    <cfRule type="expression" dxfId="4" priority="54">
      <formula>S6=2</formula>
    </cfRule>
    <cfRule type="expression" dxfId="3" priority="56">
      <formula>S6=3</formula>
    </cfRule>
    <cfRule type="expression" dxfId="2" priority="58">
      <formula>S6=4</formula>
    </cfRule>
    <cfRule type="expression" dxfId="1" priority="60">
      <formula>S6=5</formula>
    </cfRule>
  </conditionalFormatting>
  <conditionalFormatting sqref="U6:W105">
    <cfRule type="expression" dxfId="0" priority="61">
      <formula>U6&lt;&gt;""</formula>
    </cfRule>
  </conditionalFormatting>
  <dataValidations count="1">
    <dataValidation type="list" allowBlank="1" sqref="I6:I105 S6:S105 Q6:Q105 O6:O105 M6:M105 K6:K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52" t="str">
        <f>IFERROR(INDEX(_Lang!$B$2:$D$300,MATCH("verant_title",_Lang!$A$2:$A$300,0),IF(Config!$D$9="NL",1,IF(Config!$D$9="FR",2,3))),"[verant_title]")</f>
        <v>Verantwoordelijken</v>
      </c>
      <c r="B1" s="50"/>
      <c r="C1" s="50"/>
      <c r="D1" s="50"/>
      <c r="E1" s="50"/>
      <c r="F1" s="50"/>
      <c r="G1" s="50"/>
      <c r="H1" s="50"/>
      <c r="I1" s="50"/>
    </row>
    <row r="2" spans="1:9" ht="21.95" customHeight="1" x14ac:dyDescent="0.25">
      <c r="A2" s="55" t="str">
        <f>IFERROR(INDEX(_Lang!$B$2:$D$300,MATCH("app_tagline",_Lang!$A$2:$A$300,0),IF(Config!$D$9="NL",1,IF(Config!$D$9="FR",2,3))),"[app_tagline]")</f>
        <v>Governance · Risico · Compliance</v>
      </c>
      <c r="B2" s="50"/>
      <c r="C2" s="50"/>
      <c r="D2" s="50"/>
      <c r="E2" s="50"/>
      <c r="F2" s="50"/>
      <c r="G2" s="50"/>
      <c r="H2" s="50"/>
      <c r="I2" s="50"/>
    </row>
    <row r="3" spans="1:9" ht="21.95" customHeight="1" x14ac:dyDescent="0.25">
      <c r="A3" s="63" t="str">
        <f>IFERROR(INDEX(_Lang!$B$2:$D$300,MATCH("verant_subtitle",_Lang!$A$2:$A$300,0),IF(Config!$D$9="NL",1,IF(Config!$D$9="FR",2,3))),"[verant_subtitle]")</f>
        <v>Overzicht van contactpersonen en hun GRC-rol.</v>
      </c>
      <c r="B3" s="50"/>
      <c r="C3" s="50"/>
      <c r="D3" s="50"/>
      <c r="E3" s="50"/>
      <c r="F3" s="50"/>
      <c r="G3" s="50"/>
      <c r="H3" s="50"/>
      <c r="I3" s="50"/>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5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500-000000000000}">
          <x14:formula1>
            <xm:f>INDIRECT("roles_"&amp;Config!$D$9)</xm:f>
          </x14:formula1>
          <xm:sqref>H6:H55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E22"/>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52" t="str">
        <f>IFERROR(INDEX(_Lang!$B$2:$D$300,MATCH("ie_title",_Lang!$A$2:$A$300,0),IF(Config!$D$9="NL",1,IF(Config!$D$9="FR",2,3))),"[ie_title]")</f>
        <v>Import &amp; Export</v>
      </c>
      <c r="B1" s="50"/>
      <c r="C1" s="50"/>
      <c r="D1" s="50"/>
      <c r="E1" s="50"/>
    </row>
    <row r="2" spans="1:5" ht="21.95" customHeight="1" x14ac:dyDescent="0.25">
      <c r="A2" s="55" t="str">
        <f>IFERROR(INDEX(_Lang!$B$2:$D$300,MATCH("app_tagline",_Lang!$A$2:$A$300,0),IF(Config!$D$9="NL",1,IF(Config!$D$9="FR",2,3))),"[app_tagline]")</f>
        <v>Governance · Risico · Compliance</v>
      </c>
      <c r="B2" s="50"/>
      <c r="C2" s="50"/>
      <c r="D2" s="50"/>
      <c r="E2" s="50"/>
    </row>
    <row r="3" spans="1:5" ht="21.95" customHeight="1" x14ac:dyDescent="0.25">
      <c r="A3" s="63" t="str">
        <f>IFERROR(INDEX(_Lang!$B$2:$D$300,MATCH("ie_subtitle",_Lang!$A$2:$A$300,0),IF(Config!$D$9="NL",1,IF(Config!$D$9="FR",2,3))),"[ie_subtitle]")</f>
        <v>Importeer gegevens vanuit externe bronnen of exporteer het GRC-register.</v>
      </c>
      <c r="B3" s="50"/>
      <c r="C3" s="50"/>
      <c r="D3" s="50"/>
      <c r="E3" s="50"/>
    </row>
    <row r="4" spans="1:5" ht="9.9499999999999993" customHeight="1" x14ac:dyDescent="0.25"/>
    <row r="5" spans="1:5" ht="20.100000000000001" customHeight="1" x14ac:dyDescent="0.25">
      <c r="B5" s="49" t="str">
        <f>IFERROR(INDEX(_Lang!$B$2:$D$300,MATCH("ie_section_import",_Lang!$A$2:$A$300,0),IF(Config!$D$9="NL",1,IF(Config!$D$9="FR",2,3))),"[ie_section_import]")</f>
        <v>IMPORTEREN</v>
      </c>
      <c r="C5" s="50"/>
      <c r="D5" s="50"/>
      <c r="E5" s="50"/>
    </row>
    <row r="6" spans="1:5" ht="33.950000000000003" customHeight="1" x14ac:dyDescent="0.25">
      <c r="B6" s="23" t="str">
        <f>IFERROR(INDEX(_Lang!$B$2:$D$300,MATCH("ie_import_all_btn",_Lang!$A$2:$A$300,0),IF(Config!$D$9="NL",1,IF(Config!$D$9="FR",2,3))),"[ie_import_all_btn]")</f>
        <v>Importeer Alles</v>
      </c>
    </row>
    <row r="7" spans="1:5" ht="44.1" customHeight="1" x14ac:dyDescent="0.25">
      <c r="B7" s="68" t="str">
        <f>IFERROR(INDEX(_Lang!$B$2:$D$300,MATCH("ie_import_all_desc",_Lang!$A$2:$A$300,0),IF(Config!$D$9="NL",1,IF(Config!$D$9="FR",2,3))),"[ie_import_all_desc]")</f>
        <v>Selecteer de Access-database en importeer processen, informatieassets én afhankelijke assets in één stap. Koppelingen worden automatisch mee ingeladen.</v>
      </c>
      <c r="C7" s="50"/>
      <c r="D7" s="50"/>
    </row>
    <row r="8" spans="1:5" ht="9.9499999999999993" customHeight="1" x14ac:dyDescent="0.25"/>
    <row r="9" spans="1:5" ht="20.100000000000001" customHeight="1" x14ac:dyDescent="0.25">
      <c r="B9" s="49" t="str">
        <f>IFERROR(INDEX(_Lang!$B$2:$D$300,MATCH("ie_section_export",_Lang!$A$2:$A$300,0),IF(Config!$D$9="NL",1,IF(Config!$D$9="FR",2,3))),"[ie_section_export]")</f>
        <v>EXPORTEREN</v>
      </c>
      <c r="C9" s="50"/>
      <c r="D9" s="50"/>
      <c r="E9" s="50"/>
    </row>
    <row r="10" spans="1:5" ht="33.950000000000003" customHeight="1" x14ac:dyDescent="0.25">
      <c r="B10" s="24" t="str">
        <f>IFERROR(INDEX(_Lang!$B$2:$D$300,MATCH("ie_export_btn",_Lang!$A$2:$A$300,0),IF(Config!$D$9="NL",1,IF(Config!$D$9="FR",2,3))),"[ie_export_btn]")</f>
        <v>Exporteer alle gegevens</v>
      </c>
    </row>
    <row r="11" spans="1:5" ht="44.1" customHeight="1" x14ac:dyDescent="0.25">
      <c r="B11" s="68" t="str">
        <f>IFERROR(INDEX(_Lang!$B$2:$D$300,MATCH("ie_export_desc",_Lang!$A$2:$A$300,0),IF(Config!$D$9="NL",1,IF(Config!$D$9="FR",2,3))),"[ie_export_desc]")</f>
        <v>Exporteert de bladen Processen, Informatieassets en Verantwoordelijken naar een nieuw Excel-bestand.</v>
      </c>
      <c r="C11" s="50"/>
      <c r="D11" s="50"/>
    </row>
    <row r="12" spans="1:5" ht="9.9499999999999993" customHeight="1" x14ac:dyDescent="0.25"/>
    <row r="13" spans="1:5" ht="20.100000000000001" customHeight="1" x14ac:dyDescent="0.25">
      <c r="B13" s="49" t="str">
        <f>IFERROR(INDEX(_Lang!$B$2:$D$300,MATCH("ie_section_info",_Lang!$A$2:$A$300,0),IF(Config!$D$9="NL",1,IF(Config!$D$9="FR",2,3))),"[ie_section_info]")</f>
        <v>TABELSTRUCTUUR BRONBESTAND</v>
      </c>
      <c r="C13" s="50"/>
      <c r="D13" s="50"/>
      <c r="E13" s="50"/>
    </row>
    <row r="14" spans="1:5" ht="21.95" customHeight="1" x14ac:dyDescent="0.25">
      <c r="B14" s="70" t="str">
        <f>IFERROR(INDEX(_Lang!$B$2:$D$300,MATCH("ie_table_proc",_Lang!$A$2:$A$300,0),IF(Config!$D$9="NL",1,IF(Config!$D$9="FR",2,3))),"[ie_table_proc]")</f>
        <v>T - Processes in scope</v>
      </c>
      <c r="C14" s="50"/>
      <c r="D14" s="50"/>
    </row>
    <row r="15" spans="1:5" ht="18" customHeight="1" x14ac:dyDescent="0.25">
      <c r="B15" s="69" t="str">
        <f>IFERROR(INDEX(_Lang!$B$2:$D$300,MATCH("ie_col_hint",_Lang!$A$2:$A$300,0),IF(Config!$D$9="NL",1,IF(Config!$D$9="FR",2,3))),"[ie_col_hint]")</f>
        <v>Ondersteunde kolomnamen (niet hoofdlettergevoelig):</v>
      </c>
      <c r="C15" s="50"/>
      <c r="D15" s="50"/>
    </row>
    <row r="16" spans="1:5" ht="51.95" customHeight="1" x14ac:dyDescent="0.25">
      <c r="B16" s="72" t="s">
        <v>5</v>
      </c>
      <c r="C16" s="50"/>
      <c r="D16" s="50"/>
    </row>
    <row r="18" spans="2:4" ht="21.95" customHeight="1" x14ac:dyDescent="0.25">
      <c r="B18" s="70" t="str">
        <f>IFERROR(INDEX(_Lang!$B$2:$D$300,MATCH("ie_table_asset",_Lang!$A$2:$A$300,0),IF(Config!$D$9="NL",1,IF(Config!$D$9="FR",2,3))),"[ie_table_asset]")</f>
        <v>T - Information Assets</v>
      </c>
      <c r="C18" s="50"/>
      <c r="D18" s="50"/>
    </row>
    <row r="19" spans="2:4" ht="18" customHeight="1" x14ac:dyDescent="0.25">
      <c r="B19" s="69" t="str">
        <f>IFERROR(INDEX(_Lang!$B$2:$D$300,MATCH("ie_col_hint",_Lang!$A$2:$A$300,0),IF(Config!$D$9="NL",1,IF(Config!$D$9="FR",2,3))),"[ie_col_hint]")</f>
        <v>Ondersteunde kolomnamen (niet hoofdlettergevoelig):</v>
      </c>
      <c r="C19" s="50"/>
      <c r="D19" s="50"/>
    </row>
    <row r="20" spans="2:4" ht="51.95" customHeight="1" x14ac:dyDescent="0.25">
      <c r="B20" s="72" t="s">
        <v>6</v>
      </c>
      <c r="C20" s="50"/>
      <c r="D20" s="50"/>
    </row>
    <row r="22" spans="2:4" ht="21.95" customHeight="1" x14ac:dyDescent="0.25">
      <c r="B22" s="71" t="str">
        <f>IFERROR(INDEX(_Lang!$B$2:$D$300,MATCH("ie_macro_hint",_Lang!$A$2:$A$300,0),IF(Config!$D$9="NL",1,IF(Config!$D$9="FR",2,3))),"[ie_macro_hint]")</f>
        <v>De macro's zijn ingebouwd in dit bestand (Module: GRC_Macros). Klik op de knoppen hierboven om te starten.</v>
      </c>
      <c r="C22" s="50"/>
      <c r="D22" s="50"/>
    </row>
  </sheetData>
  <mergeCells count="15">
    <mergeCell ref="B22:D22"/>
    <mergeCell ref="B18:D18"/>
    <mergeCell ref="A1:E1"/>
    <mergeCell ref="B5:E5"/>
    <mergeCell ref="B15:D15"/>
    <mergeCell ref="B7:D7"/>
    <mergeCell ref="B16:D16"/>
    <mergeCell ref="B20:D20"/>
    <mergeCell ref="A3:E3"/>
    <mergeCell ref="B11:D11"/>
    <mergeCell ref="B9:E9"/>
    <mergeCell ref="B19:D19"/>
    <mergeCell ref="B14:D14"/>
    <mergeCell ref="A2:E2"/>
    <mergeCell ref="B13:E13"/>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52" t="str">
        <f>IFERROR(INDEX(_Lang!$B$2:$D$300,MATCH("ref_title",_Lang!$A$2:$A$300,0),IF(Config!$D$9="NL",1,IF(Config!$D$9="FR",2,3))),"[ref_title]")</f>
        <v>Referentiewaarden en Classificatieschalen</v>
      </c>
      <c r="B1" s="50"/>
      <c r="C1" s="50"/>
      <c r="D1" s="50"/>
      <c r="E1" s="50"/>
      <c r="F1" s="50"/>
    </row>
    <row r="2" spans="1:6" ht="21.95" customHeight="1" x14ac:dyDescent="0.25">
      <c r="A2" s="55" t="str">
        <f>IFERROR(INDEX(_Lang!$B$2:$D$300,MATCH("app_tagline",_Lang!$A$2:$A$300,0),IF(Config!$D$9="NL",1,IF(Config!$D$9="FR",2,3))),"[app_tagline]")</f>
        <v>Governance · Risico · Compliance</v>
      </c>
      <c r="B2" s="50"/>
      <c r="C2" s="50"/>
      <c r="D2" s="50"/>
      <c r="E2" s="50"/>
      <c r="F2" s="50"/>
    </row>
    <row r="3" spans="1:6" ht="30" customHeight="1" x14ac:dyDescent="0.25">
      <c r="A3" s="74" t="str">
        <f>IFERROR(INDEX(_Lang!$B$2:$D$300,MATCH("ref_subtitle",_Lang!$A$2:$A$300,0),IF(Config!$D$9="NL",1,IF(Config!$D$9="FR",2,3))),"[ref_subtitle]")</f>
        <v>Gebruik deze schalen bij het invullen van de classificatievelden (1 = Laag … 5 = Kritiek).</v>
      </c>
      <c r="B3" s="50"/>
      <c r="C3" s="50"/>
      <c r="D3" s="50"/>
      <c r="E3" s="50"/>
      <c r="F3" s="50"/>
    </row>
    <row r="4" spans="1:6" ht="9.9499999999999993" customHeight="1" x14ac:dyDescent="0.25"/>
    <row r="5" spans="1:6" ht="20.100000000000001" customHeight="1" x14ac:dyDescent="0.25">
      <c r="A5" s="49" t="str">
        <f>IFERROR(INDEX(_Lang!$B$2:$D$300,MATCH("ref_section_int",_Lang!$A$2:$A$300,0),IF(Config!$D$9="NL",1,IF(Config!$D$9="FR",2,3))),"[ref_section_int]")</f>
        <v>INTEGRITEIT</v>
      </c>
      <c r="B5" s="50"/>
      <c r="C5" s="50"/>
      <c r="D5" s="50"/>
      <c r="E5" s="50"/>
      <c r="F5" s="50"/>
    </row>
    <row r="6" spans="1:6" ht="21.95" customHeight="1" x14ac:dyDescent="0.25">
      <c r="A6" s="79" t="str">
        <f>IFERROR(INDEX(_Lang!$B$2:$D$300,MATCH("ref_int_subtitle",_Lang!$A$2:$A$300,0),IF(Config!$D$9="NL",1,IF(Config!$D$9="FR",2,3))),"[ref_int_subtitle]")</f>
        <v>Mate van correctheid, volledigheid en betrouwbaarheid van gegevens.</v>
      </c>
      <c r="B6" s="50"/>
      <c r="C6" s="50"/>
      <c r="D6" s="50"/>
      <c r="E6" s="50"/>
      <c r="F6" s="50"/>
    </row>
    <row r="7" spans="1:6" ht="26.1" customHeight="1" x14ac:dyDescent="0.25">
      <c r="A7" s="25" t="str">
        <f>IFERROR(INDEX(_Lang!$B$2:$D$300,MATCH("ref_level",_Lang!$A$2:$A$300,0),IF(Config!$D$9="NL",1,IF(Config!$D$9="FR",2,3))),"[ref_level]")</f>
        <v>Niveau</v>
      </c>
      <c r="B7" s="25" t="str">
        <f>IFERROR(INDEX(_Lang!$B$2:$D$300,MATCH("ref_label",_Lang!$A$2:$A$300,0),IF(Config!$D$9="NL",1,IF(Config!$D$9="FR",2,3))),"[ref_label]")</f>
        <v>Benaming</v>
      </c>
      <c r="C7" s="25" t="str">
        <f>IFERROR(INDEX(_Lang!$B$2:$D$300,MATCH("ref_description",_Lang!$A$2:$A$300,0),IF(Config!$D$9="NL",1,IF(Config!$D$9="FR",2,3))),"[ref_description]")</f>
        <v>Omschrijving</v>
      </c>
    </row>
    <row r="8" spans="1:6" ht="51.95" customHeight="1" x14ac:dyDescent="0.25">
      <c r="A8" s="26">
        <v>1</v>
      </c>
      <c r="B8" s="27" t="str">
        <f>IFERROR(INDEX(_Lang!$B$2:$D$300,MATCH("ref_lvl1_label",_Lang!$A$2:$A$300,0),IF(Config!$D$9="NL",1,IF(Config!$D$9="FR",2,3))),"[ref_lvl1_label]")</f>
        <v>Laag</v>
      </c>
      <c r="C8" s="73" t="str">
        <f>IFERROR(INDEX(_Lang!$B$2:$D$300,MATCH("ref_int_1",_Lang!$A$2:$A$300,0),IF(Config!$D$9="NL",1,IF(Config!$D$9="FR",2,3))),"[ref_int_1]")</f>
        <v>Fouten hebben geen impact op beslissingen of dienstverlening.</v>
      </c>
      <c r="D8" s="50"/>
      <c r="E8" s="50"/>
      <c r="F8" s="50"/>
    </row>
    <row r="9" spans="1:6" ht="51.95" customHeight="1" x14ac:dyDescent="0.25">
      <c r="A9" s="28">
        <v>2</v>
      </c>
      <c r="B9" s="29" t="str">
        <f>IFERROR(INDEX(_Lang!$B$2:$D$300,MATCH("ref_lvl2_label",_Lang!$A$2:$A$300,0),IF(Config!$D$9="NL",1,IF(Config!$D$9="FR",2,3))),"[ref_lvl2_label]")</f>
        <v>Gemiddeld</v>
      </c>
      <c r="C9" s="76" t="str">
        <f>IFERROR(INDEX(_Lang!$B$2:$D$300,MATCH("ref_int_2",_Lang!$A$2:$A$300,0),IF(Config!$D$9="NL",1,IF(Config!$D$9="FR",2,3))),"[ref_int_2]")</f>
        <v>Fouten kunnen leiden tot beperkte fouten in beslissingen.</v>
      </c>
      <c r="D9" s="50"/>
      <c r="E9" s="50"/>
      <c r="F9" s="50"/>
    </row>
    <row r="10" spans="1:6" ht="51.95" customHeight="1" x14ac:dyDescent="0.25">
      <c r="A10" s="30">
        <v>3</v>
      </c>
      <c r="B10" s="31" t="str">
        <f>IFERROR(INDEX(_Lang!$B$2:$D$300,MATCH("ref_lvl3_label",_Lang!$A$2:$A$300,0),IF(Config!$D$9="NL",1,IF(Config!$D$9="FR",2,3))),"[ref_lvl3_label]")</f>
        <v>Hoog</v>
      </c>
      <c r="C10" s="75" t="str">
        <f>IFERROR(INDEX(_Lang!$B$2:$D$300,MATCH("ref_int_3",_Lang!$A$2:$A$300,0),IF(Config!$D$9="NL",1,IF(Config!$D$9="FR",2,3))),"[ref_int_3]")</f>
        <v>Fouten leiden tot verkeerde beslissingen met significante gevolgen.</v>
      </c>
      <c r="D10" s="50"/>
      <c r="E10" s="50"/>
      <c r="F10" s="50"/>
    </row>
    <row r="11" spans="1:6" ht="51.95" customHeight="1" x14ac:dyDescent="0.25">
      <c r="A11" s="32">
        <v>4</v>
      </c>
      <c r="B11" s="33" t="str">
        <f>IFERROR(INDEX(_Lang!$B$2:$D$300,MATCH("ref_lvl4_label",_Lang!$A$2:$A$300,0),IF(Config!$D$9="NL",1,IF(Config!$D$9="FR",2,3))),"[ref_lvl4_label]")</f>
        <v>Zeer Hoog</v>
      </c>
      <c r="C11" s="78" t="str">
        <f>IFERROR(INDEX(_Lang!$B$2:$D$300,MATCH("ref_int_4",_Lang!$A$2:$A$300,0),IF(Config!$D$9="NL",1,IF(Config!$D$9="FR",2,3))),"[ref_int_4]")</f>
        <v>Fouten leiden tot grove schade: gevaar, juridische gevolgen, schending van rechten.</v>
      </c>
      <c r="D11" s="50"/>
      <c r="E11" s="50"/>
      <c r="F11" s="50"/>
    </row>
    <row r="12" spans="1:6" ht="51.95" customHeight="1" x14ac:dyDescent="0.25">
      <c r="A12" s="34">
        <v>5</v>
      </c>
      <c r="B12" s="35" t="str">
        <f>IFERROR(INDEX(_Lang!$B$2:$D$300,MATCH("ref_lvl5_label",_Lang!$A$2:$A$300,0),IF(Config!$D$9="NL",1,IF(Config!$D$9="FR",2,3))),"[ref_lvl5_label]")</f>
        <v>Classified</v>
      </c>
      <c r="C12" s="77" t="str">
        <f>IFERROR(INDEX(_Lang!$B$2:$D$300,MATCH("ref_int_5",_Lang!$A$2:$A$300,0),IF(Config!$D$9="NL",1,IF(Config!$D$9="FR",2,3))),"[ref_int_5]")</f>
        <v>Fouten kunnen leiden tot onherstelbare schade, gevaar voor nationale veiligheid of fundamentele schending van grondrechten.</v>
      </c>
      <c r="D12" s="50"/>
      <c r="E12" s="50"/>
      <c r="F12" s="50"/>
    </row>
    <row r="14" spans="1:6" ht="20.100000000000001" customHeight="1" x14ac:dyDescent="0.25">
      <c r="A14" s="49" t="str">
        <f>IFERROR(INDEX(_Lang!$B$2:$D$300,MATCH("ref_section_avail",_Lang!$A$2:$A$300,0),IF(Config!$D$9="NL",1,IF(Config!$D$9="FR",2,3))),"[ref_section_avail]")</f>
        <v>BESCHIKBAARHEID</v>
      </c>
      <c r="B14" s="50"/>
      <c r="C14" s="50"/>
      <c r="D14" s="50"/>
      <c r="E14" s="50"/>
      <c r="F14" s="50"/>
    </row>
    <row r="15" spans="1:6" ht="21.95" customHeight="1" x14ac:dyDescent="0.25">
      <c r="A15" s="79" t="str">
        <f>IFERROR(INDEX(_Lang!$B$2:$D$300,MATCH("ref_avail_subtitle",_Lang!$A$2:$A$300,0),IF(Config!$D$9="NL",1,IF(Config!$D$9="FR",2,3))),"[ref_avail_subtitle]")</f>
        <v>Mate van toegankelijkheid wanneer dat nodig is.</v>
      </c>
      <c r="B15" s="50"/>
      <c r="C15" s="50"/>
      <c r="D15" s="50"/>
      <c r="E15" s="50"/>
      <c r="F15" s="50"/>
    </row>
    <row r="16" spans="1:6" ht="26.1" customHeight="1" x14ac:dyDescent="0.25">
      <c r="A16" s="25" t="str">
        <f>IFERROR(INDEX(_Lang!$B$2:$D$300,MATCH("ref_level",_Lang!$A$2:$A$300,0),IF(Config!$D$9="NL",1,IF(Config!$D$9="FR",2,3))),"[ref_level]")</f>
        <v>Niveau</v>
      </c>
      <c r="B16" s="25" t="str">
        <f>IFERROR(INDEX(_Lang!$B$2:$D$300,MATCH("ref_label",_Lang!$A$2:$A$300,0),IF(Config!$D$9="NL",1,IF(Config!$D$9="FR",2,3))),"[ref_label]")</f>
        <v>Benaming</v>
      </c>
      <c r="C16" s="25" t="str">
        <f>IFERROR(INDEX(_Lang!$B$2:$D$300,MATCH("ref_description",_Lang!$A$2:$A$300,0),IF(Config!$D$9="NL",1,IF(Config!$D$9="FR",2,3))),"[ref_description]")</f>
        <v>Omschrijving</v>
      </c>
    </row>
    <row r="17" spans="1:6" ht="51.95" customHeight="1" x14ac:dyDescent="0.25">
      <c r="A17" s="26">
        <v>1</v>
      </c>
      <c r="B17" s="27" t="str">
        <f>IFERROR(INDEX(_Lang!$B$2:$D$300,MATCH("ref_lvl1_label",_Lang!$A$2:$A$300,0),IF(Config!$D$9="NL",1,IF(Config!$D$9="FR",2,3))),"[ref_lvl1_label]")</f>
        <v>Laag</v>
      </c>
      <c r="C17" s="73" t="str">
        <f>IFERROR(INDEX(_Lang!$B$2:$D$300,MATCH("ref_avail_1",_Lang!$A$2:$A$300,0),IF(Config!$D$9="NL",1,IF(Config!$D$9="FR",2,3))),"[ref_avail_1]")</f>
        <v>Uitval heeft geen merkbare impact. Processen lopen handmatig verder.</v>
      </c>
      <c r="D17" s="50"/>
      <c r="E17" s="50"/>
      <c r="F17" s="50"/>
    </row>
    <row r="18" spans="1:6" ht="51.95" customHeight="1" x14ac:dyDescent="0.25">
      <c r="A18" s="28">
        <v>2</v>
      </c>
      <c r="B18" s="29" t="str">
        <f>IFERROR(INDEX(_Lang!$B$2:$D$300,MATCH("ref_lvl2_label",_Lang!$A$2:$A$300,0),IF(Config!$D$9="NL",1,IF(Config!$D$9="FR",2,3))),"[ref_lvl2_label]")</f>
        <v>Gemiddeld</v>
      </c>
      <c r="C18" s="76" t="str">
        <f>IFERROR(INDEX(_Lang!$B$2:$D$300,MATCH("ref_avail_2",_Lang!$A$2:$A$300,0),IF(Config!$D$9="NL",1,IF(Config!$D$9="FR",2,3))),"[ref_avail_2]")</f>
        <v>Uitval veroorzaakt hinder maar geen kritieke verstoring.</v>
      </c>
      <c r="D18" s="50"/>
      <c r="E18" s="50"/>
      <c r="F18" s="50"/>
    </row>
    <row r="19" spans="1:6" ht="51.95" customHeight="1" x14ac:dyDescent="0.25">
      <c r="A19" s="30">
        <v>3</v>
      </c>
      <c r="B19" s="31" t="str">
        <f>IFERROR(INDEX(_Lang!$B$2:$D$300,MATCH("ref_lvl3_label",_Lang!$A$2:$A$300,0),IF(Config!$D$9="NL",1,IF(Config!$D$9="FR",2,3))),"[ref_lvl3_label]")</f>
        <v>Hoog</v>
      </c>
      <c r="C19" s="75" t="str">
        <f>IFERROR(INDEX(_Lang!$B$2:$D$300,MATCH("ref_avail_3",_Lang!$A$2:$A$300,0),IF(Config!$D$9="NL",1,IF(Config!$D$9="FR",2,3))),"[ref_avail_3]")</f>
        <v>Uitval leidt tot significante verstoring van de dienstverlening.</v>
      </c>
      <c r="D19" s="50"/>
      <c r="E19" s="50"/>
      <c r="F19" s="50"/>
    </row>
    <row r="20" spans="1:6" ht="51.95" customHeight="1" x14ac:dyDescent="0.25">
      <c r="A20" s="32">
        <v>4</v>
      </c>
      <c r="B20" s="33" t="str">
        <f>IFERROR(INDEX(_Lang!$B$2:$D$300,MATCH("ref_lvl4_label",_Lang!$A$2:$A$300,0),IF(Config!$D$9="NL",1,IF(Config!$D$9="FR",2,3))),"[ref_lvl4_label]")</f>
        <v>Zeer Hoog</v>
      </c>
      <c r="C20" s="78" t="str">
        <f>IFERROR(INDEX(_Lang!$B$2:$D$300,MATCH("ref_avail_4",_Lang!$A$2:$A$300,0),IF(Config!$D$9="NL",1,IF(Config!$D$9="FR",2,3))),"[ref_avail_4]")</f>
        <v>Uitval veroorzaakt grote schade of stillegging van belangrijke diensten.</v>
      </c>
      <c r="D20" s="50"/>
      <c r="E20" s="50"/>
      <c r="F20" s="50"/>
    </row>
    <row r="21" spans="1:6" ht="51.95" customHeight="1" x14ac:dyDescent="0.25">
      <c r="A21" s="34">
        <v>5</v>
      </c>
      <c r="B21" s="35" t="str">
        <f>IFERROR(INDEX(_Lang!$B$2:$D$300,MATCH("ref_lvl5_label",_Lang!$A$2:$A$300,0),IF(Config!$D$9="NL",1,IF(Config!$D$9="FR",2,3))),"[ref_lvl5_label]")</f>
        <v>Classified</v>
      </c>
      <c r="C21" s="77" t="str">
        <f>IFERROR(INDEX(_Lang!$B$2:$D$300,MATCH("ref_avail_5",_Lang!$A$2:$A$300,0),IF(Config!$D$9="NL",1,IF(Config!$D$9="FR",2,3))),"[ref_avail_5]")</f>
        <v>Uitval leidt tot volledige stopzetting van vitale overheidsfuncties of noodsituaties met gevaar voor leven.</v>
      </c>
      <c r="D21" s="50"/>
      <c r="E21" s="50"/>
      <c r="F21" s="50"/>
    </row>
    <row r="23" spans="1:6" ht="20.100000000000001" customHeight="1" x14ac:dyDescent="0.25">
      <c r="A23" s="49" t="str">
        <f>IFERROR(INDEX(_Lang!$B$2:$D$300,MATCH("ref_section_conf",_Lang!$A$2:$A$300,0),IF(Config!$D$9="NL",1,IF(Config!$D$9="FR",2,3))),"[ref_section_conf]")</f>
        <v>CONFIDENTIALITEIT</v>
      </c>
      <c r="B23" s="50"/>
      <c r="C23" s="50"/>
      <c r="D23" s="50"/>
      <c r="E23" s="50"/>
      <c r="F23" s="50"/>
    </row>
    <row r="24" spans="1:6" ht="21.95" customHeight="1" x14ac:dyDescent="0.25">
      <c r="A24" s="79" t="str">
        <f>IFERROR(INDEX(_Lang!$B$2:$D$300,MATCH("ref_conf_subtitle",_Lang!$A$2:$A$300,0),IF(Config!$D$9="NL",1,IF(Config!$D$9="FR",2,3))),"[ref_conf_subtitle]")</f>
        <v>Toegankelijkheid enkel voor bevoegde personen of systemen.</v>
      </c>
      <c r="B24" s="50"/>
      <c r="C24" s="50"/>
      <c r="D24" s="50"/>
      <c r="E24" s="50"/>
      <c r="F24" s="50"/>
    </row>
    <row r="25" spans="1:6" ht="26.1" customHeight="1" x14ac:dyDescent="0.25">
      <c r="A25" s="25" t="str">
        <f>IFERROR(INDEX(_Lang!$B$2:$D$300,MATCH("ref_level",_Lang!$A$2:$A$300,0),IF(Config!$D$9="NL",1,IF(Config!$D$9="FR",2,3))),"[ref_level]")</f>
        <v>Niveau</v>
      </c>
      <c r="B25" s="25" t="str">
        <f>IFERROR(INDEX(_Lang!$B$2:$D$300,MATCH("ref_label",_Lang!$A$2:$A$300,0),IF(Config!$D$9="NL",1,IF(Config!$D$9="FR",2,3))),"[ref_label]")</f>
        <v>Benaming</v>
      </c>
      <c r="C25" s="25" t="str">
        <f>IFERROR(INDEX(_Lang!$B$2:$D$300,MATCH("ref_description",_Lang!$A$2:$A$300,0),IF(Config!$D$9="NL",1,IF(Config!$D$9="FR",2,3))),"[ref_description]")</f>
        <v>Omschrijving</v>
      </c>
    </row>
    <row r="26" spans="1:6" ht="51.95" customHeight="1" x14ac:dyDescent="0.25">
      <c r="A26" s="26">
        <v>1</v>
      </c>
      <c r="B26" s="27" t="str">
        <f>IFERROR(INDEX(_Lang!$B$2:$D$300,MATCH("ref_lvl1_label",_Lang!$A$2:$A$300,0),IF(Config!$D$9="NL",1,IF(Config!$D$9="FR",2,3))),"[ref_lvl1_label]")</f>
        <v>Laag</v>
      </c>
      <c r="C26" s="73" t="str">
        <f>IFERROR(INDEX(_Lang!$B$2:$D$300,MATCH("ref_conf_1",_Lang!$A$2:$A$300,0),IF(Config!$D$9="NL",1,IF(Config!$D$9="FR",2,3))),"[ref_conf_1]")</f>
        <v>Openbare gegevens. Verspreiding heeft geen nadelige gevolgen.</v>
      </c>
      <c r="D26" s="50"/>
      <c r="E26" s="50"/>
      <c r="F26" s="50"/>
    </row>
    <row r="27" spans="1:6" ht="51.95" customHeight="1" x14ac:dyDescent="0.25">
      <c r="A27" s="28">
        <v>2</v>
      </c>
      <c r="B27" s="29" t="str">
        <f>IFERROR(INDEX(_Lang!$B$2:$D$300,MATCH("ref_lvl2_label",_Lang!$A$2:$A$300,0),IF(Config!$D$9="NL",1,IF(Config!$D$9="FR",2,3))),"[ref_lvl2_label]")</f>
        <v>Gemiddeld</v>
      </c>
      <c r="C27" s="76" t="str">
        <f>IFERROR(INDEX(_Lang!$B$2:$D$300,MATCH("ref_conf_2",_Lang!$A$2:$A$300,0),IF(Config!$D$9="NL",1,IF(Config!$D$9="FR",2,3))),"[ref_conf_2]")</f>
        <v>Interne gegevens. Verspreiding kan leiden tot beperkte reputatieschade.</v>
      </c>
      <c r="D27" s="50"/>
      <c r="E27" s="50"/>
      <c r="F27" s="50"/>
    </row>
    <row r="28" spans="1:6" ht="51.95" customHeight="1" x14ac:dyDescent="0.25">
      <c r="A28" s="30">
        <v>3</v>
      </c>
      <c r="B28" s="31" t="str">
        <f>IFERROR(INDEX(_Lang!$B$2:$D$300,MATCH("ref_lvl3_label",_Lang!$A$2:$A$300,0),IF(Config!$D$9="NL",1,IF(Config!$D$9="FR",2,3))),"[ref_lvl3_label]")</f>
        <v>Hoog</v>
      </c>
      <c r="C28" s="75" t="str">
        <f>IFERROR(INDEX(_Lang!$B$2:$D$300,MATCH("ref_conf_3",_Lang!$A$2:$A$300,0),IF(Config!$D$9="NL",1,IF(Config!$D$9="FR",2,3))),"[ref_conf_3]")</f>
        <v>Vertrouwelijke gegevens. Ongeoorloofde verspreiding heeft ernstige gevolgen.</v>
      </c>
      <c r="D28" s="50"/>
      <c r="E28" s="50"/>
      <c r="F28" s="50"/>
    </row>
    <row r="29" spans="1:6" ht="51.95" customHeight="1" x14ac:dyDescent="0.25">
      <c r="A29" s="32">
        <v>4</v>
      </c>
      <c r="B29" s="33" t="str">
        <f>IFERROR(INDEX(_Lang!$B$2:$D$300,MATCH("ref_lvl4_label",_Lang!$A$2:$A$300,0),IF(Config!$D$9="NL",1,IF(Config!$D$9="FR",2,3))),"[ref_lvl4_label]")</f>
        <v>Zeer Hoog</v>
      </c>
      <c r="C29" s="78" t="str">
        <f>IFERROR(INDEX(_Lang!$B$2:$D$300,MATCH("ref_conf_4",_Lang!$A$2:$A$300,0),IF(Config!$D$9="NL",1,IF(Config!$D$9="FR",2,3))),"[ref_conf_4]")</f>
        <v>Strikt vertrouwelijke gegevens. Verspreiding bedreigt personen, organisaties of vitale processen.</v>
      </c>
      <c r="D29" s="50"/>
      <c r="E29" s="50"/>
      <c r="F29" s="50"/>
    </row>
    <row r="30" spans="1:6" ht="51.95" customHeight="1" x14ac:dyDescent="0.25">
      <c r="A30" s="34">
        <v>5</v>
      </c>
      <c r="B30" s="35" t="str">
        <f>IFERROR(INDEX(_Lang!$B$2:$D$300,MATCH("ref_lvl5_label",_Lang!$A$2:$A$300,0),IF(Config!$D$9="NL",1,IF(Config!$D$9="FR",2,3))),"[ref_lvl5_label]")</f>
        <v>Classified</v>
      </c>
      <c r="C30" s="77" t="str">
        <f>IFERROR(INDEX(_Lang!$B$2:$D$300,MATCH("ref_conf_5",_Lang!$A$2:$A$300,0),IF(Config!$D$9="NL",1,IF(Config!$D$9="FR",2,3))),"[ref_conf_5]")</f>
        <v>Geheime gegevens. Verspreiding kan nationale veiligheid, grondrechten of vitale staatsfuncties schaden.</v>
      </c>
      <c r="D30" s="50"/>
      <c r="E30" s="50"/>
      <c r="F30" s="50"/>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82" t="s">
        <v>7</v>
      </c>
      <c r="B1" s="50"/>
      <c r="C1" s="50"/>
      <c r="D1" s="50"/>
      <c r="E1" s="50"/>
      <c r="F1" s="50"/>
      <c r="G1" s="50"/>
      <c r="H1" s="50"/>
      <c r="I1" s="50"/>
      <c r="J1" s="50"/>
      <c r="K1" s="50"/>
      <c r="L1" s="50"/>
      <c r="M1" s="50"/>
    </row>
    <row r="2" spans="1:13" ht="21.95" customHeight="1" x14ac:dyDescent="0.25">
      <c r="A2" s="80" t="s">
        <v>8</v>
      </c>
      <c r="B2" s="50"/>
      <c r="C2" s="50"/>
      <c r="D2" s="50"/>
      <c r="E2" s="50"/>
      <c r="F2" s="50"/>
      <c r="G2" s="36" t="s">
        <v>9</v>
      </c>
      <c r="H2" s="81" t="s">
        <v>10</v>
      </c>
      <c r="I2" s="50"/>
      <c r="J2" s="50"/>
      <c r="K2" s="50"/>
      <c r="L2" s="50"/>
      <c r="M2" s="50"/>
    </row>
    <row r="3" spans="1:13" ht="36" customHeight="1" x14ac:dyDescent="0.25">
      <c r="A3" s="5" t="s">
        <v>11</v>
      </c>
      <c r="B3" s="5" t="s">
        <v>12</v>
      </c>
      <c r="C3" s="5" t="s">
        <v>13</v>
      </c>
      <c r="D3" s="5" t="s">
        <v>14</v>
      </c>
      <c r="E3" s="5" t="s">
        <v>15</v>
      </c>
      <c r="F3" s="5" t="s">
        <v>16</v>
      </c>
      <c r="G3" s="37" t="s">
        <v>9</v>
      </c>
      <c r="H3" s="25" t="s">
        <v>17</v>
      </c>
      <c r="I3" s="25" t="s">
        <v>18</v>
      </c>
      <c r="J3" s="25" t="s">
        <v>19</v>
      </c>
      <c r="K3" s="25" t="s">
        <v>20</v>
      </c>
      <c r="L3" s="25" t="s">
        <v>21</v>
      </c>
      <c r="M3" s="25" t="s">
        <v>22</v>
      </c>
    </row>
    <row r="4" spans="1:13" ht="108" x14ac:dyDescent="0.25">
      <c r="A4" s="38" t="s">
        <v>23</v>
      </c>
      <c r="B4" s="39"/>
      <c r="C4" s="39"/>
      <c r="D4" s="38" t="s">
        <v>24</v>
      </c>
      <c r="E4" s="40" t="s">
        <v>25</v>
      </c>
      <c r="F4" s="38" t="s">
        <v>26</v>
      </c>
      <c r="G4" s="41" t="s">
        <v>27</v>
      </c>
      <c r="H4" s="38" t="s">
        <v>28</v>
      </c>
      <c r="I4" s="39"/>
      <c r="J4" s="39"/>
      <c r="K4" s="38" t="s">
        <v>29</v>
      </c>
      <c r="L4" s="40" t="s">
        <v>25</v>
      </c>
      <c r="M4" s="38" t="s">
        <v>30</v>
      </c>
    </row>
    <row r="5" spans="1:13" ht="108" x14ac:dyDescent="0.25">
      <c r="A5" s="42" t="s">
        <v>23</v>
      </c>
      <c r="B5" s="43"/>
      <c r="C5" s="43"/>
      <c r="D5" s="42" t="s">
        <v>31</v>
      </c>
      <c r="E5" s="44" t="s">
        <v>32</v>
      </c>
      <c r="F5" s="42" t="s">
        <v>33</v>
      </c>
      <c r="G5" s="45" t="s">
        <v>34</v>
      </c>
      <c r="H5" s="43"/>
      <c r="I5" s="43"/>
      <c r="J5" s="43"/>
      <c r="K5" s="43"/>
      <c r="L5" s="43"/>
      <c r="M5" s="43"/>
    </row>
    <row r="6" spans="1:13" ht="108" x14ac:dyDescent="0.25">
      <c r="A6" s="38" t="s">
        <v>23</v>
      </c>
      <c r="B6" s="39"/>
      <c r="C6" s="39"/>
      <c r="D6" s="38" t="s">
        <v>35</v>
      </c>
      <c r="E6" s="41" t="s">
        <v>36</v>
      </c>
      <c r="F6" s="38" t="s">
        <v>37</v>
      </c>
      <c r="G6" s="41" t="s">
        <v>27</v>
      </c>
      <c r="H6" s="38" t="s">
        <v>38</v>
      </c>
      <c r="I6" s="39"/>
      <c r="J6" s="39"/>
      <c r="K6" s="38" t="s">
        <v>39</v>
      </c>
      <c r="L6" s="41" t="s">
        <v>36</v>
      </c>
      <c r="M6" s="38" t="s">
        <v>40</v>
      </c>
    </row>
    <row r="7" spans="1:13" ht="108" x14ac:dyDescent="0.25">
      <c r="A7" s="42" t="s">
        <v>23</v>
      </c>
      <c r="B7" s="43"/>
      <c r="C7" s="43"/>
      <c r="D7" s="42" t="s">
        <v>35</v>
      </c>
      <c r="E7" s="40" t="s">
        <v>25</v>
      </c>
      <c r="F7" s="42" t="s">
        <v>41</v>
      </c>
      <c r="G7" s="41" t="s">
        <v>27</v>
      </c>
      <c r="H7" s="42" t="s">
        <v>38</v>
      </c>
      <c r="I7" s="43"/>
      <c r="J7" s="43"/>
      <c r="K7" s="42" t="s">
        <v>39</v>
      </c>
      <c r="L7" s="40" t="s">
        <v>25</v>
      </c>
      <c r="M7" s="42" t="s">
        <v>42</v>
      </c>
    </row>
    <row r="8" spans="1:13" ht="108" x14ac:dyDescent="0.25">
      <c r="A8" s="38" t="s">
        <v>23</v>
      </c>
      <c r="B8" s="39"/>
      <c r="C8" s="39"/>
      <c r="D8" s="38" t="s">
        <v>43</v>
      </c>
      <c r="E8" s="40" t="s">
        <v>25</v>
      </c>
      <c r="F8" s="38" t="s">
        <v>44</v>
      </c>
      <c r="G8" s="41" t="s">
        <v>27</v>
      </c>
      <c r="H8" s="38" t="s">
        <v>28</v>
      </c>
      <c r="I8" s="39"/>
      <c r="J8" s="39"/>
      <c r="K8" s="38" t="s">
        <v>45</v>
      </c>
      <c r="L8" s="40" t="s">
        <v>25</v>
      </c>
      <c r="M8" s="38" t="s">
        <v>46</v>
      </c>
    </row>
    <row r="9" spans="1:13" ht="108" x14ac:dyDescent="0.25">
      <c r="A9" s="42" t="s">
        <v>23</v>
      </c>
      <c r="B9" s="43"/>
      <c r="C9" s="43"/>
      <c r="D9" s="42" t="s">
        <v>43</v>
      </c>
      <c r="E9" s="40" t="s">
        <v>25</v>
      </c>
      <c r="F9" s="42" t="s">
        <v>47</v>
      </c>
      <c r="G9" s="41" t="s">
        <v>27</v>
      </c>
      <c r="H9" s="42" t="s">
        <v>28</v>
      </c>
      <c r="I9" s="43"/>
      <c r="J9" s="43"/>
      <c r="K9" s="42" t="s">
        <v>48</v>
      </c>
      <c r="L9" s="40" t="s">
        <v>25</v>
      </c>
      <c r="M9" s="42" t="s">
        <v>49</v>
      </c>
    </row>
    <row r="10" spans="1:13" ht="108" x14ac:dyDescent="0.25">
      <c r="A10" s="38" t="s">
        <v>23</v>
      </c>
      <c r="B10" s="39"/>
      <c r="C10" s="39"/>
      <c r="D10" s="38" t="s">
        <v>43</v>
      </c>
      <c r="E10" s="44" t="s">
        <v>32</v>
      </c>
      <c r="F10" s="38" t="s">
        <v>50</v>
      </c>
      <c r="G10" s="41" t="s">
        <v>27</v>
      </c>
      <c r="H10" s="38" t="s">
        <v>28</v>
      </c>
      <c r="I10" s="39"/>
      <c r="J10" s="39"/>
      <c r="K10" s="38" t="s">
        <v>48</v>
      </c>
      <c r="L10" s="44" t="s">
        <v>32</v>
      </c>
      <c r="M10" s="38" t="s">
        <v>51</v>
      </c>
    </row>
    <row r="11" spans="1:13" ht="108" x14ac:dyDescent="0.25">
      <c r="A11" s="42" t="s">
        <v>23</v>
      </c>
      <c r="B11" s="43"/>
      <c r="C11" s="43"/>
      <c r="D11" s="42" t="s">
        <v>43</v>
      </c>
      <c r="E11" s="44" t="s">
        <v>32</v>
      </c>
      <c r="F11" s="42" t="s">
        <v>52</v>
      </c>
      <c r="G11" s="41" t="s">
        <v>27</v>
      </c>
      <c r="H11" s="42" t="s">
        <v>28</v>
      </c>
      <c r="I11" s="43"/>
      <c r="J11" s="43"/>
      <c r="K11" s="42" t="s">
        <v>48</v>
      </c>
      <c r="L11" s="44" t="s">
        <v>32</v>
      </c>
      <c r="M11" s="42" t="s">
        <v>53</v>
      </c>
    </row>
    <row r="12" spans="1:13" ht="108" x14ac:dyDescent="0.25">
      <c r="A12" s="38" t="s">
        <v>23</v>
      </c>
      <c r="B12" s="39"/>
      <c r="C12" s="39"/>
      <c r="D12" s="38" t="s">
        <v>54</v>
      </c>
      <c r="E12" s="40" t="s">
        <v>25</v>
      </c>
      <c r="F12" s="38" t="s">
        <v>55</v>
      </c>
      <c r="G12" s="41" t="s">
        <v>27</v>
      </c>
      <c r="H12" s="38" t="s">
        <v>28</v>
      </c>
      <c r="I12" s="39"/>
      <c r="J12" s="39"/>
      <c r="K12" s="38" t="s">
        <v>56</v>
      </c>
      <c r="L12" s="40" t="s">
        <v>25</v>
      </c>
      <c r="M12" s="38" t="s">
        <v>57</v>
      </c>
    </row>
    <row r="13" spans="1:13" ht="84" x14ac:dyDescent="0.25">
      <c r="A13" s="42" t="s">
        <v>58</v>
      </c>
      <c r="B13" s="42" t="s">
        <v>59</v>
      </c>
      <c r="C13" s="43"/>
      <c r="D13" s="42" t="s">
        <v>60</v>
      </c>
      <c r="E13" s="40" t="s">
        <v>25</v>
      </c>
      <c r="F13" s="42" t="s">
        <v>61</v>
      </c>
      <c r="G13" s="41" t="s">
        <v>27</v>
      </c>
      <c r="H13" s="42" t="s">
        <v>62</v>
      </c>
      <c r="I13" s="43"/>
      <c r="J13" s="43"/>
      <c r="K13" s="42" t="s">
        <v>63</v>
      </c>
      <c r="L13" s="40" t="s">
        <v>25</v>
      </c>
      <c r="M13" s="42" t="s">
        <v>64</v>
      </c>
    </row>
    <row r="14" spans="1:13" ht="84" x14ac:dyDescent="0.25">
      <c r="A14" s="38" t="s">
        <v>58</v>
      </c>
      <c r="B14" s="38" t="s">
        <v>59</v>
      </c>
      <c r="C14" s="39"/>
      <c r="D14" s="38" t="s">
        <v>65</v>
      </c>
      <c r="E14" s="40" t="s">
        <v>25</v>
      </c>
      <c r="F14" s="38" t="s">
        <v>66</v>
      </c>
      <c r="G14" s="41" t="s">
        <v>27</v>
      </c>
      <c r="H14" s="38" t="s">
        <v>62</v>
      </c>
      <c r="I14" s="39"/>
      <c r="J14" s="39"/>
      <c r="K14" s="38" t="s">
        <v>67</v>
      </c>
      <c r="L14" s="40" t="s">
        <v>25</v>
      </c>
      <c r="M14" s="38" t="s">
        <v>68</v>
      </c>
    </row>
    <row r="15" spans="1:13" ht="96" x14ac:dyDescent="0.25">
      <c r="A15" s="42" t="s">
        <v>58</v>
      </c>
      <c r="B15" s="43"/>
      <c r="C15" s="43"/>
      <c r="D15" s="42" t="s">
        <v>69</v>
      </c>
      <c r="E15" s="41" t="s">
        <v>36</v>
      </c>
      <c r="F15" s="42" t="s">
        <v>70</v>
      </c>
      <c r="G15" s="41" t="s">
        <v>27</v>
      </c>
      <c r="H15" s="42" t="s">
        <v>38</v>
      </c>
      <c r="I15" s="43"/>
      <c r="J15" s="43"/>
      <c r="K15" s="42" t="s">
        <v>71</v>
      </c>
      <c r="L15" s="41" t="s">
        <v>36</v>
      </c>
      <c r="M15" s="42" t="s">
        <v>72</v>
      </c>
    </row>
    <row r="16" spans="1:13" ht="96" x14ac:dyDescent="0.25">
      <c r="A16" s="38" t="s">
        <v>58</v>
      </c>
      <c r="B16" s="38" t="s">
        <v>59</v>
      </c>
      <c r="C16" s="39"/>
      <c r="D16" s="38" t="s">
        <v>69</v>
      </c>
      <c r="E16" s="40" t="s">
        <v>25</v>
      </c>
      <c r="F16" s="38" t="s">
        <v>73</v>
      </c>
      <c r="G16" s="41" t="s">
        <v>27</v>
      </c>
      <c r="H16" s="38" t="s">
        <v>38</v>
      </c>
      <c r="I16" s="39"/>
      <c r="J16" s="39"/>
      <c r="K16" s="38" t="s">
        <v>71</v>
      </c>
      <c r="L16" s="40" t="s">
        <v>25</v>
      </c>
      <c r="M16" s="38" t="s">
        <v>74</v>
      </c>
    </row>
    <row r="17" spans="1:13" ht="84" x14ac:dyDescent="0.25">
      <c r="A17" s="42" t="s">
        <v>58</v>
      </c>
      <c r="B17" s="43"/>
      <c r="C17" s="43"/>
      <c r="D17" s="42" t="s">
        <v>75</v>
      </c>
      <c r="E17" s="40" t="s">
        <v>25</v>
      </c>
      <c r="F17" s="42" t="s">
        <v>76</v>
      </c>
      <c r="G17" s="45" t="s">
        <v>34</v>
      </c>
      <c r="H17" s="43"/>
      <c r="I17" s="43"/>
      <c r="J17" s="43"/>
      <c r="K17" s="43"/>
      <c r="L17" s="43"/>
      <c r="M17" s="43"/>
    </row>
    <row r="18" spans="1:13" ht="84" x14ac:dyDescent="0.25">
      <c r="A18" s="38" t="s">
        <v>58</v>
      </c>
      <c r="B18" s="39"/>
      <c r="C18" s="39"/>
      <c r="D18" s="38" t="s">
        <v>77</v>
      </c>
      <c r="E18" s="40" t="s">
        <v>25</v>
      </c>
      <c r="F18" s="38" t="s">
        <v>78</v>
      </c>
      <c r="G18" s="45" t="s">
        <v>34</v>
      </c>
      <c r="H18" s="39"/>
      <c r="I18" s="39"/>
      <c r="J18" s="39"/>
      <c r="K18" s="39"/>
      <c r="L18" s="39"/>
      <c r="M18" s="39"/>
    </row>
    <row r="19" spans="1:13" ht="84" x14ac:dyDescent="0.25">
      <c r="A19" s="42" t="s">
        <v>79</v>
      </c>
      <c r="B19" s="43"/>
      <c r="C19" s="43"/>
      <c r="D19" s="42" t="s">
        <v>80</v>
      </c>
      <c r="E19" s="44" t="s">
        <v>32</v>
      </c>
      <c r="F19" s="42" t="s">
        <v>81</v>
      </c>
      <c r="G19" s="45" t="s">
        <v>34</v>
      </c>
      <c r="H19" s="43"/>
      <c r="I19" s="43"/>
      <c r="J19" s="43"/>
      <c r="K19" s="43"/>
      <c r="L19" s="43"/>
      <c r="M19" s="43"/>
    </row>
    <row r="20" spans="1:13" ht="108" x14ac:dyDescent="0.25">
      <c r="A20" s="38" t="s">
        <v>79</v>
      </c>
      <c r="B20" s="38" t="s">
        <v>59</v>
      </c>
      <c r="C20" s="46" t="s">
        <v>13</v>
      </c>
      <c r="D20" s="38" t="s">
        <v>82</v>
      </c>
      <c r="E20" s="40" t="s">
        <v>25</v>
      </c>
      <c r="F20" s="38" t="s">
        <v>83</v>
      </c>
      <c r="G20" s="41" t="s">
        <v>27</v>
      </c>
      <c r="H20" s="38" t="s">
        <v>84</v>
      </c>
      <c r="I20" s="39"/>
      <c r="J20" s="46" t="s">
        <v>13</v>
      </c>
      <c r="K20" s="38" t="s">
        <v>85</v>
      </c>
      <c r="L20" s="40" t="s">
        <v>25</v>
      </c>
      <c r="M20" s="38" t="s">
        <v>86</v>
      </c>
    </row>
    <row r="21" spans="1:13" ht="108" x14ac:dyDescent="0.25">
      <c r="A21" s="42" t="s">
        <v>79</v>
      </c>
      <c r="B21" s="42" t="s">
        <v>59</v>
      </c>
      <c r="C21" s="43"/>
      <c r="D21" s="42" t="s">
        <v>82</v>
      </c>
      <c r="E21" s="44" t="s">
        <v>32</v>
      </c>
      <c r="F21" s="42" t="s">
        <v>87</v>
      </c>
      <c r="G21" s="41" t="s">
        <v>27</v>
      </c>
      <c r="H21" s="42" t="s">
        <v>84</v>
      </c>
      <c r="I21" s="43"/>
      <c r="J21" s="43"/>
      <c r="K21" s="42" t="s">
        <v>85</v>
      </c>
      <c r="L21" s="44" t="s">
        <v>32</v>
      </c>
      <c r="M21" s="42" t="s">
        <v>88</v>
      </c>
    </row>
    <row r="22" spans="1:13" ht="84" x14ac:dyDescent="0.25">
      <c r="A22" s="38" t="s">
        <v>79</v>
      </c>
      <c r="B22" s="39"/>
      <c r="C22" s="39"/>
      <c r="D22" s="38" t="s">
        <v>89</v>
      </c>
      <c r="E22" s="40" t="s">
        <v>25</v>
      </c>
      <c r="F22" s="38" t="s">
        <v>90</v>
      </c>
      <c r="G22" s="45" t="s">
        <v>34</v>
      </c>
      <c r="H22" s="39"/>
      <c r="I22" s="39"/>
      <c r="J22" s="39"/>
      <c r="K22" s="39"/>
      <c r="L22" s="39"/>
      <c r="M22" s="39"/>
    </row>
    <row r="23" spans="1:13" ht="84" x14ac:dyDescent="0.25">
      <c r="A23" s="42" t="s">
        <v>79</v>
      </c>
      <c r="B23" s="43"/>
      <c r="C23" s="43"/>
      <c r="D23" s="42" t="s">
        <v>89</v>
      </c>
      <c r="E23" s="40" t="s">
        <v>25</v>
      </c>
      <c r="F23" s="42" t="s">
        <v>91</v>
      </c>
      <c r="G23" s="41" t="s">
        <v>27</v>
      </c>
      <c r="H23" s="42" t="s">
        <v>92</v>
      </c>
      <c r="I23" s="43"/>
      <c r="J23" s="43"/>
      <c r="K23" s="42" t="s">
        <v>93</v>
      </c>
      <c r="L23" s="40" t="s">
        <v>25</v>
      </c>
      <c r="M23" s="42" t="s">
        <v>94</v>
      </c>
    </row>
    <row r="24" spans="1:13" ht="120" x14ac:dyDescent="0.25">
      <c r="A24" s="38" t="s">
        <v>79</v>
      </c>
      <c r="B24" s="39"/>
      <c r="C24" s="39"/>
      <c r="D24" s="38" t="s">
        <v>95</v>
      </c>
      <c r="E24" s="41" t="s">
        <v>36</v>
      </c>
      <c r="F24" s="38" t="s">
        <v>96</v>
      </c>
      <c r="G24" s="41" t="s">
        <v>27</v>
      </c>
      <c r="H24" s="38" t="s">
        <v>97</v>
      </c>
      <c r="I24" s="39"/>
      <c r="J24" s="39"/>
      <c r="K24" s="38" t="s">
        <v>98</v>
      </c>
      <c r="L24" s="41" t="s">
        <v>36</v>
      </c>
      <c r="M24" s="38" t="s">
        <v>99</v>
      </c>
    </row>
    <row r="25" spans="1:13" ht="120" x14ac:dyDescent="0.25">
      <c r="A25" s="42" t="s">
        <v>79</v>
      </c>
      <c r="B25" s="43"/>
      <c r="C25" s="43"/>
      <c r="D25" s="42" t="s">
        <v>95</v>
      </c>
      <c r="E25" s="40" t="s">
        <v>25</v>
      </c>
      <c r="F25" s="42" t="s">
        <v>100</v>
      </c>
      <c r="G25" s="41" t="s">
        <v>27</v>
      </c>
      <c r="H25" s="42" t="s">
        <v>97</v>
      </c>
      <c r="I25" s="43"/>
      <c r="J25" s="43"/>
      <c r="K25" s="42" t="s">
        <v>98</v>
      </c>
      <c r="L25" s="40" t="s">
        <v>25</v>
      </c>
      <c r="M25" s="42" t="s">
        <v>101</v>
      </c>
    </row>
    <row r="26" spans="1:13" ht="96" x14ac:dyDescent="0.25">
      <c r="A26" s="38" t="s">
        <v>102</v>
      </c>
      <c r="B26" s="39"/>
      <c r="C26" s="39"/>
      <c r="D26" s="38" t="s">
        <v>103</v>
      </c>
      <c r="E26" s="41" t="s">
        <v>36</v>
      </c>
      <c r="F26" s="38" t="s">
        <v>104</v>
      </c>
      <c r="G26" s="41" t="s">
        <v>27</v>
      </c>
      <c r="H26" s="38" t="s">
        <v>38</v>
      </c>
      <c r="I26" s="39"/>
      <c r="J26" s="39"/>
      <c r="K26" s="38" t="s">
        <v>105</v>
      </c>
      <c r="L26" s="41" t="s">
        <v>36</v>
      </c>
      <c r="M26" s="38" t="s">
        <v>106</v>
      </c>
    </row>
    <row r="27" spans="1:13" ht="96" x14ac:dyDescent="0.25">
      <c r="A27" s="42" t="s">
        <v>102</v>
      </c>
      <c r="B27" s="43"/>
      <c r="C27" s="43"/>
      <c r="D27" s="42" t="s">
        <v>103</v>
      </c>
      <c r="E27" s="40" t="s">
        <v>25</v>
      </c>
      <c r="F27" s="42" t="s">
        <v>107</v>
      </c>
      <c r="G27" s="41" t="s">
        <v>27</v>
      </c>
      <c r="H27" s="42" t="s">
        <v>38</v>
      </c>
      <c r="I27" s="43"/>
      <c r="J27" s="43"/>
      <c r="K27" s="42" t="s">
        <v>105</v>
      </c>
      <c r="L27" s="40" t="s">
        <v>25</v>
      </c>
      <c r="M27" s="42" t="s">
        <v>108</v>
      </c>
    </row>
    <row r="28" spans="1:13" ht="72" x14ac:dyDescent="0.25">
      <c r="A28" s="38" t="s">
        <v>109</v>
      </c>
      <c r="B28" s="39"/>
      <c r="C28" s="39"/>
      <c r="D28" s="38" t="s">
        <v>110</v>
      </c>
      <c r="E28" s="44" t="s">
        <v>32</v>
      </c>
      <c r="F28" s="38" t="s">
        <v>111</v>
      </c>
      <c r="G28" s="45" t="s">
        <v>34</v>
      </c>
      <c r="H28" s="39"/>
      <c r="I28" s="39"/>
      <c r="J28" s="39"/>
      <c r="K28" s="39"/>
      <c r="L28" s="39"/>
      <c r="M28" s="39"/>
    </row>
    <row r="29" spans="1:13" ht="72" x14ac:dyDescent="0.25">
      <c r="A29" s="42" t="s">
        <v>109</v>
      </c>
      <c r="B29" s="43"/>
      <c r="C29" s="43"/>
      <c r="D29" s="42" t="s">
        <v>112</v>
      </c>
      <c r="E29" s="44" t="s">
        <v>32</v>
      </c>
      <c r="F29" s="42" t="s">
        <v>113</v>
      </c>
      <c r="G29" s="45" t="s">
        <v>34</v>
      </c>
      <c r="H29" s="43"/>
      <c r="I29" s="43"/>
      <c r="J29" s="43"/>
      <c r="K29" s="43"/>
      <c r="L29" s="43"/>
      <c r="M29" s="43"/>
    </row>
    <row r="30" spans="1:13" ht="84" x14ac:dyDescent="0.25">
      <c r="A30" s="38" t="s">
        <v>114</v>
      </c>
      <c r="B30" s="38" t="s">
        <v>59</v>
      </c>
      <c r="C30" s="39"/>
      <c r="D30" s="38" t="s">
        <v>115</v>
      </c>
      <c r="E30" s="44" t="s">
        <v>32</v>
      </c>
      <c r="F30" s="38" t="s">
        <v>116</v>
      </c>
      <c r="G30" s="41" t="s">
        <v>27</v>
      </c>
      <c r="H30" s="38" t="s">
        <v>28</v>
      </c>
      <c r="I30" s="39"/>
      <c r="J30" s="39"/>
      <c r="K30" s="38" t="s">
        <v>56</v>
      </c>
      <c r="L30" s="44" t="s">
        <v>32</v>
      </c>
      <c r="M30" s="38" t="s">
        <v>117</v>
      </c>
    </row>
    <row r="31" spans="1:13" ht="108" x14ac:dyDescent="0.25">
      <c r="A31" s="42" t="s">
        <v>114</v>
      </c>
      <c r="B31" s="43"/>
      <c r="C31" s="43"/>
      <c r="D31" s="42" t="s">
        <v>118</v>
      </c>
      <c r="E31" s="40" t="s">
        <v>25</v>
      </c>
      <c r="F31" s="42" t="s">
        <v>119</v>
      </c>
      <c r="G31" s="41" t="s">
        <v>27</v>
      </c>
      <c r="H31" s="42" t="s">
        <v>120</v>
      </c>
      <c r="I31" s="43"/>
      <c r="J31" s="43"/>
      <c r="K31" s="42" t="s">
        <v>121</v>
      </c>
      <c r="L31" s="40" t="s">
        <v>25</v>
      </c>
      <c r="M31" s="42" t="s">
        <v>122</v>
      </c>
    </row>
    <row r="32" spans="1:13" ht="72" x14ac:dyDescent="0.25">
      <c r="A32" s="38" t="s">
        <v>114</v>
      </c>
      <c r="B32" s="39"/>
      <c r="C32" s="39"/>
      <c r="D32" s="38" t="s">
        <v>123</v>
      </c>
      <c r="E32" s="44" t="s">
        <v>32</v>
      </c>
      <c r="F32" s="38" t="s">
        <v>124</v>
      </c>
      <c r="G32" s="45" t="s">
        <v>34</v>
      </c>
      <c r="H32" s="39"/>
      <c r="I32" s="39"/>
      <c r="J32" s="39"/>
      <c r="K32" s="39"/>
      <c r="L32" s="39"/>
      <c r="M32" s="39"/>
    </row>
    <row r="33" spans="1:13" ht="132" x14ac:dyDescent="0.25">
      <c r="A33" s="42" t="s">
        <v>114</v>
      </c>
      <c r="B33" s="43"/>
      <c r="C33" s="43"/>
      <c r="D33" s="42" t="s">
        <v>125</v>
      </c>
      <c r="E33" s="40" t="s">
        <v>25</v>
      </c>
      <c r="F33" s="42" t="s">
        <v>126</v>
      </c>
      <c r="G33" s="41" t="s">
        <v>27</v>
      </c>
      <c r="H33" s="42" t="s">
        <v>127</v>
      </c>
      <c r="I33" s="43"/>
      <c r="J33" s="43"/>
      <c r="K33" s="42" t="s">
        <v>128</v>
      </c>
      <c r="L33" s="40" t="s">
        <v>25</v>
      </c>
      <c r="M33" s="42" t="s">
        <v>129</v>
      </c>
    </row>
    <row r="34" spans="1:13" ht="132" x14ac:dyDescent="0.25">
      <c r="A34" s="38" t="s">
        <v>114</v>
      </c>
      <c r="B34" s="39"/>
      <c r="C34" s="46" t="s">
        <v>13</v>
      </c>
      <c r="D34" s="38" t="s">
        <v>125</v>
      </c>
      <c r="E34" s="44" t="s">
        <v>32</v>
      </c>
      <c r="F34" s="38" t="s">
        <v>130</v>
      </c>
      <c r="G34" s="41" t="s">
        <v>27</v>
      </c>
      <c r="H34" s="38" t="s">
        <v>127</v>
      </c>
      <c r="I34" s="39"/>
      <c r="J34" s="46" t="s">
        <v>13</v>
      </c>
      <c r="K34" s="38" t="s">
        <v>128</v>
      </c>
      <c r="L34" s="44" t="s">
        <v>32</v>
      </c>
      <c r="M34" s="38" t="s">
        <v>131</v>
      </c>
    </row>
    <row r="35" spans="1:13" ht="132" x14ac:dyDescent="0.25">
      <c r="A35" s="42" t="s">
        <v>114</v>
      </c>
      <c r="B35" s="43"/>
      <c r="C35" s="46" t="s">
        <v>13</v>
      </c>
      <c r="D35" s="42" t="s">
        <v>125</v>
      </c>
      <c r="E35" s="44" t="s">
        <v>32</v>
      </c>
      <c r="F35" s="42" t="s">
        <v>132</v>
      </c>
      <c r="G35" s="41" t="s">
        <v>27</v>
      </c>
      <c r="H35" s="42" t="s">
        <v>127</v>
      </c>
      <c r="I35" s="43"/>
      <c r="J35" s="46" t="s">
        <v>13</v>
      </c>
      <c r="K35" s="42" t="s">
        <v>128</v>
      </c>
      <c r="L35" s="44" t="s">
        <v>32</v>
      </c>
      <c r="M35" s="42" t="s">
        <v>133</v>
      </c>
    </row>
    <row r="36" spans="1:13" ht="72" x14ac:dyDescent="0.25">
      <c r="A36" s="38" t="s">
        <v>114</v>
      </c>
      <c r="B36" s="39"/>
      <c r="C36" s="39"/>
      <c r="D36" s="38" t="s">
        <v>134</v>
      </c>
      <c r="E36" s="44" t="s">
        <v>32</v>
      </c>
      <c r="F36" s="38" t="s">
        <v>135</v>
      </c>
      <c r="G36" s="45" t="s">
        <v>34</v>
      </c>
      <c r="H36" s="39"/>
      <c r="I36" s="39"/>
      <c r="J36" s="39"/>
      <c r="K36" s="39"/>
      <c r="L36" s="39"/>
      <c r="M36" s="39"/>
    </row>
    <row r="37" spans="1:13" ht="132" x14ac:dyDescent="0.25">
      <c r="A37" s="42" t="s">
        <v>114</v>
      </c>
      <c r="B37" s="43"/>
      <c r="C37" s="43"/>
      <c r="D37" s="42" t="s">
        <v>136</v>
      </c>
      <c r="E37" s="40" t="s">
        <v>25</v>
      </c>
      <c r="F37" s="42" t="s">
        <v>137</v>
      </c>
      <c r="G37" s="41" t="s">
        <v>27</v>
      </c>
      <c r="H37" s="42" t="s">
        <v>127</v>
      </c>
      <c r="I37" s="43"/>
      <c r="J37" s="43"/>
      <c r="K37" s="42" t="s">
        <v>138</v>
      </c>
      <c r="L37" s="40" t="s">
        <v>25</v>
      </c>
      <c r="M37" s="42" t="s">
        <v>139</v>
      </c>
    </row>
    <row r="38" spans="1:13" ht="132" x14ac:dyDescent="0.25">
      <c r="A38" s="38" t="s">
        <v>114</v>
      </c>
      <c r="B38" s="39"/>
      <c r="C38" s="39"/>
      <c r="D38" s="38" t="s">
        <v>136</v>
      </c>
      <c r="E38" s="44" t="s">
        <v>32</v>
      </c>
      <c r="F38" s="38" t="s">
        <v>140</v>
      </c>
      <c r="G38" s="41" t="s">
        <v>27</v>
      </c>
      <c r="H38" s="38" t="s">
        <v>127</v>
      </c>
      <c r="I38" s="39"/>
      <c r="J38" s="39"/>
      <c r="K38" s="38" t="s">
        <v>138</v>
      </c>
      <c r="L38" s="44" t="s">
        <v>32</v>
      </c>
      <c r="M38" s="38" t="s">
        <v>141</v>
      </c>
    </row>
    <row r="39" spans="1:13" ht="108" x14ac:dyDescent="0.25">
      <c r="A39" s="42" t="s">
        <v>114</v>
      </c>
      <c r="B39" s="43"/>
      <c r="C39" s="43"/>
      <c r="D39" s="42" t="s">
        <v>136</v>
      </c>
      <c r="E39" s="44" t="s">
        <v>32</v>
      </c>
      <c r="F39" s="42" t="s">
        <v>142</v>
      </c>
      <c r="G39" s="41" t="s">
        <v>27</v>
      </c>
      <c r="H39" s="42" t="s">
        <v>120</v>
      </c>
      <c r="I39" s="43"/>
      <c r="J39" s="43"/>
      <c r="K39" s="42" t="s">
        <v>121</v>
      </c>
      <c r="L39" s="44" t="s">
        <v>32</v>
      </c>
      <c r="M39" s="42" t="s">
        <v>143</v>
      </c>
    </row>
    <row r="40" spans="1:13" ht="132" x14ac:dyDescent="0.25">
      <c r="A40" s="38" t="s">
        <v>114</v>
      </c>
      <c r="B40" s="39"/>
      <c r="C40" s="39"/>
      <c r="D40" s="38" t="s">
        <v>136</v>
      </c>
      <c r="E40" s="44" t="s">
        <v>32</v>
      </c>
      <c r="F40" s="38" t="s">
        <v>144</v>
      </c>
      <c r="G40" s="41" t="s">
        <v>27</v>
      </c>
      <c r="H40" s="38" t="s">
        <v>127</v>
      </c>
      <c r="I40" s="39"/>
      <c r="J40" s="39"/>
      <c r="K40" s="38" t="s">
        <v>145</v>
      </c>
      <c r="L40" s="44" t="s">
        <v>32</v>
      </c>
      <c r="M40" s="38" t="s">
        <v>146</v>
      </c>
    </row>
    <row r="41" spans="1:13" ht="132" x14ac:dyDescent="0.25">
      <c r="A41" s="42" t="s">
        <v>114</v>
      </c>
      <c r="B41" s="43"/>
      <c r="C41" s="43"/>
      <c r="D41" s="42" t="s">
        <v>147</v>
      </c>
      <c r="E41" s="40" t="s">
        <v>25</v>
      </c>
      <c r="F41" s="42" t="s">
        <v>148</v>
      </c>
      <c r="G41" s="41" t="s">
        <v>27</v>
      </c>
      <c r="H41" s="42" t="s">
        <v>127</v>
      </c>
      <c r="I41" s="43"/>
      <c r="J41" s="43"/>
      <c r="K41" s="42" t="s">
        <v>149</v>
      </c>
      <c r="L41" s="40" t="s">
        <v>25</v>
      </c>
      <c r="M41" s="42" t="s">
        <v>150</v>
      </c>
    </row>
    <row r="42" spans="1:13" ht="72" x14ac:dyDescent="0.25">
      <c r="A42" s="38" t="s">
        <v>114</v>
      </c>
      <c r="B42" s="39"/>
      <c r="C42" s="39"/>
      <c r="D42" s="38" t="s">
        <v>151</v>
      </c>
      <c r="E42" s="44" t="s">
        <v>32</v>
      </c>
      <c r="F42" s="38" t="s">
        <v>152</v>
      </c>
      <c r="G42" s="45" t="s">
        <v>34</v>
      </c>
      <c r="H42" s="39"/>
      <c r="I42" s="39"/>
      <c r="J42" s="39"/>
      <c r="K42" s="39"/>
      <c r="L42" s="39"/>
      <c r="M42" s="39"/>
    </row>
    <row r="43" spans="1:13" ht="72" x14ac:dyDescent="0.25">
      <c r="A43" s="42" t="s">
        <v>114</v>
      </c>
      <c r="B43" s="43"/>
      <c r="C43" s="43"/>
      <c r="D43" s="42" t="s">
        <v>153</v>
      </c>
      <c r="E43" s="44" t="s">
        <v>32</v>
      </c>
      <c r="F43" s="42" t="s">
        <v>154</v>
      </c>
      <c r="G43" s="45" t="s">
        <v>34</v>
      </c>
      <c r="H43" s="43"/>
      <c r="I43" s="43"/>
      <c r="J43" s="43"/>
      <c r="K43" s="43"/>
      <c r="L43" s="43"/>
      <c r="M43" s="43"/>
    </row>
    <row r="44" spans="1:13" ht="108" x14ac:dyDescent="0.25">
      <c r="A44" s="38" t="s">
        <v>155</v>
      </c>
      <c r="B44" s="39"/>
      <c r="C44" s="39"/>
      <c r="D44" s="38" t="s">
        <v>156</v>
      </c>
      <c r="E44" s="41" t="s">
        <v>36</v>
      </c>
      <c r="F44" s="38" t="s">
        <v>157</v>
      </c>
      <c r="G44" s="41" t="s">
        <v>27</v>
      </c>
      <c r="H44" s="38" t="s">
        <v>84</v>
      </c>
      <c r="I44" s="39"/>
      <c r="J44" s="39"/>
      <c r="K44" s="38" t="s">
        <v>158</v>
      </c>
      <c r="L44" s="41" t="s">
        <v>36</v>
      </c>
      <c r="M44" s="38" t="s">
        <v>159</v>
      </c>
    </row>
    <row r="45" spans="1:13" ht="108" x14ac:dyDescent="0.25">
      <c r="A45" s="42" t="s">
        <v>155</v>
      </c>
      <c r="B45" s="43"/>
      <c r="C45" s="43"/>
      <c r="D45" s="42" t="s">
        <v>156</v>
      </c>
      <c r="E45" s="40" t="s">
        <v>25</v>
      </c>
      <c r="F45" s="42" t="s">
        <v>160</v>
      </c>
      <c r="G45" s="41" t="s">
        <v>27</v>
      </c>
      <c r="H45" s="42" t="s">
        <v>84</v>
      </c>
      <c r="I45" s="43"/>
      <c r="J45" s="43"/>
      <c r="K45" s="42" t="s">
        <v>158</v>
      </c>
      <c r="L45" s="40" t="s">
        <v>25</v>
      </c>
      <c r="M45" s="42" t="s">
        <v>161</v>
      </c>
    </row>
    <row r="46" spans="1:13" ht="108" x14ac:dyDescent="0.25">
      <c r="A46" s="38" t="s">
        <v>155</v>
      </c>
      <c r="B46" s="39"/>
      <c r="C46" s="39"/>
      <c r="D46" s="38" t="s">
        <v>156</v>
      </c>
      <c r="E46" s="40" t="s">
        <v>25</v>
      </c>
      <c r="F46" s="38" t="s">
        <v>162</v>
      </c>
      <c r="G46" s="41" t="s">
        <v>27</v>
      </c>
      <c r="H46" s="38" t="s">
        <v>84</v>
      </c>
      <c r="I46" s="39"/>
      <c r="J46" s="39"/>
      <c r="K46" s="38" t="s">
        <v>158</v>
      </c>
      <c r="L46" s="40" t="s">
        <v>25</v>
      </c>
      <c r="M46" s="38" t="s">
        <v>163</v>
      </c>
    </row>
    <row r="47" spans="1:13" ht="108" x14ac:dyDescent="0.25">
      <c r="A47" s="42" t="s">
        <v>155</v>
      </c>
      <c r="B47" s="43"/>
      <c r="C47" s="43"/>
      <c r="D47" s="42" t="s">
        <v>156</v>
      </c>
      <c r="E47" s="44" t="s">
        <v>32</v>
      </c>
      <c r="F47" s="42" t="s">
        <v>164</v>
      </c>
      <c r="G47" s="41" t="s">
        <v>27</v>
      </c>
      <c r="H47" s="42" t="s">
        <v>84</v>
      </c>
      <c r="I47" s="43"/>
      <c r="J47" s="43"/>
      <c r="K47" s="42" t="s">
        <v>158</v>
      </c>
      <c r="L47" s="44" t="s">
        <v>32</v>
      </c>
      <c r="M47" s="42" t="s">
        <v>165</v>
      </c>
    </row>
    <row r="48" spans="1:13" ht="108" x14ac:dyDescent="0.25">
      <c r="A48" s="38" t="s">
        <v>155</v>
      </c>
      <c r="B48" s="39"/>
      <c r="C48" s="39"/>
      <c r="D48" s="38" t="s">
        <v>166</v>
      </c>
      <c r="E48" s="41" t="s">
        <v>36</v>
      </c>
      <c r="F48" s="38" t="s">
        <v>167</v>
      </c>
      <c r="G48" s="41" t="s">
        <v>27</v>
      </c>
      <c r="H48" s="38" t="s">
        <v>84</v>
      </c>
      <c r="I48" s="39"/>
      <c r="J48" s="39"/>
      <c r="K48" s="38" t="s">
        <v>168</v>
      </c>
      <c r="L48" s="41" t="s">
        <v>36</v>
      </c>
      <c r="M48" s="38" t="s">
        <v>169</v>
      </c>
    </row>
    <row r="49" spans="1:13" ht="108" x14ac:dyDescent="0.25">
      <c r="A49" s="42" t="s">
        <v>155</v>
      </c>
      <c r="B49" s="43"/>
      <c r="C49" s="43"/>
      <c r="D49" s="42" t="s">
        <v>166</v>
      </c>
      <c r="E49" s="40" t="s">
        <v>25</v>
      </c>
      <c r="F49" s="42" t="s">
        <v>170</v>
      </c>
      <c r="G49" s="41" t="s">
        <v>27</v>
      </c>
      <c r="H49" s="42" t="s">
        <v>84</v>
      </c>
      <c r="I49" s="43"/>
      <c r="J49" s="43"/>
      <c r="K49" s="42" t="s">
        <v>168</v>
      </c>
      <c r="L49" s="40" t="s">
        <v>25</v>
      </c>
      <c r="M49" s="42" t="s">
        <v>171</v>
      </c>
    </row>
    <row r="50" spans="1:13" ht="108" x14ac:dyDescent="0.25">
      <c r="A50" s="38" t="s">
        <v>155</v>
      </c>
      <c r="B50" s="39"/>
      <c r="C50" s="39"/>
      <c r="D50" s="38" t="s">
        <v>166</v>
      </c>
      <c r="E50" s="40" t="s">
        <v>25</v>
      </c>
      <c r="F50" s="38" t="s">
        <v>172</v>
      </c>
      <c r="G50" s="41" t="s">
        <v>27</v>
      </c>
      <c r="H50" s="38" t="s">
        <v>84</v>
      </c>
      <c r="I50" s="39"/>
      <c r="J50" s="39"/>
      <c r="K50" s="38" t="s">
        <v>168</v>
      </c>
      <c r="L50" s="40" t="s">
        <v>25</v>
      </c>
      <c r="M50" s="38" t="s">
        <v>173</v>
      </c>
    </row>
    <row r="51" spans="1:13" ht="108" x14ac:dyDescent="0.25">
      <c r="A51" s="42" t="s">
        <v>155</v>
      </c>
      <c r="B51" s="43"/>
      <c r="C51" s="43"/>
      <c r="D51" s="42" t="s">
        <v>166</v>
      </c>
      <c r="E51" s="40" t="s">
        <v>25</v>
      </c>
      <c r="F51" s="42" t="s">
        <v>174</v>
      </c>
      <c r="G51" s="41" t="s">
        <v>27</v>
      </c>
      <c r="H51" s="42" t="s">
        <v>84</v>
      </c>
      <c r="I51" s="43"/>
      <c r="J51" s="43"/>
      <c r="K51" s="42" t="s">
        <v>168</v>
      </c>
      <c r="L51" s="40" t="s">
        <v>25</v>
      </c>
      <c r="M51" s="42" t="s">
        <v>175</v>
      </c>
    </row>
    <row r="52" spans="1:13" ht="108" x14ac:dyDescent="0.25">
      <c r="A52" s="38" t="s">
        <v>155</v>
      </c>
      <c r="B52" s="39"/>
      <c r="C52" s="39"/>
      <c r="D52" s="38" t="s">
        <v>166</v>
      </c>
      <c r="E52" s="44" t="s">
        <v>32</v>
      </c>
      <c r="F52" s="38" t="s">
        <v>176</v>
      </c>
      <c r="G52" s="41" t="s">
        <v>27</v>
      </c>
      <c r="H52" s="38" t="s">
        <v>84</v>
      </c>
      <c r="I52" s="39"/>
      <c r="J52" s="39"/>
      <c r="K52" s="38" t="s">
        <v>168</v>
      </c>
      <c r="L52" s="44" t="s">
        <v>32</v>
      </c>
      <c r="M52" s="38" t="s">
        <v>177</v>
      </c>
    </row>
    <row r="53" spans="1:13" ht="108" x14ac:dyDescent="0.25">
      <c r="A53" s="42" t="s">
        <v>155</v>
      </c>
      <c r="B53" s="43"/>
      <c r="C53" s="43"/>
      <c r="D53" s="42" t="s">
        <v>178</v>
      </c>
      <c r="E53" s="40" t="s">
        <v>25</v>
      </c>
      <c r="F53" s="42" t="s">
        <v>179</v>
      </c>
      <c r="G53" s="41" t="s">
        <v>27</v>
      </c>
      <c r="H53" s="42" t="s">
        <v>84</v>
      </c>
      <c r="I53" s="43"/>
      <c r="J53" s="43"/>
      <c r="K53" s="42" t="s">
        <v>180</v>
      </c>
      <c r="L53" s="40" t="s">
        <v>25</v>
      </c>
      <c r="M53" s="42" t="s">
        <v>181</v>
      </c>
    </row>
    <row r="54" spans="1:13" ht="108" x14ac:dyDescent="0.25">
      <c r="A54" s="38" t="s">
        <v>155</v>
      </c>
      <c r="B54" s="39"/>
      <c r="C54" s="46" t="s">
        <v>13</v>
      </c>
      <c r="D54" s="38" t="s">
        <v>178</v>
      </c>
      <c r="E54" s="44" t="s">
        <v>32</v>
      </c>
      <c r="F54" s="38" t="s">
        <v>182</v>
      </c>
      <c r="G54" s="41" t="s">
        <v>27</v>
      </c>
      <c r="H54" s="38" t="s">
        <v>84</v>
      </c>
      <c r="I54" s="39"/>
      <c r="J54" s="39"/>
      <c r="K54" s="38" t="s">
        <v>180</v>
      </c>
      <c r="L54" s="44" t="s">
        <v>32</v>
      </c>
      <c r="M54" s="38" t="s">
        <v>183</v>
      </c>
    </row>
    <row r="55" spans="1:13" ht="108" x14ac:dyDescent="0.25">
      <c r="A55" s="42" t="s">
        <v>155</v>
      </c>
      <c r="B55" s="43"/>
      <c r="C55" s="43"/>
      <c r="D55" s="42" t="s">
        <v>184</v>
      </c>
      <c r="E55" s="40" t="s">
        <v>25</v>
      </c>
      <c r="F55" s="42" t="s">
        <v>185</v>
      </c>
      <c r="G55" s="41" t="s">
        <v>27</v>
      </c>
      <c r="H55" s="42" t="s">
        <v>84</v>
      </c>
      <c r="I55" s="43"/>
      <c r="J55" s="43"/>
      <c r="K55" s="42" t="s">
        <v>186</v>
      </c>
      <c r="L55" s="40" t="s">
        <v>25</v>
      </c>
      <c r="M55" s="42" t="s">
        <v>187</v>
      </c>
    </row>
    <row r="56" spans="1:13" ht="108" x14ac:dyDescent="0.25">
      <c r="A56" s="38" t="s">
        <v>155</v>
      </c>
      <c r="B56" s="39"/>
      <c r="C56" s="39"/>
      <c r="D56" s="38" t="s">
        <v>184</v>
      </c>
      <c r="E56" s="44" t="s">
        <v>32</v>
      </c>
      <c r="F56" s="38" t="s">
        <v>188</v>
      </c>
      <c r="G56" s="41" t="s">
        <v>27</v>
      </c>
      <c r="H56" s="38" t="s">
        <v>84</v>
      </c>
      <c r="I56" s="39"/>
      <c r="J56" s="39"/>
      <c r="K56" s="38" t="s">
        <v>186</v>
      </c>
      <c r="L56" s="44" t="s">
        <v>32</v>
      </c>
      <c r="M56" s="38" t="s">
        <v>189</v>
      </c>
    </row>
    <row r="57" spans="1:13" ht="108" x14ac:dyDescent="0.25">
      <c r="A57" s="42" t="s">
        <v>155</v>
      </c>
      <c r="B57" s="43"/>
      <c r="C57" s="43"/>
      <c r="D57" s="42" t="s">
        <v>190</v>
      </c>
      <c r="E57" s="41" t="s">
        <v>36</v>
      </c>
      <c r="F57" s="42" t="s">
        <v>191</v>
      </c>
      <c r="G57" s="41" t="s">
        <v>27</v>
      </c>
      <c r="H57" s="42" t="s">
        <v>84</v>
      </c>
      <c r="I57" s="43"/>
      <c r="J57" s="43"/>
      <c r="K57" s="42" t="s">
        <v>192</v>
      </c>
      <c r="L57" s="41" t="s">
        <v>36</v>
      </c>
      <c r="M57" s="42" t="s">
        <v>193</v>
      </c>
    </row>
    <row r="58" spans="1:13" ht="108" x14ac:dyDescent="0.25">
      <c r="A58" s="38" t="s">
        <v>155</v>
      </c>
      <c r="B58" s="39"/>
      <c r="C58" s="39"/>
      <c r="D58" s="38" t="s">
        <v>194</v>
      </c>
      <c r="E58" s="41" t="s">
        <v>36</v>
      </c>
      <c r="F58" s="38" t="s">
        <v>195</v>
      </c>
      <c r="G58" s="41" t="s">
        <v>27</v>
      </c>
      <c r="H58" s="38" t="s">
        <v>84</v>
      </c>
      <c r="I58" s="39"/>
      <c r="J58" s="39"/>
      <c r="K58" s="38" t="s">
        <v>180</v>
      </c>
      <c r="L58" s="41" t="s">
        <v>36</v>
      </c>
      <c r="M58" s="38" t="s">
        <v>196</v>
      </c>
    </row>
    <row r="59" spans="1:13" ht="108" x14ac:dyDescent="0.25">
      <c r="A59" s="42" t="s">
        <v>155</v>
      </c>
      <c r="B59" s="43"/>
      <c r="C59" s="43"/>
      <c r="D59" s="42" t="s">
        <v>194</v>
      </c>
      <c r="E59" s="40" t="s">
        <v>25</v>
      </c>
      <c r="F59" s="42" t="s">
        <v>197</v>
      </c>
      <c r="G59" s="45" t="s">
        <v>34</v>
      </c>
      <c r="H59" s="43"/>
      <c r="I59" s="43"/>
      <c r="J59" s="43"/>
      <c r="K59" s="43"/>
      <c r="L59" s="43"/>
      <c r="M59" s="43"/>
    </row>
    <row r="60" spans="1:13" ht="108" x14ac:dyDescent="0.25">
      <c r="A60" s="38" t="s">
        <v>155</v>
      </c>
      <c r="B60" s="39"/>
      <c r="C60" s="46" t="s">
        <v>13</v>
      </c>
      <c r="D60" s="38" t="s">
        <v>198</v>
      </c>
      <c r="E60" s="41" t="s">
        <v>36</v>
      </c>
      <c r="F60" s="38" t="s">
        <v>199</v>
      </c>
      <c r="G60" s="41" t="s">
        <v>27</v>
      </c>
      <c r="H60" s="38" t="s">
        <v>200</v>
      </c>
      <c r="I60" s="39"/>
      <c r="J60" s="46" t="s">
        <v>13</v>
      </c>
      <c r="K60" s="38" t="s">
        <v>201</v>
      </c>
      <c r="L60" s="41" t="s">
        <v>36</v>
      </c>
      <c r="M60" s="38" t="s">
        <v>202</v>
      </c>
    </row>
    <row r="61" spans="1:13" ht="108" x14ac:dyDescent="0.25">
      <c r="A61" s="42" t="s">
        <v>155</v>
      </c>
      <c r="B61" s="43"/>
      <c r="C61" s="43"/>
      <c r="D61" s="42" t="s">
        <v>198</v>
      </c>
      <c r="E61" s="40" t="s">
        <v>25</v>
      </c>
      <c r="F61" s="42" t="s">
        <v>203</v>
      </c>
      <c r="G61" s="41" t="s">
        <v>27</v>
      </c>
      <c r="H61" s="42" t="s">
        <v>204</v>
      </c>
      <c r="I61" s="43"/>
      <c r="J61" s="43"/>
      <c r="K61" s="42" t="s">
        <v>205</v>
      </c>
      <c r="L61" s="40" t="s">
        <v>25</v>
      </c>
      <c r="M61" s="42" t="s">
        <v>206</v>
      </c>
    </row>
    <row r="62" spans="1:13" ht="108" x14ac:dyDescent="0.25">
      <c r="A62" s="38" t="s">
        <v>155</v>
      </c>
      <c r="B62" s="39"/>
      <c r="C62" s="39"/>
      <c r="D62" s="38" t="s">
        <v>198</v>
      </c>
      <c r="E62" s="40" t="s">
        <v>25</v>
      </c>
      <c r="F62" s="38" t="s">
        <v>207</v>
      </c>
      <c r="G62" s="41" t="s">
        <v>27</v>
      </c>
      <c r="H62" s="38" t="s">
        <v>204</v>
      </c>
      <c r="I62" s="39"/>
      <c r="J62" s="39"/>
      <c r="K62" s="38" t="s">
        <v>205</v>
      </c>
      <c r="L62" s="40" t="s">
        <v>25</v>
      </c>
      <c r="M62" s="38" t="s">
        <v>208</v>
      </c>
    </row>
    <row r="63" spans="1:13" ht="108" x14ac:dyDescent="0.25">
      <c r="A63" s="42" t="s">
        <v>155</v>
      </c>
      <c r="B63" s="43"/>
      <c r="C63" s="43"/>
      <c r="D63" s="42" t="s">
        <v>198</v>
      </c>
      <c r="E63" s="44" t="s">
        <v>32</v>
      </c>
      <c r="F63" s="42" t="s">
        <v>209</v>
      </c>
      <c r="G63" s="41" t="s">
        <v>27</v>
      </c>
      <c r="H63" s="42" t="s">
        <v>204</v>
      </c>
      <c r="I63" s="43"/>
      <c r="J63" s="43"/>
      <c r="K63" s="42" t="s">
        <v>205</v>
      </c>
      <c r="L63" s="44" t="s">
        <v>32</v>
      </c>
      <c r="M63" s="42" t="s">
        <v>210</v>
      </c>
    </row>
    <row r="64" spans="1:13" ht="108" x14ac:dyDescent="0.25">
      <c r="A64" s="38" t="s">
        <v>155</v>
      </c>
      <c r="B64" s="39"/>
      <c r="C64" s="39"/>
      <c r="D64" s="38" t="s">
        <v>198</v>
      </c>
      <c r="E64" s="40" t="s">
        <v>25</v>
      </c>
      <c r="F64" s="38" t="s">
        <v>211</v>
      </c>
      <c r="G64" s="41" t="s">
        <v>27</v>
      </c>
      <c r="H64" s="38" t="s">
        <v>200</v>
      </c>
      <c r="I64" s="39"/>
      <c r="J64" s="39"/>
      <c r="K64" s="38" t="s">
        <v>201</v>
      </c>
      <c r="L64" s="40" t="s">
        <v>25</v>
      </c>
      <c r="M64" s="38" t="s">
        <v>212</v>
      </c>
    </row>
    <row r="65" spans="1:13" ht="108" x14ac:dyDescent="0.25">
      <c r="A65" s="42" t="s">
        <v>155</v>
      </c>
      <c r="B65" s="43"/>
      <c r="C65" s="46" t="s">
        <v>13</v>
      </c>
      <c r="D65" s="42" t="s">
        <v>198</v>
      </c>
      <c r="E65" s="44" t="s">
        <v>32</v>
      </c>
      <c r="F65" s="42" t="s">
        <v>213</v>
      </c>
      <c r="G65" s="41" t="s">
        <v>27</v>
      </c>
      <c r="H65" s="42" t="s">
        <v>200</v>
      </c>
      <c r="I65" s="43"/>
      <c r="J65" s="46" t="s">
        <v>13</v>
      </c>
      <c r="K65" s="42" t="s">
        <v>201</v>
      </c>
      <c r="L65" s="44" t="s">
        <v>32</v>
      </c>
      <c r="M65" s="42" t="s">
        <v>214</v>
      </c>
    </row>
    <row r="66" spans="1:13" ht="108" x14ac:dyDescent="0.25">
      <c r="A66" s="38" t="s">
        <v>155</v>
      </c>
      <c r="B66" s="39"/>
      <c r="C66" s="39"/>
      <c r="D66" s="38" t="s">
        <v>198</v>
      </c>
      <c r="E66" s="40" t="s">
        <v>25</v>
      </c>
      <c r="F66" s="38" t="s">
        <v>215</v>
      </c>
      <c r="G66" s="41" t="s">
        <v>27</v>
      </c>
      <c r="H66" s="38" t="s">
        <v>200</v>
      </c>
      <c r="I66" s="39"/>
      <c r="J66" s="39"/>
      <c r="K66" s="38" t="s">
        <v>201</v>
      </c>
      <c r="L66" s="40" t="s">
        <v>25</v>
      </c>
      <c r="M66" s="38" t="s">
        <v>216</v>
      </c>
    </row>
    <row r="67" spans="1:13" ht="108" x14ac:dyDescent="0.25">
      <c r="A67" s="42" t="s">
        <v>155</v>
      </c>
      <c r="B67" s="43"/>
      <c r="C67" s="46" t="s">
        <v>13</v>
      </c>
      <c r="D67" s="42" t="s">
        <v>198</v>
      </c>
      <c r="E67" s="44" t="s">
        <v>32</v>
      </c>
      <c r="F67" s="42" t="s">
        <v>217</v>
      </c>
      <c r="G67" s="41" t="s">
        <v>27</v>
      </c>
      <c r="H67" s="42" t="s">
        <v>200</v>
      </c>
      <c r="I67" s="43"/>
      <c r="J67" s="46" t="s">
        <v>13</v>
      </c>
      <c r="K67" s="42" t="s">
        <v>201</v>
      </c>
      <c r="L67" s="44" t="s">
        <v>32</v>
      </c>
      <c r="M67" s="42" t="s">
        <v>218</v>
      </c>
    </row>
    <row r="68" spans="1:13" ht="108" x14ac:dyDescent="0.25">
      <c r="A68" s="38" t="s">
        <v>155</v>
      </c>
      <c r="B68" s="39"/>
      <c r="C68" s="46" t="s">
        <v>13</v>
      </c>
      <c r="D68" s="38" t="s">
        <v>198</v>
      </c>
      <c r="E68" s="44" t="s">
        <v>32</v>
      </c>
      <c r="F68" s="38" t="s">
        <v>219</v>
      </c>
      <c r="G68" s="41" t="s">
        <v>27</v>
      </c>
      <c r="H68" s="38" t="s">
        <v>200</v>
      </c>
      <c r="I68" s="39"/>
      <c r="J68" s="46" t="s">
        <v>13</v>
      </c>
      <c r="K68" s="38" t="s">
        <v>201</v>
      </c>
      <c r="L68" s="44" t="s">
        <v>32</v>
      </c>
      <c r="M68" s="38" t="s">
        <v>220</v>
      </c>
    </row>
    <row r="69" spans="1:13" ht="108" x14ac:dyDescent="0.25">
      <c r="A69" s="42" t="s">
        <v>155</v>
      </c>
      <c r="B69" s="43"/>
      <c r="C69" s="43"/>
      <c r="D69" s="42" t="s">
        <v>198</v>
      </c>
      <c r="E69" s="40" t="s">
        <v>25</v>
      </c>
      <c r="F69" s="42" t="s">
        <v>221</v>
      </c>
      <c r="G69" s="41" t="s">
        <v>27</v>
      </c>
      <c r="H69" s="42" t="s">
        <v>200</v>
      </c>
      <c r="I69" s="43"/>
      <c r="J69" s="43"/>
      <c r="K69" s="42" t="s">
        <v>222</v>
      </c>
      <c r="L69" s="40" t="s">
        <v>25</v>
      </c>
      <c r="M69" s="42" t="s">
        <v>223</v>
      </c>
    </row>
    <row r="70" spans="1:13" ht="108" x14ac:dyDescent="0.25">
      <c r="A70" s="38" t="s">
        <v>155</v>
      </c>
      <c r="B70" s="39"/>
      <c r="C70" s="39"/>
      <c r="D70" s="38" t="s">
        <v>198</v>
      </c>
      <c r="E70" s="40" t="s">
        <v>25</v>
      </c>
      <c r="F70" s="38" t="s">
        <v>224</v>
      </c>
      <c r="G70" s="41" t="s">
        <v>27</v>
      </c>
      <c r="H70" s="38" t="s">
        <v>200</v>
      </c>
      <c r="I70" s="39"/>
      <c r="J70" s="39"/>
      <c r="K70" s="38" t="s">
        <v>222</v>
      </c>
      <c r="L70" s="40" t="s">
        <v>25</v>
      </c>
      <c r="M70" s="38" t="s">
        <v>225</v>
      </c>
    </row>
    <row r="71" spans="1:13" ht="108" x14ac:dyDescent="0.25">
      <c r="A71" s="42" t="s">
        <v>155</v>
      </c>
      <c r="B71" s="43"/>
      <c r="C71" s="43"/>
      <c r="D71" s="42" t="s">
        <v>198</v>
      </c>
      <c r="E71" s="44" t="s">
        <v>32</v>
      </c>
      <c r="F71" s="42" t="s">
        <v>226</v>
      </c>
      <c r="G71" s="41" t="s">
        <v>27</v>
      </c>
      <c r="H71" s="42" t="s">
        <v>200</v>
      </c>
      <c r="I71" s="43"/>
      <c r="J71" s="43"/>
      <c r="K71" s="42" t="s">
        <v>222</v>
      </c>
      <c r="L71" s="44" t="s">
        <v>32</v>
      </c>
      <c r="M71" s="42" t="s">
        <v>227</v>
      </c>
    </row>
    <row r="72" spans="1:13" ht="84" x14ac:dyDescent="0.25">
      <c r="A72" s="38" t="s">
        <v>228</v>
      </c>
      <c r="B72" s="39"/>
      <c r="C72" s="39"/>
      <c r="D72" s="38" t="s">
        <v>229</v>
      </c>
      <c r="E72" s="41" t="s">
        <v>36</v>
      </c>
      <c r="F72" s="38" t="s">
        <v>230</v>
      </c>
      <c r="G72" s="41" t="s">
        <v>27</v>
      </c>
      <c r="H72" s="38" t="s">
        <v>231</v>
      </c>
      <c r="I72" s="39"/>
      <c r="J72" s="39"/>
      <c r="K72" s="38" t="s">
        <v>232</v>
      </c>
      <c r="L72" s="41" t="s">
        <v>36</v>
      </c>
      <c r="M72" s="38" t="s">
        <v>233</v>
      </c>
    </row>
    <row r="73" spans="1:13" ht="84" x14ac:dyDescent="0.25">
      <c r="A73" s="42" t="s">
        <v>228</v>
      </c>
      <c r="B73" s="43"/>
      <c r="C73" s="43"/>
      <c r="D73" s="42" t="s">
        <v>229</v>
      </c>
      <c r="E73" s="40" t="s">
        <v>25</v>
      </c>
      <c r="F73" s="42" t="s">
        <v>234</v>
      </c>
      <c r="G73" s="41" t="s">
        <v>27</v>
      </c>
      <c r="H73" s="42" t="s">
        <v>231</v>
      </c>
      <c r="I73" s="43"/>
      <c r="J73" s="43"/>
      <c r="K73" s="42" t="s">
        <v>232</v>
      </c>
      <c r="L73" s="40" t="s">
        <v>25</v>
      </c>
      <c r="M73" s="42" t="s">
        <v>235</v>
      </c>
    </row>
    <row r="74" spans="1:13" ht="120" x14ac:dyDescent="0.25">
      <c r="A74" s="38" t="s">
        <v>228</v>
      </c>
      <c r="B74" s="39"/>
      <c r="C74" s="39"/>
      <c r="D74" s="38" t="s">
        <v>229</v>
      </c>
      <c r="E74" s="40" t="s">
        <v>25</v>
      </c>
      <c r="F74" s="38" t="s">
        <v>236</v>
      </c>
      <c r="G74" s="41" t="s">
        <v>27</v>
      </c>
      <c r="H74" s="38" t="s">
        <v>97</v>
      </c>
      <c r="I74" s="39"/>
      <c r="J74" s="39"/>
      <c r="K74" s="38" t="s">
        <v>237</v>
      </c>
      <c r="L74" s="40" t="s">
        <v>25</v>
      </c>
      <c r="M74" s="38" t="s">
        <v>238</v>
      </c>
    </row>
    <row r="75" spans="1:13" ht="84" x14ac:dyDescent="0.25">
      <c r="A75" s="42" t="s">
        <v>228</v>
      </c>
      <c r="B75" s="43"/>
      <c r="C75" s="43"/>
      <c r="D75" s="42" t="s">
        <v>229</v>
      </c>
      <c r="E75" s="44" t="s">
        <v>32</v>
      </c>
      <c r="F75" s="42" t="s">
        <v>239</v>
      </c>
      <c r="G75" s="41" t="s">
        <v>27</v>
      </c>
      <c r="H75" s="42" t="s">
        <v>231</v>
      </c>
      <c r="I75" s="43"/>
      <c r="J75" s="43"/>
      <c r="K75" s="42" t="s">
        <v>232</v>
      </c>
      <c r="L75" s="44" t="s">
        <v>32</v>
      </c>
      <c r="M75" s="42" t="s">
        <v>240</v>
      </c>
    </row>
    <row r="76" spans="1:13" ht="72" x14ac:dyDescent="0.25">
      <c r="A76" s="38" t="s">
        <v>228</v>
      </c>
      <c r="B76" s="39"/>
      <c r="C76" s="39"/>
      <c r="D76" s="38" t="s">
        <v>229</v>
      </c>
      <c r="E76" s="40" t="s">
        <v>25</v>
      </c>
      <c r="F76" s="38" t="s">
        <v>241</v>
      </c>
      <c r="G76" s="41" t="s">
        <v>27</v>
      </c>
      <c r="H76" s="38" t="s">
        <v>242</v>
      </c>
      <c r="I76" s="39"/>
      <c r="J76" s="39"/>
      <c r="K76" s="38" t="s">
        <v>243</v>
      </c>
      <c r="L76" s="40" t="s">
        <v>25</v>
      </c>
      <c r="M76" s="38" t="s">
        <v>244</v>
      </c>
    </row>
    <row r="77" spans="1:13" ht="60" x14ac:dyDescent="0.25">
      <c r="A77" s="42" t="s">
        <v>228</v>
      </c>
      <c r="B77" s="43"/>
      <c r="C77" s="43"/>
      <c r="D77" s="42" t="s">
        <v>229</v>
      </c>
      <c r="E77" s="40" t="s">
        <v>25</v>
      </c>
      <c r="F77" s="42" t="s">
        <v>245</v>
      </c>
      <c r="G77" s="45" t="s">
        <v>34</v>
      </c>
      <c r="H77" s="43"/>
      <c r="I77" s="43"/>
      <c r="J77" s="43"/>
      <c r="K77" s="43"/>
      <c r="L77" s="43"/>
      <c r="M77" s="43"/>
    </row>
    <row r="78" spans="1:13" ht="84" x14ac:dyDescent="0.25">
      <c r="A78" s="38" t="s">
        <v>228</v>
      </c>
      <c r="B78" s="39"/>
      <c r="C78" s="39"/>
      <c r="D78" s="38" t="s">
        <v>246</v>
      </c>
      <c r="E78" s="40" t="s">
        <v>25</v>
      </c>
      <c r="F78" s="38" t="s">
        <v>247</v>
      </c>
      <c r="G78" s="41" t="s">
        <v>27</v>
      </c>
      <c r="H78" s="38" t="s">
        <v>231</v>
      </c>
      <c r="I78" s="39"/>
      <c r="J78" s="39"/>
      <c r="K78" s="38" t="s">
        <v>248</v>
      </c>
      <c r="L78" s="40" t="s">
        <v>25</v>
      </c>
      <c r="M78" s="38" t="s">
        <v>249</v>
      </c>
    </row>
    <row r="79" spans="1:13" ht="84" x14ac:dyDescent="0.25">
      <c r="A79" s="42" t="s">
        <v>228</v>
      </c>
      <c r="B79" s="43"/>
      <c r="C79" s="43"/>
      <c r="D79" s="42" t="s">
        <v>246</v>
      </c>
      <c r="E79" s="44" t="s">
        <v>32</v>
      </c>
      <c r="F79" s="42" t="s">
        <v>250</v>
      </c>
      <c r="G79" s="41" t="s">
        <v>27</v>
      </c>
      <c r="H79" s="42" t="s">
        <v>231</v>
      </c>
      <c r="I79" s="43"/>
      <c r="J79" s="43"/>
      <c r="K79" s="42" t="s">
        <v>248</v>
      </c>
      <c r="L79" s="44" t="s">
        <v>32</v>
      </c>
      <c r="M79" s="42" t="s">
        <v>251</v>
      </c>
    </row>
    <row r="80" spans="1:13" ht="60" x14ac:dyDescent="0.25">
      <c r="A80" s="38" t="s">
        <v>228</v>
      </c>
      <c r="B80" s="39"/>
      <c r="C80" s="39"/>
      <c r="D80" s="38" t="s">
        <v>252</v>
      </c>
      <c r="E80" s="40" t="s">
        <v>25</v>
      </c>
      <c r="F80" s="38" t="s">
        <v>253</v>
      </c>
      <c r="G80" s="45" t="s">
        <v>34</v>
      </c>
      <c r="H80" s="39"/>
      <c r="I80" s="39"/>
      <c r="J80" s="39"/>
      <c r="K80" s="39"/>
      <c r="L80" s="39"/>
      <c r="M80" s="39"/>
    </row>
    <row r="81" spans="1:13" ht="84" x14ac:dyDescent="0.25">
      <c r="A81" s="42" t="s">
        <v>228</v>
      </c>
      <c r="B81" s="43"/>
      <c r="C81" s="43"/>
      <c r="D81" s="42" t="s">
        <v>254</v>
      </c>
      <c r="E81" s="41" t="s">
        <v>36</v>
      </c>
      <c r="F81" s="42" t="s">
        <v>255</v>
      </c>
      <c r="G81" s="41" t="s">
        <v>27</v>
      </c>
      <c r="H81" s="42" t="s">
        <v>231</v>
      </c>
      <c r="I81" s="43"/>
      <c r="J81" s="43"/>
      <c r="K81" s="42" t="s">
        <v>256</v>
      </c>
      <c r="L81" s="41" t="s">
        <v>36</v>
      </c>
      <c r="M81" s="42" t="s">
        <v>257</v>
      </c>
    </row>
    <row r="82" spans="1:13" ht="84" x14ac:dyDescent="0.25">
      <c r="A82" s="38" t="s">
        <v>228</v>
      </c>
      <c r="B82" s="38" t="s">
        <v>59</v>
      </c>
      <c r="C82" s="39"/>
      <c r="D82" s="38" t="s">
        <v>254</v>
      </c>
      <c r="E82" s="40" t="s">
        <v>25</v>
      </c>
      <c r="F82" s="38" t="s">
        <v>258</v>
      </c>
      <c r="G82" s="41" t="s">
        <v>27</v>
      </c>
      <c r="H82" s="38" t="s">
        <v>231</v>
      </c>
      <c r="I82" s="39"/>
      <c r="J82" s="39"/>
      <c r="K82" s="38" t="s">
        <v>256</v>
      </c>
      <c r="L82" s="40" t="s">
        <v>25</v>
      </c>
      <c r="M82" s="38" t="s">
        <v>259</v>
      </c>
    </row>
    <row r="83" spans="1:13" ht="84" x14ac:dyDescent="0.25">
      <c r="A83" s="42" t="s">
        <v>228</v>
      </c>
      <c r="B83" s="42" t="s">
        <v>59</v>
      </c>
      <c r="C83" s="43"/>
      <c r="D83" s="42" t="s">
        <v>254</v>
      </c>
      <c r="E83" s="44" t="s">
        <v>32</v>
      </c>
      <c r="F83" s="42" t="s">
        <v>260</v>
      </c>
      <c r="G83" s="41" t="s">
        <v>27</v>
      </c>
      <c r="H83" s="42" t="s">
        <v>231</v>
      </c>
      <c r="I83" s="43"/>
      <c r="J83" s="43"/>
      <c r="K83" s="42" t="s">
        <v>256</v>
      </c>
      <c r="L83" s="44" t="s">
        <v>32</v>
      </c>
      <c r="M83" s="42" t="s">
        <v>261</v>
      </c>
    </row>
    <row r="84" spans="1:13" ht="84" x14ac:dyDescent="0.25">
      <c r="A84" s="38" t="s">
        <v>228</v>
      </c>
      <c r="B84" s="38" t="s">
        <v>59</v>
      </c>
      <c r="C84" s="39"/>
      <c r="D84" s="38" t="s">
        <v>262</v>
      </c>
      <c r="E84" s="40" t="s">
        <v>25</v>
      </c>
      <c r="F84" s="38" t="s">
        <v>263</v>
      </c>
      <c r="G84" s="41" t="s">
        <v>27</v>
      </c>
      <c r="H84" s="38" t="s">
        <v>231</v>
      </c>
      <c r="I84" s="39"/>
      <c r="J84" s="39"/>
      <c r="K84" s="38" t="s">
        <v>264</v>
      </c>
      <c r="L84" s="40" t="s">
        <v>25</v>
      </c>
      <c r="M84" s="38" t="s">
        <v>265</v>
      </c>
    </row>
    <row r="85" spans="1:13" ht="72" x14ac:dyDescent="0.25">
      <c r="A85" s="42" t="s">
        <v>228</v>
      </c>
      <c r="B85" s="43"/>
      <c r="C85" s="46" t="s">
        <v>13</v>
      </c>
      <c r="D85" s="42" t="s">
        <v>266</v>
      </c>
      <c r="E85" s="40" t="s">
        <v>25</v>
      </c>
      <c r="F85" s="42" t="s">
        <v>267</v>
      </c>
      <c r="G85" s="41" t="s">
        <v>27</v>
      </c>
      <c r="H85" s="42" t="s">
        <v>268</v>
      </c>
      <c r="I85" s="43"/>
      <c r="J85" s="46" t="s">
        <v>13</v>
      </c>
      <c r="K85" s="42" t="s">
        <v>269</v>
      </c>
      <c r="L85" s="40" t="s">
        <v>25</v>
      </c>
      <c r="M85" s="42" t="s">
        <v>270</v>
      </c>
    </row>
    <row r="86" spans="1:13" ht="72" x14ac:dyDescent="0.25">
      <c r="A86" s="38" t="s">
        <v>228</v>
      </c>
      <c r="B86" s="39"/>
      <c r="C86" s="39"/>
      <c r="D86" s="38" t="s">
        <v>266</v>
      </c>
      <c r="E86" s="44" t="s">
        <v>32</v>
      </c>
      <c r="F86" s="38" t="s">
        <v>271</v>
      </c>
      <c r="G86" s="41" t="s">
        <v>27</v>
      </c>
      <c r="H86" s="38" t="s">
        <v>268</v>
      </c>
      <c r="I86" s="39"/>
      <c r="J86" s="39"/>
      <c r="K86" s="38" t="s">
        <v>269</v>
      </c>
      <c r="L86" s="44" t="s">
        <v>32</v>
      </c>
      <c r="M86" s="38" t="s">
        <v>272</v>
      </c>
    </row>
    <row r="87" spans="1:13" ht="60" x14ac:dyDescent="0.25">
      <c r="A87" s="42" t="s">
        <v>273</v>
      </c>
      <c r="B87" s="43"/>
      <c r="C87" s="43"/>
      <c r="D87" s="42" t="s">
        <v>274</v>
      </c>
      <c r="E87" s="40" t="s">
        <v>25</v>
      </c>
      <c r="F87" s="42" t="s">
        <v>275</v>
      </c>
      <c r="G87" s="45" t="s">
        <v>34</v>
      </c>
      <c r="H87" s="43"/>
      <c r="I87" s="43"/>
      <c r="J87" s="43"/>
      <c r="K87" s="43"/>
      <c r="L87" s="43"/>
      <c r="M87" s="43"/>
    </row>
    <row r="88" spans="1:13" ht="72" x14ac:dyDescent="0.25">
      <c r="A88" s="38" t="s">
        <v>273</v>
      </c>
      <c r="B88" s="39"/>
      <c r="C88" s="39"/>
      <c r="D88" s="38" t="s">
        <v>276</v>
      </c>
      <c r="E88" s="41" t="s">
        <v>36</v>
      </c>
      <c r="F88" s="38" t="s">
        <v>277</v>
      </c>
      <c r="G88" s="41" t="s">
        <v>27</v>
      </c>
      <c r="H88" s="38" t="s">
        <v>92</v>
      </c>
      <c r="I88" s="39"/>
      <c r="J88" s="39"/>
      <c r="K88" s="38" t="s">
        <v>278</v>
      </c>
      <c r="L88" s="41" t="s">
        <v>36</v>
      </c>
      <c r="M88" s="38" t="s">
        <v>279</v>
      </c>
    </row>
    <row r="89" spans="1:13" ht="60" x14ac:dyDescent="0.25">
      <c r="A89" s="42" t="s">
        <v>273</v>
      </c>
      <c r="B89" s="43"/>
      <c r="C89" s="43"/>
      <c r="D89" s="42" t="s">
        <v>276</v>
      </c>
      <c r="E89" s="40" t="s">
        <v>25</v>
      </c>
      <c r="F89" s="42" t="s">
        <v>280</v>
      </c>
      <c r="G89" s="41" t="s">
        <v>27</v>
      </c>
      <c r="H89" s="42" t="s">
        <v>281</v>
      </c>
      <c r="I89" s="43"/>
      <c r="J89" s="43"/>
      <c r="K89" s="42" t="s">
        <v>282</v>
      </c>
      <c r="L89" s="40" t="s">
        <v>25</v>
      </c>
      <c r="M89" s="42" t="s">
        <v>283</v>
      </c>
    </row>
    <row r="90" spans="1:13" ht="120" x14ac:dyDescent="0.25">
      <c r="A90" s="38" t="s">
        <v>273</v>
      </c>
      <c r="B90" s="39"/>
      <c r="C90" s="39"/>
      <c r="D90" s="38" t="s">
        <v>276</v>
      </c>
      <c r="E90" s="40" t="s">
        <v>25</v>
      </c>
      <c r="F90" s="38" t="s">
        <v>284</v>
      </c>
      <c r="G90" s="41" t="s">
        <v>27</v>
      </c>
      <c r="H90" s="38" t="s">
        <v>97</v>
      </c>
      <c r="I90" s="39"/>
      <c r="J90" s="39"/>
      <c r="K90" s="38" t="s">
        <v>285</v>
      </c>
      <c r="L90" s="40" t="s">
        <v>25</v>
      </c>
      <c r="M90" s="38" t="s">
        <v>286</v>
      </c>
    </row>
    <row r="91" spans="1:13" ht="120" x14ac:dyDescent="0.25">
      <c r="A91" s="42" t="s">
        <v>273</v>
      </c>
      <c r="B91" s="43"/>
      <c r="C91" s="43"/>
      <c r="D91" s="42" t="s">
        <v>276</v>
      </c>
      <c r="E91" s="40" t="s">
        <v>25</v>
      </c>
      <c r="F91" s="42" t="s">
        <v>287</v>
      </c>
      <c r="G91" s="41" t="s">
        <v>27</v>
      </c>
      <c r="H91" s="42" t="s">
        <v>97</v>
      </c>
      <c r="I91" s="43"/>
      <c r="J91" s="43"/>
      <c r="K91" s="42" t="s">
        <v>288</v>
      </c>
      <c r="L91" s="40" t="s">
        <v>25</v>
      </c>
      <c r="M91" s="42" t="s">
        <v>289</v>
      </c>
    </row>
    <row r="92" spans="1:13" ht="120" x14ac:dyDescent="0.25">
      <c r="A92" s="38" t="s">
        <v>273</v>
      </c>
      <c r="B92" s="39"/>
      <c r="C92" s="39"/>
      <c r="D92" s="38" t="s">
        <v>276</v>
      </c>
      <c r="E92" s="40" t="s">
        <v>25</v>
      </c>
      <c r="F92" s="38" t="s">
        <v>290</v>
      </c>
      <c r="G92" s="41" t="s">
        <v>27</v>
      </c>
      <c r="H92" s="38" t="s">
        <v>97</v>
      </c>
      <c r="I92" s="39"/>
      <c r="J92" s="39"/>
      <c r="K92" s="38" t="s">
        <v>288</v>
      </c>
      <c r="L92" s="40" t="s">
        <v>25</v>
      </c>
      <c r="M92" s="38" t="s">
        <v>291</v>
      </c>
    </row>
    <row r="93" spans="1:13" ht="120" x14ac:dyDescent="0.25">
      <c r="A93" s="42" t="s">
        <v>273</v>
      </c>
      <c r="B93" s="43"/>
      <c r="C93" s="43"/>
      <c r="D93" s="42" t="s">
        <v>276</v>
      </c>
      <c r="E93" s="40" t="s">
        <v>25</v>
      </c>
      <c r="F93" s="42" t="s">
        <v>292</v>
      </c>
      <c r="G93" s="41" t="s">
        <v>27</v>
      </c>
      <c r="H93" s="42" t="s">
        <v>97</v>
      </c>
      <c r="I93" s="43"/>
      <c r="J93" s="43"/>
      <c r="K93" s="42" t="s">
        <v>288</v>
      </c>
      <c r="L93" s="40" t="s">
        <v>25</v>
      </c>
      <c r="M93" s="42" t="s">
        <v>293</v>
      </c>
    </row>
    <row r="94" spans="1:13" ht="120" x14ac:dyDescent="0.25">
      <c r="A94" s="38" t="s">
        <v>273</v>
      </c>
      <c r="B94" s="39"/>
      <c r="C94" s="39"/>
      <c r="D94" s="38" t="s">
        <v>276</v>
      </c>
      <c r="E94" s="44" t="s">
        <v>32</v>
      </c>
      <c r="F94" s="38" t="s">
        <v>294</v>
      </c>
      <c r="G94" s="41" t="s">
        <v>27</v>
      </c>
      <c r="H94" s="38" t="s">
        <v>97</v>
      </c>
      <c r="I94" s="39"/>
      <c r="J94" s="39"/>
      <c r="K94" s="38" t="s">
        <v>285</v>
      </c>
      <c r="L94" s="44" t="s">
        <v>32</v>
      </c>
      <c r="M94" s="38" t="s">
        <v>295</v>
      </c>
    </row>
    <row r="95" spans="1:13" ht="120" x14ac:dyDescent="0.25">
      <c r="A95" s="42" t="s">
        <v>273</v>
      </c>
      <c r="B95" s="43"/>
      <c r="C95" s="43"/>
      <c r="D95" s="42" t="s">
        <v>276</v>
      </c>
      <c r="E95" s="44" t="s">
        <v>32</v>
      </c>
      <c r="F95" s="42" t="s">
        <v>296</v>
      </c>
      <c r="G95" s="41" t="s">
        <v>27</v>
      </c>
      <c r="H95" s="42" t="s">
        <v>97</v>
      </c>
      <c r="I95" s="43"/>
      <c r="J95" s="43"/>
      <c r="K95" s="42" t="s">
        <v>285</v>
      </c>
      <c r="L95" s="44" t="s">
        <v>32</v>
      </c>
      <c r="M95" s="42" t="s">
        <v>297</v>
      </c>
    </row>
    <row r="96" spans="1:13" ht="60" x14ac:dyDescent="0.25">
      <c r="A96" s="38" t="s">
        <v>273</v>
      </c>
      <c r="B96" s="38" t="s">
        <v>59</v>
      </c>
      <c r="C96" s="39"/>
      <c r="D96" s="38" t="s">
        <v>276</v>
      </c>
      <c r="E96" s="44" t="s">
        <v>32</v>
      </c>
      <c r="F96" s="38" t="s">
        <v>298</v>
      </c>
      <c r="G96" s="41" t="s">
        <v>27</v>
      </c>
      <c r="H96" s="38" t="s">
        <v>299</v>
      </c>
      <c r="I96" s="39"/>
      <c r="J96" s="39"/>
      <c r="K96" s="38" t="s">
        <v>300</v>
      </c>
      <c r="L96" s="44" t="s">
        <v>32</v>
      </c>
      <c r="M96" s="38" t="s">
        <v>301</v>
      </c>
    </row>
    <row r="97" spans="1:13" ht="120" x14ac:dyDescent="0.25">
      <c r="A97" s="42" t="s">
        <v>273</v>
      </c>
      <c r="B97" s="42" t="s">
        <v>59</v>
      </c>
      <c r="C97" s="43"/>
      <c r="D97" s="42" t="s">
        <v>302</v>
      </c>
      <c r="E97" s="40" t="s">
        <v>25</v>
      </c>
      <c r="F97" s="42" t="s">
        <v>303</v>
      </c>
      <c r="G97" s="41" t="s">
        <v>27</v>
      </c>
      <c r="H97" s="42" t="s">
        <v>97</v>
      </c>
      <c r="I97" s="43"/>
      <c r="J97" s="43"/>
      <c r="K97" s="42" t="s">
        <v>304</v>
      </c>
      <c r="L97" s="40" t="s">
        <v>25</v>
      </c>
      <c r="M97" s="42" t="s">
        <v>305</v>
      </c>
    </row>
    <row r="98" spans="1:13" ht="120" x14ac:dyDescent="0.25">
      <c r="A98" s="38" t="s">
        <v>273</v>
      </c>
      <c r="B98" s="38" t="s">
        <v>59</v>
      </c>
      <c r="C98" s="39"/>
      <c r="D98" s="38" t="s">
        <v>302</v>
      </c>
      <c r="E98" s="44" t="s">
        <v>32</v>
      </c>
      <c r="F98" s="38" t="s">
        <v>306</v>
      </c>
      <c r="G98" s="41" t="s">
        <v>27</v>
      </c>
      <c r="H98" s="38" t="s">
        <v>97</v>
      </c>
      <c r="I98" s="39"/>
      <c r="J98" s="39"/>
      <c r="K98" s="38" t="s">
        <v>304</v>
      </c>
      <c r="L98" s="44" t="s">
        <v>32</v>
      </c>
      <c r="M98" s="38" t="s">
        <v>307</v>
      </c>
    </row>
    <row r="99" spans="1:13" ht="120" x14ac:dyDescent="0.25">
      <c r="A99" s="42" t="s">
        <v>308</v>
      </c>
      <c r="B99" s="43"/>
      <c r="C99" s="46" t="s">
        <v>13</v>
      </c>
      <c r="D99" s="42" t="s">
        <v>309</v>
      </c>
      <c r="E99" s="41" t="s">
        <v>36</v>
      </c>
      <c r="F99" s="42" t="s">
        <v>310</v>
      </c>
      <c r="G99" s="41" t="s">
        <v>27</v>
      </c>
      <c r="H99" s="42" t="s">
        <v>311</v>
      </c>
      <c r="I99" s="43"/>
      <c r="J99" s="46" t="s">
        <v>13</v>
      </c>
      <c r="K99" s="42" t="s">
        <v>312</v>
      </c>
      <c r="L99" s="41" t="s">
        <v>36</v>
      </c>
      <c r="M99" s="42" t="s">
        <v>313</v>
      </c>
    </row>
    <row r="100" spans="1:13" ht="120" x14ac:dyDescent="0.25">
      <c r="A100" s="38" t="s">
        <v>308</v>
      </c>
      <c r="B100" s="39"/>
      <c r="C100" s="39"/>
      <c r="D100" s="38" t="s">
        <v>309</v>
      </c>
      <c r="E100" s="40" t="s">
        <v>25</v>
      </c>
      <c r="F100" s="38" t="s">
        <v>314</v>
      </c>
      <c r="G100" s="41" t="s">
        <v>27</v>
      </c>
      <c r="H100" s="38" t="s">
        <v>311</v>
      </c>
      <c r="I100" s="39"/>
      <c r="J100" s="39"/>
      <c r="K100" s="38" t="s">
        <v>312</v>
      </c>
      <c r="L100" s="40" t="s">
        <v>25</v>
      </c>
      <c r="M100" s="38" t="s">
        <v>315</v>
      </c>
    </row>
    <row r="101" spans="1:13" ht="120" x14ac:dyDescent="0.25">
      <c r="A101" s="42" t="s">
        <v>308</v>
      </c>
      <c r="B101" s="43"/>
      <c r="C101" s="43"/>
      <c r="D101" s="42" t="s">
        <v>309</v>
      </c>
      <c r="E101" s="44" t="s">
        <v>32</v>
      </c>
      <c r="F101" s="42" t="s">
        <v>316</v>
      </c>
      <c r="G101" s="41" t="s">
        <v>27</v>
      </c>
      <c r="H101" s="42" t="s">
        <v>311</v>
      </c>
      <c r="I101" s="43"/>
      <c r="J101" s="43"/>
      <c r="K101" s="42" t="s">
        <v>312</v>
      </c>
      <c r="L101" s="44" t="s">
        <v>32</v>
      </c>
      <c r="M101" s="42" t="s">
        <v>317</v>
      </c>
    </row>
    <row r="102" spans="1:13" ht="120" x14ac:dyDescent="0.25">
      <c r="A102" s="38" t="s">
        <v>308</v>
      </c>
      <c r="B102" s="39"/>
      <c r="C102" s="39"/>
      <c r="D102" s="38" t="s">
        <v>309</v>
      </c>
      <c r="E102" s="44" t="s">
        <v>32</v>
      </c>
      <c r="F102" s="38" t="s">
        <v>318</v>
      </c>
      <c r="G102" s="41" t="s">
        <v>27</v>
      </c>
      <c r="H102" s="38" t="s">
        <v>311</v>
      </c>
      <c r="I102" s="39"/>
      <c r="J102" s="39"/>
      <c r="K102" s="38" t="s">
        <v>312</v>
      </c>
      <c r="L102" s="44" t="s">
        <v>32</v>
      </c>
      <c r="M102" s="38" t="s">
        <v>319</v>
      </c>
    </row>
    <row r="103" spans="1:13" ht="120" x14ac:dyDescent="0.25">
      <c r="A103" s="42" t="s">
        <v>308</v>
      </c>
      <c r="B103" s="43"/>
      <c r="C103" s="43"/>
      <c r="D103" s="42" t="s">
        <v>309</v>
      </c>
      <c r="E103" s="44" t="s">
        <v>32</v>
      </c>
      <c r="F103" s="42" t="s">
        <v>320</v>
      </c>
      <c r="G103" s="41" t="s">
        <v>27</v>
      </c>
      <c r="H103" s="42" t="s">
        <v>311</v>
      </c>
      <c r="I103" s="43"/>
      <c r="J103" s="43"/>
      <c r="K103" s="42" t="s">
        <v>312</v>
      </c>
      <c r="L103" s="44" t="s">
        <v>32</v>
      </c>
      <c r="M103" s="42" t="s">
        <v>321</v>
      </c>
    </row>
    <row r="104" spans="1:13" ht="120" x14ac:dyDescent="0.25">
      <c r="A104" s="38" t="s">
        <v>308</v>
      </c>
      <c r="B104" s="39"/>
      <c r="C104" s="39"/>
      <c r="D104" s="38" t="s">
        <v>322</v>
      </c>
      <c r="E104" s="40" t="s">
        <v>25</v>
      </c>
      <c r="F104" s="38" t="s">
        <v>323</v>
      </c>
      <c r="G104" s="41" t="s">
        <v>27</v>
      </c>
      <c r="H104" s="38" t="s">
        <v>311</v>
      </c>
      <c r="I104" s="39"/>
      <c r="J104" s="39"/>
      <c r="K104" s="38" t="s">
        <v>324</v>
      </c>
      <c r="L104" s="40" t="s">
        <v>25</v>
      </c>
      <c r="M104" s="38" t="s">
        <v>325</v>
      </c>
    </row>
    <row r="105" spans="1:13" ht="120" x14ac:dyDescent="0.25">
      <c r="A105" s="42" t="s">
        <v>308</v>
      </c>
      <c r="B105" s="43"/>
      <c r="C105" s="43"/>
      <c r="D105" s="42" t="s">
        <v>322</v>
      </c>
      <c r="E105" s="44" t="s">
        <v>32</v>
      </c>
      <c r="F105" s="42" t="s">
        <v>326</v>
      </c>
      <c r="G105" s="41" t="s">
        <v>27</v>
      </c>
      <c r="H105" s="42" t="s">
        <v>311</v>
      </c>
      <c r="I105" s="43"/>
      <c r="J105" s="43"/>
      <c r="K105" s="42" t="s">
        <v>324</v>
      </c>
      <c r="L105" s="44" t="s">
        <v>32</v>
      </c>
      <c r="M105" s="42" t="s">
        <v>327</v>
      </c>
    </row>
    <row r="106" spans="1:13" ht="120" x14ac:dyDescent="0.25">
      <c r="A106" s="38" t="s">
        <v>308</v>
      </c>
      <c r="B106" s="39"/>
      <c r="C106" s="39"/>
      <c r="D106" s="38" t="s">
        <v>328</v>
      </c>
      <c r="E106" s="41" t="s">
        <v>36</v>
      </c>
      <c r="F106" s="38" t="s">
        <v>329</v>
      </c>
      <c r="G106" s="41" t="s">
        <v>27</v>
      </c>
      <c r="H106" s="38" t="s">
        <v>311</v>
      </c>
      <c r="I106" s="39"/>
      <c r="J106" s="39"/>
      <c r="K106" s="38" t="s">
        <v>330</v>
      </c>
      <c r="L106" s="41" t="s">
        <v>36</v>
      </c>
      <c r="M106" s="38" t="s">
        <v>331</v>
      </c>
    </row>
    <row r="107" spans="1:13" ht="120" x14ac:dyDescent="0.25">
      <c r="A107" s="42" t="s">
        <v>308</v>
      </c>
      <c r="B107" s="43"/>
      <c r="C107" s="46" t="s">
        <v>13</v>
      </c>
      <c r="D107" s="42" t="s">
        <v>328</v>
      </c>
      <c r="E107" s="41" t="s">
        <v>36</v>
      </c>
      <c r="F107" s="42" t="s">
        <v>332</v>
      </c>
      <c r="G107" s="41" t="s">
        <v>27</v>
      </c>
      <c r="H107" s="42" t="s">
        <v>311</v>
      </c>
      <c r="I107" s="43"/>
      <c r="J107" s="46" t="s">
        <v>13</v>
      </c>
      <c r="K107" s="42" t="s">
        <v>330</v>
      </c>
      <c r="L107" s="41" t="s">
        <v>36</v>
      </c>
      <c r="M107" s="42" t="s">
        <v>333</v>
      </c>
    </row>
    <row r="108" spans="1:13" ht="120" x14ac:dyDescent="0.25">
      <c r="A108" s="38" t="s">
        <v>308</v>
      </c>
      <c r="B108" s="39"/>
      <c r="C108" s="46" t="s">
        <v>13</v>
      </c>
      <c r="D108" s="38" t="s">
        <v>328</v>
      </c>
      <c r="E108" s="40" t="s">
        <v>25</v>
      </c>
      <c r="F108" s="38" t="s">
        <v>334</v>
      </c>
      <c r="G108" s="41" t="s">
        <v>27</v>
      </c>
      <c r="H108" s="38" t="s">
        <v>311</v>
      </c>
      <c r="I108" s="39"/>
      <c r="J108" s="46" t="s">
        <v>13</v>
      </c>
      <c r="K108" s="38" t="s">
        <v>330</v>
      </c>
      <c r="L108" s="40" t="s">
        <v>25</v>
      </c>
      <c r="M108" s="38" t="s">
        <v>335</v>
      </c>
    </row>
    <row r="109" spans="1:13" ht="96" x14ac:dyDescent="0.25">
      <c r="A109" s="42" t="s">
        <v>308</v>
      </c>
      <c r="B109" s="43"/>
      <c r="C109" s="43"/>
      <c r="D109" s="42" t="s">
        <v>328</v>
      </c>
      <c r="E109" s="44" t="s">
        <v>32</v>
      </c>
      <c r="F109" s="42" t="s">
        <v>336</v>
      </c>
      <c r="G109" s="41" t="s">
        <v>27</v>
      </c>
      <c r="H109" s="43"/>
      <c r="I109" s="43"/>
      <c r="J109" s="43"/>
      <c r="K109" s="43"/>
      <c r="L109" s="43"/>
      <c r="M109" s="43"/>
    </row>
    <row r="110" spans="1:13" ht="96" x14ac:dyDescent="0.25">
      <c r="A110" s="38" t="s">
        <v>308</v>
      </c>
      <c r="B110" s="39"/>
      <c r="C110" s="39"/>
      <c r="D110" s="38" t="s">
        <v>328</v>
      </c>
      <c r="E110" s="44" t="s">
        <v>32</v>
      </c>
      <c r="F110" s="38" t="s">
        <v>337</v>
      </c>
      <c r="G110" s="41" t="s">
        <v>27</v>
      </c>
      <c r="H110" s="39"/>
      <c r="I110" s="39"/>
      <c r="J110" s="39"/>
      <c r="K110" s="39"/>
      <c r="L110" s="39"/>
      <c r="M110" s="39"/>
    </row>
    <row r="111" spans="1:13" ht="96" x14ac:dyDescent="0.25">
      <c r="A111" s="42" t="s">
        <v>308</v>
      </c>
      <c r="B111" s="43"/>
      <c r="C111" s="43"/>
      <c r="D111" s="42" t="s">
        <v>338</v>
      </c>
      <c r="E111" s="44" t="s">
        <v>32</v>
      </c>
      <c r="F111" s="42" t="s">
        <v>339</v>
      </c>
      <c r="G111" s="45" t="s">
        <v>34</v>
      </c>
      <c r="H111" s="43"/>
      <c r="I111" s="43"/>
      <c r="J111" s="43"/>
      <c r="K111" s="43"/>
      <c r="L111" s="43"/>
      <c r="M111" s="43"/>
    </row>
    <row r="112" spans="1:13" ht="120" x14ac:dyDescent="0.25">
      <c r="A112" s="38" t="s">
        <v>308</v>
      </c>
      <c r="B112" s="39"/>
      <c r="C112" s="46" t="s">
        <v>13</v>
      </c>
      <c r="D112" s="38" t="s">
        <v>340</v>
      </c>
      <c r="E112" s="41" t="s">
        <v>36</v>
      </c>
      <c r="F112" s="38" t="s">
        <v>341</v>
      </c>
      <c r="G112" s="41" t="s">
        <v>27</v>
      </c>
      <c r="H112" s="38" t="s">
        <v>311</v>
      </c>
      <c r="I112" s="39"/>
      <c r="J112" s="46" t="s">
        <v>13</v>
      </c>
      <c r="K112" s="38" t="s">
        <v>342</v>
      </c>
      <c r="L112" s="41" t="s">
        <v>36</v>
      </c>
      <c r="M112" s="38" t="s">
        <v>343</v>
      </c>
    </row>
    <row r="113" spans="1:13" ht="120" x14ac:dyDescent="0.25">
      <c r="A113" s="42" t="s">
        <v>308</v>
      </c>
      <c r="B113" s="43"/>
      <c r="C113" s="46" t="s">
        <v>13</v>
      </c>
      <c r="D113" s="42" t="s">
        <v>340</v>
      </c>
      <c r="E113" s="41" t="s">
        <v>36</v>
      </c>
      <c r="F113" s="42" t="s">
        <v>344</v>
      </c>
      <c r="G113" s="41" t="s">
        <v>27</v>
      </c>
      <c r="H113" s="42" t="s">
        <v>311</v>
      </c>
      <c r="I113" s="43"/>
      <c r="J113" s="46" t="s">
        <v>13</v>
      </c>
      <c r="K113" s="42" t="s">
        <v>342</v>
      </c>
      <c r="L113" s="41" t="s">
        <v>36</v>
      </c>
      <c r="M113" s="42" t="s">
        <v>345</v>
      </c>
    </row>
    <row r="114" spans="1:13" ht="120" x14ac:dyDescent="0.25">
      <c r="A114" s="38" t="s">
        <v>308</v>
      </c>
      <c r="B114" s="39"/>
      <c r="C114" s="46" t="s">
        <v>13</v>
      </c>
      <c r="D114" s="38" t="s">
        <v>340</v>
      </c>
      <c r="E114" s="41" t="s">
        <v>36</v>
      </c>
      <c r="F114" s="38" t="s">
        <v>346</v>
      </c>
      <c r="G114" s="41" t="s">
        <v>27</v>
      </c>
      <c r="H114" s="38" t="s">
        <v>311</v>
      </c>
      <c r="I114" s="39"/>
      <c r="J114" s="46" t="s">
        <v>13</v>
      </c>
      <c r="K114" s="38" t="s">
        <v>342</v>
      </c>
      <c r="L114" s="41" t="s">
        <v>36</v>
      </c>
      <c r="M114" s="38" t="s">
        <v>347</v>
      </c>
    </row>
    <row r="115" spans="1:13" ht="120" x14ac:dyDescent="0.25">
      <c r="A115" s="42" t="s">
        <v>308</v>
      </c>
      <c r="B115" s="43"/>
      <c r="C115" s="46" t="s">
        <v>13</v>
      </c>
      <c r="D115" s="42" t="s">
        <v>340</v>
      </c>
      <c r="E115" s="41" t="s">
        <v>36</v>
      </c>
      <c r="F115" s="42" t="s">
        <v>348</v>
      </c>
      <c r="G115" s="41" t="s">
        <v>27</v>
      </c>
      <c r="H115" s="42" t="s">
        <v>311</v>
      </c>
      <c r="I115" s="43"/>
      <c r="J115" s="46" t="s">
        <v>13</v>
      </c>
      <c r="K115" s="42" t="s">
        <v>342</v>
      </c>
      <c r="L115" s="41" t="s">
        <v>36</v>
      </c>
      <c r="M115" s="42" t="s">
        <v>349</v>
      </c>
    </row>
    <row r="116" spans="1:13" ht="120" x14ac:dyDescent="0.25">
      <c r="A116" s="38" t="s">
        <v>308</v>
      </c>
      <c r="B116" s="39"/>
      <c r="C116" s="39"/>
      <c r="D116" s="38" t="s">
        <v>340</v>
      </c>
      <c r="E116" s="40" t="s">
        <v>25</v>
      </c>
      <c r="F116" s="38" t="s">
        <v>350</v>
      </c>
      <c r="G116" s="41" t="s">
        <v>27</v>
      </c>
      <c r="H116" s="38" t="s">
        <v>311</v>
      </c>
      <c r="I116" s="39"/>
      <c r="J116" s="39"/>
      <c r="K116" s="38" t="s">
        <v>342</v>
      </c>
      <c r="L116" s="40" t="s">
        <v>25</v>
      </c>
      <c r="M116" s="38" t="s">
        <v>351</v>
      </c>
    </row>
    <row r="117" spans="1:13" ht="120" x14ac:dyDescent="0.25">
      <c r="A117" s="42" t="s">
        <v>308</v>
      </c>
      <c r="B117" s="43"/>
      <c r="C117" s="43"/>
      <c r="D117" s="42" t="s">
        <v>340</v>
      </c>
      <c r="E117" s="40" t="s">
        <v>25</v>
      </c>
      <c r="F117" s="42" t="s">
        <v>352</v>
      </c>
      <c r="G117" s="41" t="s">
        <v>27</v>
      </c>
      <c r="H117" s="42" t="s">
        <v>311</v>
      </c>
      <c r="I117" s="43"/>
      <c r="J117" s="43"/>
      <c r="K117" s="42" t="s">
        <v>342</v>
      </c>
      <c r="L117" s="40" t="s">
        <v>25</v>
      </c>
      <c r="M117" s="42" t="s">
        <v>353</v>
      </c>
    </row>
    <row r="118" spans="1:13" ht="120" x14ac:dyDescent="0.25">
      <c r="A118" s="38" t="s">
        <v>308</v>
      </c>
      <c r="B118" s="39"/>
      <c r="C118" s="39"/>
      <c r="D118" s="38" t="s">
        <v>340</v>
      </c>
      <c r="E118" s="40" t="s">
        <v>25</v>
      </c>
      <c r="F118" s="38" t="s">
        <v>354</v>
      </c>
      <c r="G118" s="41" t="s">
        <v>27</v>
      </c>
      <c r="H118" s="38" t="s">
        <v>311</v>
      </c>
      <c r="I118" s="39"/>
      <c r="J118" s="39"/>
      <c r="K118" s="38" t="s">
        <v>342</v>
      </c>
      <c r="L118" s="40" t="s">
        <v>25</v>
      </c>
      <c r="M118" s="38" t="s">
        <v>355</v>
      </c>
    </row>
    <row r="119" spans="1:13" ht="120" x14ac:dyDescent="0.25">
      <c r="A119" s="42" t="s">
        <v>308</v>
      </c>
      <c r="B119" s="43"/>
      <c r="C119" s="43"/>
      <c r="D119" s="42" t="s">
        <v>340</v>
      </c>
      <c r="E119" s="44" t="s">
        <v>32</v>
      </c>
      <c r="F119" s="42" t="s">
        <v>356</v>
      </c>
      <c r="G119" s="41" t="s">
        <v>27</v>
      </c>
      <c r="H119" s="42" t="s">
        <v>311</v>
      </c>
      <c r="I119" s="43"/>
      <c r="J119" s="43"/>
      <c r="K119" s="42" t="s">
        <v>342</v>
      </c>
      <c r="L119" s="44" t="s">
        <v>32</v>
      </c>
      <c r="M119" s="42" t="s">
        <v>357</v>
      </c>
    </row>
    <row r="120" spans="1:13" ht="120" x14ac:dyDescent="0.25">
      <c r="A120" s="38" t="s">
        <v>308</v>
      </c>
      <c r="B120" s="39"/>
      <c r="C120" s="39"/>
      <c r="D120" s="38" t="s">
        <v>340</v>
      </c>
      <c r="E120" s="44" t="s">
        <v>32</v>
      </c>
      <c r="F120" s="38" t="s">
        <v>358</v>
      </c>
      <c r="G120" s="41" t="s">
        <v>27</v>
      </c>
      <c r="H120" s="38" t="s">
        <v>311</v>
      </c>
      <c r="I120" s="39"/>
      <c r="J120" s="39"/>
      <c r="K120" s="38" t="s">
        <v>342</v>
      </c>
      <c r="L120" s="44" t="s">
        <v>32</v>
      </c>
      <c r="M120" s="38" t="s">
        <v>359</v>
      </c>
    </row>
    <row r="121" spans="1:13" ht="120" x14ac:dyDescent="0.25">
      <c r="A121" s="42" t="s">
        <v>308</v>
      </c>
      <c r="B121" s="43"/>
      <c r="C121" s="43"/>
      <c r="D121" s="42" t="s">
        <v>360</v>
      </c>
      <c r="E121" s="41" t="s">
        <v>36</v>
      </c>
      <c r="F121" s="42" t="s">
        <v>361</v>
      </c>
      <c r="G121" s="41" t="s">
        <v>27</v>
      </c>
      <c r="H121" s="42" t="s">
        <v>311</v>
      </c>
      <c r="I121" s="43"/>
      <c r="J121" s="43"/>
      <c r="K121" s="42" t="s">
        <v>362</v>
      </c>
      <c r="L121" s="41" t="s">
        <v>36</v>
      </c>
      <c r="M121" s="42" t="s">
        <v>363</v>
      </c>
    </row>
    <row r="122" spans="1:13" ht="120" x14ac:dyDescent="0.25">
      <c r="A122" s="38" t="s">
        <v>308</v>
      </c>
      <c r="B122" s="39"/>
      <c r="C122" s="39"/>
      <c r="D122" s="38" t="s">
        <v>360</v>
      </c>
      <c r="E122" s="40" t="s">
        <v>25</v>
      </c>
      <c r="F122" s="38" t="s">
        <v>364</v>
      </c>
      <c r="G122" s="41" t="s">
        <v>27</v>
      </c>
      <c r="H122" s="38" t="s">
        <v>311</v>
      </c>
      <c r="I122" s="39"/>
      <c r="J122" s="39"/>
      <c r="K122" s="38" t="s">
        <v>362</v>
      </c>
      <c r="L122" s="40" t="s">
        <v>25</v>
      </c>
      <c r="M122" s="38" t="s">
        <v>365</v>
      </c>
    </row>
    <row r="123" spans="1:13" ht="120" x14ac:dyDescent="0.25">
      <c r="A123" s="42" t="s">
        <v>308</v>
      </c>
      <c r="B123" s="43"/>
      <c r="C123" s="43"/>
      <c r="D123" s="42" t="s">
        <v>360</v>
      </c>
      <c r="E123" s="44" t="s">
        <v>32</v>
      </c>
      <c r="F123" s="42" t="s">
        <v>366</v>
      </c>
      <c r="G123" s="41" t="s">
        <v>27</v>
      </c>
      <c r="H123" s="42" t="s">
        <v>311</v>
      </c>
      <c r="I123" s="43"/>
      <c r="J123" s="43"/>
      <c r="K123" s="42" t="s">
        <v>362</v>
      </c>
      <c r="L123" s="44" t="s">
        <v>32</v>
      </c>
      <c r="M123" s="42" t="s">
        <v>367</v>
      </c>
    </row>
    <row r="124" spans="1:13" ht="120" x14ac:dyDescent="0.25">
      <c r="A124" s="38" t="s">
        <v>308</v>
      </c>
      <c r="B124" s="39"/>
      <c r="C124" s="39"/>
      <c r="D124" s="38" t="s">
        <v>360</v>
      </c>
      <c r="E124" s="44" t="s">
        <v>32</v>
      </c>
      <c r="F124" s="38" t="s">
        <v>368</v>
      </c>
      <c r="G124" s="41" t="s">
        <v>27</v>
      </c>
      <c r="H124" s="38" t="s">
        <v>311</v>
      </c>
      <c r="I124" s="39"/>
      <c r="J124" s="39"/>
      <c r="K124" s="38" t="s">
        <v>362</v>
      </c>
      <c r="L124" s="44" t="s">
        <v>32</v>
      </c>
      <c r="M124" s="38" t="s">
        <v>369</v>
      </c>
    </row>
    <row r="125" spans="1:13" ht="108" x14ac:dyDescent="0.25">
      <c r="A125" s="42" t="s">
        <v>370</v>
      </c>
      <c r="B125" s="43"/>
      <c r="C125" s="43"/>
      <c r="D125" s="42" t="s">
        <v>371</v>
      </c>
      <c r="E125" s="41" t="s">
        <v>36</v>
      </c>
      <c r="F125" s="42" t="s">
        <v>372</v>
      </c>
      <c r="G125" s="41" t="s">
        <v>27</v>
      </c>
      <c r="H125" s="42" t="s">
        <v>120</v>
      </c>
      <c r="I125" s="43"/>
      <c r="J125" s="43"/>
      <c r="K125" s="42" t="s">
        <v>373</v>
      </c>
      <c r="L125" s="41" t="s">
        <v>36</v>
      </c>
      <c r="M125" s="42" t="s">
        <v>374</v>
      </c>
    </row>
    <row r="126" spans="1:13" ht="108" x14ac:dyDescent="0.25">
      <c r="A126" s="38" t="s">
        <v>370</v>
      </c>
      <c r="B126" s="39"/>
      <c r="C126" s="39"/>
      <c r="D126" s="38" t="s">
        <v>371</v>
      </c>
      <c r="E126" s="40" t="s">
        <v>25</v>
      </c>
      <c r="F126" s="38" t="s">
        <v>375</v>
      </c>
      <c r="G126" s="41" t="s">
        <v>27</v>
      </c>
      <c r="H126" s="38" t="s">
        <v>120</v>
      </c>
      <c r="I126" s="39"/>
      <c r="J126" s="39"/>
      <c r="K126" s="38" t="s">
        <v>373</v>
      </c>
      <c r="L126" s="40" t="s">
        <v>25</v>
      </c>
      <c r="M126" s="38" t="s">
        <v>376</v>
      </c>
    </row>
    <row r="127" spans="1:13" ht="72" x14ac:dyDescent="0.25">
      <c r="A127" s="42" t="s">
        <v>370</v>
      </c>
      <c r="B127" s="43"/>
      <c r="C127" s="43"/>
      <c r="D127" s="42" t="s">
        <v>371</v>
      </c>
      <c r="E127" s="40" t="s">
        <v>25</v>
      </c>
      <c r="F127" s="42" t="s">
        <v>377</v>
      </c>
      <c r="G127" s="41" t="s">
        <v>27</v>
      </c>
      <c r="H127" s="42" t="s">
        <v>378</v>
      </c>
      <c r="I127" s="43"/>
      <c r="J127" s="43"/>
      <c r="K127" s="42" t="s">
        <v>379</v>
      </c>
      <c r="L127" s="40" t="s">
        <v>25</v>
      </c>
      <c r="M127" s="42" t="s">
        <v>380</v>
      </c>
    </row>
    <row r="128" spans="1:13" ht="108" x14ac:dyDescent="0.25">
      <c r="A128" s="38" t="s">
        <v>370</v>
      </c>
      <c r="B128" s="39"/>
      <c r="C128" s="39"/>
      <c r="D128" s="38" t="s">
        <v>371</v>
      </c>
      <c r="E128" s="44" t="s">
        <v>32</v>
      </c>
      <c r="F128" s="38" t="s">
        <v>381</v>
      </c>
      <c r="G128" s="41" t="s">
        <v>27</v>
      </c>
      <c r="H128" s="38" t="s">
        <v>120</v>
      </c>
      <c r="I128" s="39"/>
      <c r="J128" s="39"/>
      <c r="K128" s="38" t="s">
        <v>373</v>
      </c>
      <c r="L128" s="44" t="s">
        <v>32</v>
      </c>
      <c r="M128" s="38" t="s">
        <v>382</v>
      </c>
    </row>
    <row r="129" spans="1:13" ht="108" x14ac:dyDescent="0.25">
      <c r="A129" s="42" t="s">
        <v>370</v>
      </c>
      <c r="B129" s="43"/>
      <c r="C129" s="43"/>
      <c r="D129" s="42" t="s">
        <v>383</v>
      </c>
      <c r="E129" s="40" t="s">
        <v>25</v>
      </c>
      <c r="F129" s="42" t="s">
        <v>384</v>
      </c>
      <c r="G129" s="41" t="s">
        <v>27</v>
      </c>
      <c r="H129" s="42" t="s">
        <v>120</v>
      </c>
      <c r="I129" s="43"/>
      <c r="J129" s="43"/>
      <c r="K129" s="42" t="s">
        <v>385</v>
      </c>
      <c r="L129" s="40" t="s">
        <v>25</v>
      </c>
      <c r="M129" s="42" t="s">
        <v>386</v>
      </c>
    </row>
    <row r="130" spans="1:13" ht="108" x14ac:dyDescent="0.25">
      <c r="A130" s="38" t="s">
        <v>370</v>
      </c>
      <c r="B130" s="39"/>
      <c r="C130" s="39"/>
      <c r="D130" s="38" t="s">
        <v>383</v>
      </c>
      <c r="E130" s="40" t="s">
        <v>25</v>
      </c>
      <c r="F130" s="38" t="s">
        <v>387</v>
      </c>
      <c r="G130" s="41" t="s">
        <v>27</v>
      </c>
      <c r="H130" s="38" t="s">
        <v>120</v>
      </c>
      <c r="I130" s="39"/>
      <c r="J130" s="39"/>
      <c r="K130" s="38" t="s">
        <v>388</v>
      </c>
      <c r="L130" s="40" t="s">
        <v>25</v>
      </c>
      <c r="M130" s="38" t="s">
        <v>389</v>
      </c>
    </row>
    <row r="131" spans="1:13" ht="108" x14ac:dyDescent="0.25">
      <c r="A131" s="42" t="s">
        <v>370</v>
      </c>
      <c r="B131" s="43"/>
      <c r="C131" s="43"/>
      <c r="D131" s="42" t="s">
        <v>383</v>
      </c>
      <c r="E131" s="40" t="s">
        <v>25</v>
      </c>
      <c r="F131" s="42" t="s">
        <v>390</v>
      </c>
      <c r="G131" s="41" t="s">
        <v>27</v>
      </c>
      <c r="H131" s="42" t="s">
        <v>120</v>
      </c>
      <c r="I131" s="43"/>
      <c r="J131" s="43"/>
      <c r="K131" s="42" t="s">
        <v>391</v>
      </c>
      <c r="L131" s="40" t="s">
        <v>25</v>
      </c>
      <c r="M131" s="42" t="s">
        <v>392</v>
      </c>
    </row>
    <row r="132" spans="1:13" ht="72" x14ac:dyDescent="0.25">
      <c r="A132" s="38" t="s">
        <v>393</v>
      </c>
      <c r="B132" s="39"/>
      <c r="C132" s="39"/>
      <c r="D132" s="38" t="s">
        <v>394</v>
      </c>
      <c r="E132" s="40" t="s">
        <v>25</v>
      </c>
      <c r="F132" s="38" t="s">
        <v>395</v>
      </c>
      <c r="G132" s="41" t="s">
        <v>27</v>
      </c>
      <c r="H132" s="38" t="s">
        <v>204</v>
      </c>
      <c r="I132" s="39"/>
      <c r="J132" s="39"/>
      <c r="K132" s="38" t="s">
        <v>396</v>
      </c>
      <c r="L132" s="40" t="s">
        <v>25</v>
      </c>
      <c r="M132" s="38" t="s">
        <v>397</v>
      </c>
    </row>
    <row r="133" spans="1:13" ht="72" x14ac:dyDescent="0.25">
      <c r="A133" s="42" t="s">
        <v>393</v>
      </c>
      <c r="B133" s="43"/>
      <c r="C133" s="43"/>
      <c r="D133" s="42" t="s">
        <v>394</v>
      </c>
      <c r="E133" s="44" t="s">
        <v>32</v>
      </c>
      <c r="F133" s="42" t="s">
        <v>398</v>
      </c>
      <c r="G133" s="41" t="s">
        <v>27</v>
      </c>
      <c r="H133" s="42" t="s">
        <v>204</v>
      </c>
      <c r="I133" s="43"/>
      <c r="J133" s="43"/>
      <c r="K133" s="42" t="s">
        <v>396</v>
      </c>
      <c r="L133" s="44" t="s">
        <v>32</v>
      </c>
      <c r="M133" s="42" t="s">
        <v>399</v>
      </c>
    </row>
    <row r="134" spans="1:13" ht="72" x14ac:dyDescent="0.25">
      <c r="A134" s="38" t="s">
        <v>393</v>
      </c>
      <c r="B134" s="39"/>
      <c r="C134" s="39"/>
      <c r="D134" s="38" t="s">
        <v>394</v>
      </c>
      <c r="E134" s="44" t="s">
        <v>32</v>
      </c>
      <c r="F134" s="38" t="s">
        <v>400</v>
      </c>
      <c r="G134" s="41" t="s">
        <v>27</v>
      </c>
      <c r="H134" s="38" t="s">
        <v>204</v>
      </c>
      <c r="I134" s="39"/>
      <c r="J134" s="39"/>
      <c r="K134" s="38" t="s">
        <v>396</v>
      </c>
      <c r="L134" s="44" t="s">
        <v>32</v>
      </c>
      <c r="M134" s="38" t="s">
        <v>401</v>
      </c>
    </row>
    <row r="135" spans="1:13" ht="72" x14ac:dyDescent="0.25">
      <c r="A135" s="42" t="s">
        <v>393</v>
      </c>
      <c r="B135" s="43"/>
      <c r="C135" s="43"/>
      <c r="D135" s="42" t="s">
        <v>394</v>
      </c>
      <c r="E135" s="40" t="s">
        <v>25</v>
      </c>
      <c r="F135" s="42" t="s">
        <v>402</v>
      </c>
      <c r="G135" s="41" t="s">
        <v>27</v>
      </c>
      <c r="H135" s="42" t="s">
        <v>403</v>
      </c>
      <c r="I135" s="43"/>
      <c r="J135" s="43"/>
      <c r="K135" s="42" t="s">
        <v>404</v>
      </c>
      <c r="L135" s="40" t="s">
        <v>25</v>
      </c>
      <c r="M135" s="42" t="s">
        <v>405</v>
      </c>
    </row>
    <row r="136" spans="1:13" ht="72" x14ac:dyDescent="0.25">
      <c r="A136" s="38" t="s">
        <v>393</v>
      </c>
      <c r="B136" s="39"/>
      <c r="C136" s="39"/>
      <c r="D136" s="38" t="s">
        <v>394</v>
      </c>
      <c r="E136" s="40" t="s">
        <v>25</v>
      </c>
      <c r="F136" s="38" t="s">
        <v>406</v>
      </c>
      <c r="G136" s="41" t="s">
        <v>27</v>
      </c>
      <c r="H136" s="38" t="s">
        <v>403</v>
      </c>
      <c r="I136" s="39"/>
      <c r="J136" s="39"/>
      <c r="K136" s="38" t="s">
        <v>404</v>
      </c>
      <c r="L136" s="40" t="s">
        <v>25</v>
      </c>
      <c r="M136" s="38" t="s">
        <v>407</v>
      </c>
    </row>
    <row r="137" spans="1:13" ht="72" x14ac:dyDescent="0.25">
      <c r="A137" s="42" t="s">
        <v>393</v>
      </c>
      <c r="B137" s="43"/>
      <c r="C137" s="43"/>
      <c r="D137" s="42" t="s">
        <v>394</v>
      </c>
      <c r="E137" s="44" t="s">
        <v>32</v>
      </c>
      <c r="F137" s="42" t="s">
        <v>408</v>
      </c>
      <c r="G137" s="41" t="s">
        <v>27</v>
      </c>
      <c r="H137" s="42" t="s">
        <v>204</v>
      </c>
      <c r="I137" s="43"/>
      <c r="J137" s="43"/>
      <c r="K137" s="42" t="s">
        <v>409</v>
      </c>
      <c r="L137" s="44" t="s">
        <v>32</v>
      </c>
      <c r="M137" s="42" t="s">
        <v>410</v>
      </c>
    </row>
    <row r="138" spans="1:13" ht="72" x14ac:dyDescent="0.25">
      <c r="A138" s="38" t="s">
        <v>393</v>
      </c>
      <c r="B138" s="39"/>
      <c r="C138" s="39"/>
      <c r="D138" s="38" t="s">
        <v>394</v>
      </c>
      <c r="E138" s="41" t="s">
        <v>36</v>
      </c>
      <c r="F138" s="38" t="s">
        <v>411</v>
      </c>
      <c r="G138" s="41" t="s">
        <v>27</v>
      </c>
      <c r="H138" s="38" t="s">
        <v>204</v>
      </c>
      <c r="I138" s="39"/>
      <c r="J138" s="39"/>
      <c r="K138" s="38" t="s">
        <v>205</v>
      </c>
      <c r="L138" s="41" t="s">
        <v>36</v>
      </c>
      <c r="M138" s="38" t="s">
        <v>412</v>
      </c>
    </row>
    <row r="139" spans="1:13" ht="72" x14ac:dyDescent="0.25">
      <c r="A139" s="42" t="s">
        <v>393</v>
      </c>
      <c r="B139" s="43"/>
      <c r="C139" s="46" t="s">
        <v>13</v>
      </c>
      <c r="D139" s="42" t="s">
        <v>413</v>
      </c>
      <c r="E139" s="44" t="s">
        <v>32</v>
      </c>
      <c r="F139" s="42" t="s">
        <v>414</v>
      </c>
      <c r="G139" s="41" t="s">
        <v>27</v>
      </c>
      <c r="H139" s="42" t="s">
        <v>403</v>
      </c>
      <c r="I139" s="43"/>
      <c r="J139" s="46" t="s">
        <v>13</v>
      </c>
      <c r="K139" s="42" t="s">
        <v>404</v>
      </c>
      <c r="L139" s="44" t="s">
        <v>32</v>
      </c>
      <c r="M139" s="42" t="s">
        <v>415</v>
      </c>
    </row>
    <row r="140" spans="1:13" ht="72" x14ac:dyDescent="0.25">
      <c r="A140" s="38" t="s">
        <v>393</v>
      </c>
      <c r="B140" s="39"/>
      <c r="C140" s="39"/>
      <c r="D140" s="38" t="s">
        <v>413</v>
      </c>
      <c r="E140" s="44" t="s">
        <v>32</v>
      </c>
      <c r="F140" s="38" t="s">
        <v>416</v>
      </c>
      <c r="G140" s="41" t="s">
        <v>27</v>
      </c>
      <c r="H140" s="38" t="s">
        <v>204</v>
      </c>
      <c r="I140" s="39"/>
      <c r="J140" s="39"/>
      <c r="K140" s="38" t="s">
        <v>417</v>
      </c>
      <c r="L140" s="44" t="s">
        <v>32</v>
      </c>
      <c r="M140" s="38" t="s">
        <v>418</v>
      </c>
    </row>
    <row r="141" spans="1:13" ht="72" x14ac:dyDescent="0.25">
      <c r="A141" s="42" t="s">
        <v>393</v>
      </c>
      <c r="B141" s="43"/>
      <c r="C141" s="43"/>
      <c r="D141" s="42" t="s">
        <v>419</v>
      </c>
      <c r="E141" s="44" t="s">
        <v>32</v>
      </c>
      <c r="F141" s="42" t="s">
        <v>420</v>
      </c>
      <c r="G141" s="41" t="s">
        <v>27</v>
      </c>
      <c r="H141" s="42" t="s">
        <v>204</v>
      </c>
      <c r="I141" s="43"/>
      <c r="J141" s="43"/>
      <c r="K141" s="42" t="s">
        <v>421</v>
      </c>
      <c r="L141" s="44" t="s">
        <v>32</v>
      </c>
      <c r="M141" s="42" t="s">
        <v>422</v>
      </c>
    </row>
    <row r="142" spans="1:13" ht="120" x14ac:dyDescent="0.25">
      <c r="A142" s="38" t="s">
        <v>393</v>
      </c>
      <c r="B142" s="39"/>
      <c r="C142" s="46" t="s">
        <v>13</v>
      </c>
      <c r="D142" s="38" t="s">
        <v>423</v>
      </c>
      <c r="E142" s="41" t="s">
        <v>36</v>
      </c>
      <c r="F142" s="38" t="s">
        <v>424</v>
      </c>
      <c r="G142" s="41" t="s">
        <v>27</v>
      </c>
      <c r="H142" s="38" t="s">
        <v>97</v>
      </c>
      <c r="I142" s="39"/>
      <c r="J142" s="46" t="s">
        <v>13</v>
      </c>
      <c r="K142" s="38" t="s">
        <v>425</v>
      </c>
      <c r="L142" s="41" t="s">
        <v>36</v>
      </c>
      <c r="M142" s="38" t="s">
        <v>426</v>
      </c>
    </row>
    <row r="143" spans="1:13" ht="120" x14ac:dyDescent="0.25">
      <c r="A143" s="42" t="s">
        <v>393</v>
      </c>
      <c r="B143" s="43"/>
      <c r="C143" s="43"/>
      <c r="D143" s="42" t="s">
        <v>423</v>
      </c>
      <c r="E143" s="40" t="s">
        <v>25</v>
      </c>
      <c r="F143" s="42" t="s">
        <v>427</v>
      </c>
      <c r="G143" s="41" t="s">
        <v>27</v>
      </c>
      <c r="H143" s="42" t="s">
        <v>97</v>
      </c>
      <c r="I143" s="43"/>
      <c r="J143" s="43"/>
      <c r="K143" s="42" t="s">
        <v>425</v>
      </c>
      <c r="L143" s="40" t="s">
        <v>25</v>
      </c>
      <c r="M143" s="42" t="s">
        <v>428</v>
      </c>
    </row>
    <row r="144" spans="1:13" ht="120" x14ac:dyDescent="0.25">
      <c r="A144" s="38" t="s">
        <v>393</v>
      </c>
      <c r="B144" s="39"/>
      <c r="C144" s="39"/>
      <c r="D144" s="38" t="s">
        <v>423</v>
      </c>
      <c r="E144" s="40" t="s">
        <v>25</v>
      </c>
      <c r="F144" s="38" t="s">
        <v>429</v>
      </c>
      <c r="G144" s="41" t="s">
        <v>27</v>
      </c>
      <c r="H144" s="38" t="s">
        <v>97</v>
      </c>
      <c r="I144" s="39"/>
      <c r="J144" s="39"/>
      <c r="K144" s="38" t="s">
        <v>425</v>
      </c>
      <c r="L144" s="40" t="s">
        <v>25</v>
      </c>
      <c r="M144" s="38" t="s">
        <v>430</v>
      </c>
    </row>
    <row r="145" spans="1:13" ht="120" x14ac:dyDescent="0.25">
      <c r="A145" s="42" t="s">
        <v>393</v>
      </c>
      <c r="B145" s="43"/>
      <c r="C145" s="43"/>
      <c r="D145" s="42" t="s">
        <v>423</v>
      </c>
      <c r="E145" s="44" t="s">
        <v>32</v>
      </c>
      <c r="F145" s="42" t="s">
        <v>431</v>
      </c>
      <c r="G145" s="41" t="s">
        <v>27</v>
      </c>
      <c r="H145" s="42" t="s">
        <v>97</v>
      </c>
      <c r="I145" s="43"/>
      <c r="J145" s="43"/>
      <c r="K145" s="42" t="s">
        <v>425</v>
      </c>
      <c r="L145" s="44" t="s">
        <v>32</v>
      </c>
      <c r="M145" s="42" t="s">
        <v>432</v>
      </c>
    </row>
    <row r="146" spans="1:13" ht="120" x14ac:dyDescent="0.25">
      <c r="A146" s="38" t="s">
        <v>393</v>
      </c>
      <c r="B146" s="39"/>
      <c r="C146" s="39"/>
      <c r="D146" s="38" t="s">
        <v>423</v>
      </c>
      <c r="E146" s="44" t="s">
        <v>32</v>
      </c>
      <c r="F146" s="38" t="s">
        <v>433</v>
      </c>
      <c r="G146" s="41" t="s">
        <v>27</v>
      </c>
      <c r="H146" s="38" t="s">
        <v>97</v>
      </c>
      <c r="I146" s="39"/>
      <c r="J146" s="39"/>
      <c r="K146" s="38" t="s">
        <v>425</v>
      </c>
      <c r="L146" s="44" t="s">
        <v>32</v>
      </c>
      <c r="M146" s="38" t="s">
        <v>434</v>
      </c>
    </row>
    <row r="147" spans="1:13" ht="120" x14ac:dyDescent="0.25">
      <c r="A147" s="42" t="s">
        <v>435</v>
      </c>
      <c r="B147" s="43"/>
      <c r="C147" s="46" t="s">
        <v>13</v>
      </c>
      <c r="D147" s="42" t="s">
        <v>436</v>
      </c>
      <c r="E147" s="40" t="s">
        <v>25</v>
      </c>
      <c r="F147" s="42" t="s">
        <v>437</v>
      </c>
      <c r="G147" s="41" t="s">
        <v>27</v>
      </c>
      <c r="H147" s="42" t="s">
        <v>97</v>
      </c>
      <c r="I147" s="43"/>
      <c r="J147" s="46" t="s">
        <v>13</v>
      </c>
      <c r="K147" s="42" t="s">
        <v>438</v>
      </c>
      <c r="L147" s="40" t="s">
        <v>25</v>
      </c>
      <c r="M147" s="42" t="s">
        <v>439</v>
      </c>
    </row>
    <row r="148" spans="1:13" ht="120" x14ac:dyDescent="0.25">
      <c r="A148" s="38" t="s">
        <v>435</v>
      </c>
      <c r="B148" s="39"/>
      <c r="C148" s="39"/>
      <c r="D148" s="38" t="s">
        <v>436</v>
      </c>
      <c r="E148" s="44" t="s">
        <v>32</v>
      </c>
      <c r="F148" s="38" t="s">
        <v>440</v>
      </c>
      <c r="G148" s="41" t="s">
        <v>27</v>
      </c>
      <c r="H148" s="38" t="s">
        <v>97</v>
      </c>
      <c r="I148" s="39"/>
      <c r="J148" s="39"/>
      <c r="K148" s="38" t="s">
        <v>438</v>
      </c>
      <c r="L148" s="44" t="s">
        <v>32</v>
      </c>
      <c r="M148" s="38" t="s">
        <v>441</v>
      </c>
    </row>
    <row r="149" spans="1:13" ht="96" x14ac:dyDescent="0.25">
      <c r="A149" s="42" t="s">
        <v>435</v>
      </c>
      <c r="B149" s="43"/>
      <c r="C149" s="43"/>
      <c r="D149" s="42" t="s">
        <v>436</v>
      </c>
      <c r="E149" s="44" t="s">
        <v>32</v>
      </c>
      <c r="F149" s="42" t="s">
        <v>442</v>
      </c>
      <c r="G149" s="41" t="s">
        <v>27</v>
      </c>
      <c r="H149" s="42" t="s">
        <v>403</v>
      </c>
      <c r="I149" s="43"/>
      <c r="J149" s="43"/>
      <c r="K149" s="42" t="s">
        <v>443</v>
      </c>
      <c r="L149" s="44" t="s">
        <v>32</v>
      </c>
      <c r="M149" s="42" t="s">
        <v>444</v>
      </c>
    </row>
    <row r="150" spans="1:13" ht="96" x14ac:dyDescent="0.25">
      <c r="A150" s="38" t="s">
        <v>435</v>
      </c>
      <c r="B150" s="39"/>
      <c r="C150" s="39"/>
      <c r="D150" s="38" t="s">
        <v>436</v>
      </c>
      <c r="E150" s="44" t="s">
        <v>32</v>
      </c>
      <c r="F150" s="38" t="s">
        <v>445</v>
      </c>
      <c r="G150" s="41" t="s">
        <v>27</v>
      </c>
      <c r="H150" s="38" t="s">
        <v>403</v>
      </c>
      <c r="I150" s="39"/>
      <c r="J150" s="39"/>
      <c r="K150" s="38" t="s">
        <v>443</v>
      </c>
      <c r="L150" s="44" t="s">
        <v>32</v>
      </c>
      <c r="M150" s="38" t="s">
        <v>446</v>
      </c>
    </row>
    <row r="151" spans="1:13" ht="96" x14ac:dyDescent="0.25">
      <c r="A151" s="42" t="s">
        <v>435</v>
      </c>
      <c r="B151" s="43"/>
      <c r="C151" s="43"/>
      <c r="D151" s="42" t="s">
        <v>436</v>
      </c>
      <c r="E151" s="44" t="s">
        <v>32</v>
      </c>
      <c r="F151" s="42" t="s">
        <v>447</v>
      </c>
      <c r="G151" s="41" t="s">
        <v>27</v>
      </c>
      <c r="H151" s="42" t="s">
        <v>242</v>
      </c>
      <c r="I151" s="43"/>
      <c r="J151" s="43"/>
      <c r="K151" s="42" t="s">
        <v>448</v>
      </c>
      <c r="L151" s="44" t="s">
        <v>32</v>
      </c>
      <c r="M151" s="42" t="s">
        <v>449</v>
      </c>
    </row>
    <row r="152" spans="1:13" ht="96" x14ac:dyDescent="0.25">
      <c r="A152" s="38" t="s">
        <v>435</v>
      </c>
      <c r="B152" s="39"/>
      <c r="C152" s="39"/>
      <c r="D152" s="38" t="s">
        <v>450</v>
      </c>
      <c r="E152" s="40" t="s">
        <v>25</v>
      </c>
      <c r="F152" s="38" t="s">
        <v>451</v>
      </c>
      <c r="G152" s="41" t="s">
        <v>27</v>
      </c>
      <c r="H152" s="38" t="s">
        <v>242</v>
      </c>
      <c r="I152" s="39"/>
      <c r="J152" s="39"/>
      <c r="K152" s="38" t="s">
        <v>452</v>
      </c>
      <c r="L152" s="40" t="s">
        <v>25</v>
      </c>
      <c r="M152" s="38" t="s">
        <v>453</v>
      </c>
    </row>
    <row r="153" spans="1:13" ht="96" x14ac:dyDescent="0.25">
      <c r="A153" s="42" t="s">
        <v>435</v>
      </c>
      <c r="B153" s="43"/>
      <c r="C153" s="43"/>
      <c r="D153" s="42" t="s">
        <v>454</v>
      </c>
      <c r="E153" s="40" t="s">
        <v>25</v>
      </c>
      <c r="F153" s="42" t="s">
        <v>455</v>
      </c>
      <c r="G153" s="41" t="s">
        <v>27</v>
      </c>
      <c r="H153" s="42" t="s">
        <v>200</v>
      </c>
      <c r="I153" s="43"/>
      <c r="J153" s="43"/>
      <c r="K153" s="42" t="s">
        <v>201</v>
      </c>
      <c r="L153" s="40" t="s">
        <v>25</v>
      </c>
      <c r="M153" s="42" t="s">
        <v>456</v>
      </c>
    </row>
    <row r="154" spans="1:13" ht="96" x14ac:dyDescent="0.25">
      <c r="A154" s="38" t="s">
        <v>435</v>
      </c>
      <c r="B154" s="38" t="s">
        <v>457</v>
      </c>
      <c r="C154" s="46" t="s">
        <v>13</v>
      </c>
      <c r="D154" s="38" t="s">
        <v>458</v>
      </c>
      <c r="E154" s="41" t="s">
        <v>36</v>
      </c>
      <c r="F154" s="38" t="s">
        <v>459</v>
      </c>
      <c r="G154" s="41" t="s">
        <v>27</v>
      </c>
      <c r="H154" s="38" t="s">
        <v>403</v>
      </c>
      <c r="I154" s="39"/>
      <c r="J154" s="46" t="s">
        <v>13</v>
      </c>
      <c r="K154" s="38" t="s">
        <v>460</v>
      </c>
      <c r="L154" s="41" t="s">
        <v>36</v>
      </c>
      <c r="M154" s="38" t="s">
        <v>461</v>
      </c>
    </row>
    <row r="155" spans="1:13" ht="96" x14ac:dyDescent="0.25">
      <c r="A155" s="42" t="s">
        <v>435</v>
      </c>
      <c r="B155" s="43"/>
      <c r="C155" s="43"/>
      <c r="D155" s="42" t="s">
        <v>458</v>
      </c>
      <c r="E155" s="40" t="s">
        <v>25</v>
      </c>
      <c r="F155" s="42" t="s">
        <v>462</v>
      </c>
      <c r="G155" s="41" t="s">
        <v>27</v>
      </c>
      <c r="H155" s="42" t="s">
        <v>403</v>
      </c>
      <c r="I155" s="43"/>
      <c r="J155" s="43"/>
      <c r="K155" s="42" t="s">
        <v>460</v>
      </c>
      <c r="L155" s="40" t="s">
        <v>25</v>
      </c>
      <c r="M155" s="42" t="s">
        <v>463</v>
      </c>
    </row>
    <row r="156" spans="1:13" ht="96" x14ac:dyDescent="0.25">
      <c r="A156" s="38" t="s">
        <v>435</v>
      </c>
      <c r="B156" s="39"/>
      <c r="C156" s="39"/>
      <c r="D156" s="38" t="s">
        <v>458</v>
      </c>
      <c r="E156" s="40" t="s">
        <v>25</v>
      </c>
      <c r="F156" s="38" t="s">
        <v>464</v>
      </c>
      <c r="G156" s="41" t="s">
        <v>27</v>
      </c>
      <c r="H156" s="38" t="s">
        <v>204</v>
      </c>
      <c r="I156" s="39"/>
      <c r="J156" s="39"/>
      <c r="K156" s="38" t="s">
        <v>421</v>
      </c>
      <c r="L156" s="40" t="s">
        <v>25</v>
      </c>
      <c r="M156" s="38" t="s">
        <v>465</v>
      </c>
    </row>
    <row r="157" spans="1:13" ht="96" x14ac:dyDescent="0.25">
      <c r="A157" s="42" t="s">
        <v>435</v>
      </c>
      <c r="B157" s="43"/>
      <c r="C157" s="43"/>
      <c r="D157" s="42" t="s">
        <v>458</v>
      </c>
      <c r="E157" s="44" t="s">
        <v>32</v>
      </c>
      <c r="F157" s="42" t="s">
        <v>466</v>
      </c>
      <c r="G157" s="41" t="s">
        <v>27</v>
      </c>
      <c r="H157" s="42" t="s">
        <v>403</v>
      </c>
      <c r="I157" s="43"/>
      <c r="J157" s="43"/>
      <c r="K157" s="42" t="s">
        <v>460</v>
      </c>
      <c r="L157" s="44" t="s">
        <v>32</v>
      </c>
      <c r="M157" s="42" t="s">
        <v>467</v>
      </c>
    </row>
    <row r="158" spans="1:13" ht="96" x14ac:dyDescent="0.25">
      <c r="A158" s="38" t="s">
        <v>435</v>
      </c>
      <c r="B158" s="39"/>
      <c r="C158" s="39"/>
      <c r="D158" s="38" t="s">
        <v>458</v>
      </c>
      <c r="E158" s="44" t="s">
        <v>32</v>
      </c>
      <c r="F158" s="38" t="s">
        <v>468</v>
      </c>
      <c r="G158" s="41" t="s">
        <v>27</v>
      </c>
      <c r="H158" s="38" t="s">
        <v>403</v>
      </c>
      <c r="I158" s="39"/>
      <c r="J158" s="39"/>
      <c r="K158" s="38" t="s">
        <v>460</v>
      </c>
      <c r="L158" s="44" t="s">
        <v>32</v>
      </c>
      <c r="M158" s="38" t="s">
        <v>469</v>
      </c>
    </row>
    <row r="159" spans="1:13" ht="96" x14ac:dyDescent="0.25">
      <c r="A159" s="42" t="s">
        <v>435</v>
      </c>
      <c r="B159" s="43"/>
      <c r="C159" s="43"/>
      <c r="D159" s="42" t="s">
        <v>470</v>
      </c>
      <c r="E159" s="41" t="s">
        <v>36</v>
      </c>
      <c r="F159" s="42" t="s">
        <v>471</v>
      </c>
      <c r="G159" s="41" t="s">
        <v>27</v>
      </c>
      <c r="H159" s="42" t="s">
        <v>403</v>
      </c>
      <c r="I159" s="43"/>
      <c r="J159" s="43"/>
      <c r="K159" s="42" t="s">
        <v>472</v>
      </c>
      <c r="L159" s="41" t="s">
        <v>36</v>
      </c>
      <c r="M159" s="42" t="s">
        <v>473</v>
      </c>
    </row>
    <row r="160" spans="1:13" ht="96" x14ac:dyDescent="0.25">
      <c r="A160" s="38" t="s">
        <v>435</v>
      </c>
      <c r="B160" s="39"/>
      <c r="C160" s="39"/>
      <c r="D160" s="38" t="s">
        <v>470</v>
      </c>
      <c r="E160" s="40" t="s">
        <v>25</v>
      </c>
      <c r="F160" s="38" t="s">
        <v>474</v>
      </c>
      <c r="G160" s="45" t="s">
        <v>34</v>
      </c>
      <c r="H160" s="39"/>
      <c r="I160" s="39"/>
      <c r="J160" s="39"/>
      <c r="K160" s="39"/>
      <c r="L160" s="39"/>
      <c r="M160" s="39"/>
    </row>
    <row r="161" spans="1:13" ht="120" x14ac:dyDescent="0.25">
      <c r="A161" s="42" t="s">
        <v>435</v>
      </c>
      <c r="B161" s="43"/>
      <c r="C161" s="43"/>
      <c r="D161" s="42" t="s">
        <v>475</v>
      </c>
      <c r="E161" s="40" t="s">
        <v>25</v>
      </c>
      <c r="F161" s="42" t="s">
        <v>476</v>
      </c>
      <c r="G161" s="41" t="s">
        <v>27</v>
      </c>
      <c r="H161" s="42" t="s">
        <v>97</v>
      </c>
      <c r="I161" s="43"/>
      <c r="J161" s="43"/>
      <c r="K161" s="42" t="s">
        <v>477</v>
      </c>
      <c r="L161" s="40" t="s">
        <v>25</v>
      </c>
      <c r="M161" s="42" t="s">
        <v>478</v>
      </c>
    </row>
    <row r="162" spans="1:13" ht="120" x14ac:dyDescent="0.25">
      <c r="A162" s="38" t="s">
        <v>435</v>
      </c>
      <c r="B162" s="39"/>
      <c r="C162" s="39"/>
      <c r="D162" s="38" t="s">
        <v>475</v>
      </c>
      <c r="E162" s="40" t="s">
        <v>25</v>
      </c>
      <c r="F162" s="38" t="s">
        <v>479</v>
      </c>
      <c r="G162" s="41" t="s">
        <v>27</v>
      </c>
      <c r="H162" s="38" t="s">
        <v>97</v>
      </c>
      <c r="I162" s="39"/>
      <c r="J162" s="39"/>
      <c r="K162" s="38" t="s">
        <v>480</v>
      </c>
      <c r="L162" s="40" t="s">
        <v>25</v>
      </c>
      <c r="M162" s="38" t="s">
        <v>481</v>
      </c>
    </row>
    <row r="163" spans="1:13" ht="120" x14ac:dyDescent="0.25">
      <c r="A163" s="42" t="s">
        <v>435</v>
      </c>
      <c r="B163" s="43"/>
      <c r="C163" s="43"/>
      <c r="D163" s="42" t="s">
        <v>475</v>
      </c>
      <c r="E163" s="44" t="s">
        <v>32</v>
      </c>
      <c r="F163" s="42" t="s">
        <v>482</v>
      </c>
      <c r="G163" s="41" t="s">
        <v>27</v>
      </c>
      <c r="H163" s="42" t="s">
        <v>97</v>
      </c>
      <c r="I163" s="43"/>
      <c r="J163" s="43"/>
      <c r="K163" s="42" t="s">
        <v>477</v>
      </c>
      <c r="L163" s="44" t="s">
        <v>32</v>
      </c>
      <c r="M163" s="42" t="s">
        <v>483</v>
      </c>
    </row>
    <row r="164" spans="1:13" ht="120" x14ac:dyDescent="0.25">
      <c r="A164" s="38" t="s">
        <v>435</v>
      </c>
      <c r="B164" s="39"/>
      <c r="C164" s="39"/>
      <c r="D164" s="38" t="s">
        <v>475</v>
      </c>
      <c r="E164" s="44" t="s">
        <v>32</v>
      </c>
      <c r="F164" s="38" t="s">
        <v>484</v>
      </c>
      <c r="G164" s="41" t="s">
        <v>27</v>
      </c>
      <c r="H164" s="38" t="s">
        <v>97</v>
      </c>
      <c r="I164" s="39"/>
      <c r="J164" s="39"/>
      <c r="K164" s="38" t="s">
        <v>480</v>
      </c>
      <c r="L164" s="44" t="s">
        <v>32</v>
      </c>
      <c r="M164" s="38" t="s">
        <v>485</v>
      </c>
    </row>
    <row r="165" spans="1:13" ht="120" x14ac:dyDescent="0.25">
      <c r="A165" s="42" t="s">
        <v>486</v>
      </c>
      <c r="B165" s="43"/>
      <c r="C165" s="46" t="s">
        <v>13</v>
      </c>
      <c r="D165" s="42" t="s">
        <v>487</v>
      </c>
      <c r="E165" s="41" t="s">
        <v>36</v>
      </c>
      <c r="F165" s="42" t="s">
        <v>488</v>
      </c>
      <c r="G165" s="41" t="s">
        <v>27</v>
      </c>
      <c r="H165" s="42" t="s">
        <v>311</v>
      </c>
      <c r="I165" s="43"/>
      <c r="J165" s="46" t="s">
        <v>13</v>
      </c>
      <c r="K165" s="42" t="s">
        <v>489</v>
      </c>
      <c r="L165" s="41" t="s">
        <v>36</v>
      </c>
      <c r="M165" s="42" t="s">
        <v>490</v>
      </c>
    </row>
    <row r="166" spans="1:13" ht="120" x14ac:dyDescent="0.25">
      <c r="A166" s="38" t="s">
        <v>486</v>
      </c>
      <c r="B166" s="39"/>
      <c r="C166" s="46" t="s">
        <v>13</v>
      </c>
      <c r="D166" s="38" t="s">
        <v>487</v>
      </c>
      <c r="E166" s="41" t="s">
        <v>36</v>
      </c>
      <c r="F166" s="38" t="s">
        <v>491</v>
      </c>
      <c r="G166" s="41" t="s">
        <v>27</v>
      </c>
      <c r="H166" s="38" t="s">
        <v>311</v>
      </c>
      <c r="I166" s="39"/>
      <c r="J166" s="46" t="s">
        <v>13</v>
      </c>
      <c r="K166" s="38" t="s">
        <v>489</v>
      </c>
      <c r="L166" s="41" t="s">
        <v>36</v>
      </c>
      <c r="M166" s="38" t="s">
        <v>492</v>
      </c>
    </row>
    <row r="167" spans="1:13" ht="120" x14ac:dyDescent="0.25">
      <c r="A167" s="42" t="s">
        <v>486</v>
      </c>
      <c r="B167" s="43"/>
      <c r="C167" s="46" t="s">
        <v>13</v>
      </c>
      <c r="D167" s="42" t="s">
        <v>487</v>
      </c>
      <c r="E167" s="40" t="s">
        <v>25</v>
      </c>
      <c r="F167" s="42" t="s">
        <v>493</v>
      </c>
      <c r="G167" s="41" t="s">
        <v>27</v>
      </c>
      <c r="H167" s="42" t="s">
        <v>311</v>
      </c>
      <c r="I167" s="43"/>
      <c r="J167" s="46" t="s">
        <v>13</v>
      </c>
      <c r="K167" s="42" t="s">
        <v>489</v>
      </c>
      <c r="L167" s="40" t="s">
        <v>25</v>
      </c>
      <c r="M167" s="42" t="s">
        <v>494</v>
      </c>
    </row>
    <row r="168" spans="1:13" ht="120" x14ac:dyDescent="0.25">
      <c r="A168" s="38" t="s">
        <v>486</v>
      </c>
      <c r="B168" s="39"/>
      <c r="C168" s="46" t="s">
        <v>13</v>
      </c>
      <c r="D168" s="38" t="s">
        <v>487</v>
      </c>
      <c r="E168" s="40" t="s">
        <v>25</v>
      </c>
      <c r="F168" s="38" t="s">
        <v>495</v>
      </c>
      <c r="G168" s="41" t="s">
        <v>27</v>
      </c>
      <c r="H168" s="38" t="s">
        <v>311</v>
      </c>
      <c r="I168" s="39"/>
      <c r="J168" s="46" t="s">
        <v>13</v>
      </c>
      <c r="K168" s="38" t="s">
        <v>489</v>
      </c>
      <c r="L168" s="40" t="s">
        <v>25</v>
      </c>
      <c r="M168" s="38" t="s">
        <v>496</v>
      </c>
    </row>
    <row r="169" spans="1:13" ht="120" x14ac:dyDescent="0.25">
      <c r="A169" s="42" t="s">
        <v>486</v>
      </c>
      <c r="B169" s="43"/>
      <c r="C169" s="43"/>
      <c r="D169" s="42" t="s">
        <v>487</v>
      </c>
      <c r="E169" s="44" t="s">
        <v>32</v>
      </c>
      <c r="F169" s="42" t="s">
        <v>497</v>
      </c>
      <c r="G169" s="41" t="s">
        <v>27</v>
      </c>
      <c r="H169" s="42" t="s">
        <v>311</v>
      </c>
      <c r="I169" s="43"/>
      <c r="J169" s="43"/>
      <c r="K169" s="42" t="s">
        <v>489</v>
      </c>
      <c r="L169" s="44" t="s">
        <v>32</v>
      </c>
      <c r="M169" s="42" t="s">
        <v>498</v>
      </c>
    </row>
    <row r="170" spans="1:13" ht="120" x14ac:dyDescent="0.25">
      <c r="A170" s="38" t="s">
        <v>486</v>
      </c>
      <c r="B170" s="39"/>
      <c r="C170" s="39"/>
      <c r="D170" s="38" t="s">
        <v>487</v>
      </c>
      <c r="E170" s="44" t="s">
        <v>32</v>
      </c>
      <c r="F170" s="38" t="s">
        <v>499</v>
      </c>
      <c r="G170" s="41" t="s">
        <v>27</v>
      </c>
      <c r="H170" s="38" t="s">
        <v>311</v>
      </c>
      <c r="I170" s="39"/>
      <c r="J170" s="39"/>
      <c r="K170" s="38" t="s">
        <v>489</v>
      </c>
      <c r="L170" s="44" t="s">
        <v>32</v>
      </c>
      <c r="M170" s="38" t="s">
        <v>500</v>
      </c>
    </row>
    <row r="171" spans="1:13" ht="84" x14ac:dyDescent="0.25">
      <c r="A171" s="42" t="s">
        <v>486</v>
      </c>
      <c r="B171" s="43"/>
      <c r="C171" s="43"/>
      <c r="D171" s="42" t="s">
        <v>487</v>
      </c>
      <c r="E171" s="44" t="s">
        <v>32</v>
      </c>
      <c r="F171" s="42" t="s">
        <v>501</v>
      </c>
      <c r="G171" s="41" t="s">
        <v>27</v>
      </c>
      <c r="H171" s="42" t="s">
        <v>204</v>
      </c>
      <c r="I171" s="43"/>
      <c r="J171" s="43"/>
      <c r="K171" s="42" t="s">
        <v>502</v>
      </c>
      <c r="L171" s="44" t="s">
        <v>32</v>
      </c>
      <c r="M171" s="42" t="s">
        <v>503</v>
      </c>
    </row>
    <row r="172" spans="1:13" ht="84" x14ac:dyDescent="0.25">
      <c r="A172" s="38" t="s">
        <v>486</v>
      </c>
      <c r="B172" s="39"/>
      <c r="C172" s="39"/>
      <c r="D172" s="38" t="s">
        <v>487</v>
      </c>
      <c r="E172" s="44" t="s">
        <v>32</v>
      </c>
      <c r="F172" s="38" t="s">
        <v>504</v>
      </c>
      <c r="G172" s="41" t="s">
        <v>27</v>
      </c>
      <c r="H172" s="38" t="s">
        <v>403</v>
      </c>
      <c r="I172" s="39"/>
      <c r="J172" s="39"/>
      <c r="K172" s="38" t="s">
        <v>472</v>
      </c>
      <c r="L172" s="44" t="s">
        <v>32</v>
      </c>
      <c r="M172" s="38" t="s">
        <v>505</v>
      </c>
    </row>
    <row r="173" spans="1:13" ht="84" x14ac:dyDescent="0.25">
      <c r="A173" s="42" t="s">
        <v>486</v>
      </c>
      <c r="B173" s="43"/>
      <c r="C173" s="43"/>
      <c r="D173" s="42" t="s">
        <v>487</v>
      </c>
      <c r="E173" s="44" t="s">
        <v>32</v>
      </c>
      <c r="F173" s="42" t="s">
        <v>506</v>
      </c>
      <c r="G173" s="41" t="s">
        <v>27</v>
      </c>
      <c r="H173" s="42" t="s">
        <v>403</v>
      </c>
      <c r="I173" s="43"/>
      <c r="J173" s="43"/>
      <c r="K173" s="42" t="s">
        <v>472</v>
      </c>
      <c r="L173" s="44" t="s">
        <v>32</v>
      </c>
      <c r="M173" s="42" t="s">
        <v>507</v>
      </c>
    </row>
    <row r="174" spans="1:13" ht="120" x14ac:dyDescent="0.25">
      <c r="A174" s="38" t="s">
        <v>486</v>
      </c>
      <c r="B174" s="39"/>
      <c r="C174" s="39"/>
      <c r="D174" s="38" t="s">
        <v>508</v>
      </c>
      <c r="E174" s="40" t="s">
        <v>25</v>
      </c>
      <c r="F174" s="38" t="s">
        <v>509</v>
      </c>
      <c r="G174" s="41" t="s">
        <v>27</v>
      </c>
      <c r="H174" s="38" t="s">
        <v>97</v>
      </c>
      <c r="I174" s="39"/>
      <c r="J174" s="39"/>
      <c r="K174" s="38" t="s">
        <v>510</v>
      </c>
      <c r="L174" s="40" t="s">
        <v>25</v>
      </c>
      <c r="M174" s="38" t="s">
        <v>511</v>
      </c>
    </row>
    <row r="175" spans="1:13" ht="120" x14ac:dyDescent="0.25">
      <c r="A175" s="42" t="s">
        <v>486</v>
      </c>
      <c r="B175" s="43"/>
      <c r="C175" s="43"/>
      <c r="D175" s="42" t="s">
        <v>508</v>
      </c>
      <c r="E175" s="44" t="s">
        <v>32</v>
      </c>
      <c r="F175" s="42" t="s">
        <v>512</v>
      </c>
      <c r="G175" s="41" t="s">
        <v>27</v>
      </c>
      <c r="H175" s="42" t="s">
        <v>97</v>
      </c>
      <c r="I175" s="43"/>
      <c r="J175" s="43"/>
      <c r="K175" s="42" t="s">
        <v>510</v>
      </c>
      <c r="L175" s="44" t="s">
        <v>32</v>
      </c>
      <c r="M175" s="42" t="s">
        <v>513</v>
      </c>
    </row>
    <row r="176" spans="1:13" ht="84" x14ac:dyDescent="0.25">
      <c r="A176" s="38" t="s">
        <v>486</v>
      </c>
      <c r="B176" s="39"/>
      <c r="C176" s="39"/>
      <c r="D176" s="38" t="s">
        <v>514</v>
      </c>
      <c r="E176" s="44" t="s">
        <v>32</v>
      </c>
      <c r="F176" s="38" t="s">
        <v>515</v>
      </c>
      <c r="G176" s="45" t="s">
        <v>34</v>
      </c>
      <c r="H176" s="39"/>
      <c r="I176" s="39"/>
      <c r="J176" s="39"/>
      <c r="K176" s="39"/>
      <c r="L176" s="39"/>
      <c r="M176" s="39"/>
    </row>
    <row r="177" spans="1:13" ht="84" x14ac:dyDescent="0.25">
      <c r="A177" s="42" t="s">
        <v>486</v>
      </c>
      <c r="B177" s="42" t="s">
        <v>59</v>
      </c>
      <c r="C177" s="43"/>
      <c r="D177" s="42" t="s">
        <v>516</v>
      </c>
      <c r="E177" s="40" t="s">
        <v>25</v>
      </c>
      <c r="F177" s="42" t="s">
        <v>517</v>
      </c>
      <c r="G177" s="41" t="s">
        <v>27</v>
      </c>
      <c r="H177" s="42" t="s">
        <v>204</v>
      </c>
      <c r="I177" s="43"/>
      <c r="J177" s="43"/>
      <c r="K177" s="42" t="s">
        <v>421</v>
      </c>
      <c r="L177" s="40" t="s">
        <v>25</v>
      </c>
      <c r="M177" s="42" t="s">
        <v>518</v>
      </c>
    </row>
    <row r="178" spans="1:13" ht="72" x14ac:dyDescent="0.25">
      <c r="A178" s="38" t="s">
        <v>519</v>
      </c>
      <c r="B178" s="39"/>
      <c r="C178" s="39"/>
      <c r="D178" s="38" t="s">
        <v>520</v>
      </c>
      <c r="E178" s="41" t="s">
        <v>36</v>
      </c>
      <c r="F178" s="38" t="s">
        <v>521</v>
      </c>
      <c r="G178" s="41" t="s">
        <v>27</v>
      </c>
      <c r="H178" s="38" t="s">
        <v>242</v>
      </c>
      <c r="I178" s="39"/>
      <c r="J178" s="39"/>
      <c r="K178" s="38" t="s">
        <v>522</v>
      </c>
      <c r="L178" s="41" t="s">
        <v>36</v>
      </c>
      <c r="M178" s="38" t="s">
        <v>523</v>
      </c>
    </row>
    <row r="179" spans="1:13" ht="72" x14ac:dyDescent="0.25">
      <c r="A179" s="42" t="s">
        <v>519</v>
      </c>
      <c r="B179" s="43"/>
      <c r="C179" s="46" t="s">
        <v>13</v>
      </c>
      <c r="D179" s="42" t="s">
        <v>520</v>
      </c>
      <c r="E179" s="41" t="s">
        <v>36</v>
      </c>
      <c r="F179" s="42" t="s">
        <v>524</v>
      </c>
      <c r="G179" s="41" t="s">
        <v>27</v>
      </c>
      <c r="H179" s="42" t="s">
        <v>242</v>
      </c>
      <c r="I179" s="43"/>
      <c r="J179" s="46" t="s">
        <v>13</v>
      </c>
      <c r="K179" s="42" t="s">
        <v>525</v>
      </c>
      <c r="L179" s="41" t="s">
        <v>36</v>
      </c>
      <c r="M179" s="42" t="s">
        <v>526</v>
      </c>
    </row>
    <row r="180" spans="1:13" ht="72" x14ac:dyDescent="0.25">
      <c r="A180" s="38" t="s">
        <v>519</v>
      </c>
      <c r="B180" s="39"/>
      <c r="C180" s="46" t="s">
        <v>13</v>
      </c>
      <c r="D180" s="38" t="s">
        <v>520</v>
      </c>
      <c r="E180" s="40" t="s">
        <v>25</v>
      </c>
      <c r="F180" s="38" t="s">
        <v>527</v>
      </c>
      <c r="G180" s="41" t="s">
        <v>27</v>
      </c>
      <c r="H180" s="38" t="s">
        <v>242</v>
      </c>
      <c r="I180" s="39"/>
      <c r="J180" s="46" t="s">
        <v>13</v>
      </c>
      <c r="K180" s="38" t="s">
        <v>522</v>
      </c>
      <c r="L180" s="40" t="s">
        <v>25</v>
      </c>
      <c r="M180" s="38" t="s">
        <v>528</v>
      </c>
    </row>
    <row r="181" spans="1:13" ht="72" x14ac:dyDescent="0.25">
      <c r="A181" s="42" t="s">
        <v>519</v>
      </c>
      <c r="B181" s="43"/>
      <c r="C181" s="43"/>
      <c r="D181" s="42" t="s">
        <v>520</v>
      </c>
      <c r="E181" s="44" t="s">
        <v>32</v>
      </c>
      <c r="F181" s="42" t="s">
        <v>529</v>
      </c>
      <c r="G181" s="41" t="s">
        <v>27</v>
      </c>
      <c r="H181" s="42" t="s">
        <v>242</v>
      </c>
      <c r="I181" s="43"/>
      <c r="J181" s="43"/>
      <c r="K181" s="42" t="s">
        <v>522</v>
      </c>
      <c r="L181" s="44" t="s">
        <v>32</v>
      </c>
      <c r="M181" s="42" t="s">
        <v>530</v>
      </c>
    </row>
    <row r="182" spans="1:13" ht="72" x14ac:dyDescent="0.25">
      <c r="A182" s="38" t="s">
        <v>519</v>
      </c>
      <c r="B182" s="39"/>
      <c r="C182" s="39"/>
      <c r="D182" s="38" t="s">
        <v>531</v>
      </c>
      <c r="E182" s="40" t="s">
        <v>25</v>
      </c>
      <c r="F182" s="38" t="s">
        <v>532</v>
      </c>
      <c r="G182" s="41" t="s">
        <v>27</v>
      </c>
      <c r="H182" s="38" t="s">
        <v>242</v>
      </c>
      <c r="I182" s="39"/>
      <c r="J182" s="39"/>
      <c r="K182" s="38" t="s">
        <v>533</v>
      </c>
      <c r="L182" s="40" t="s">
        <v>25</v>
      </c>
      <c r="M182" s="38" t="s">
        <v>534</v>
      </c>
    </row>
    <row r="183" spans="1:13" ht="72" x14ac:dyDescent="0.25">
      <c r="A183" s="42" t="s">
        <v>519</v>
      </c>
      <c r="B183" s="43"/>
      <c r="C183" s="43"/>
      <c r="D183" s="42" t="s">
        <v>531</v>
      </c>
      <c r="E183" s="44" t="s">
        <v>32</v>
      </c>
      <c r="F183" s="42" t="s">
        <v>535</v>
      </c>
      <c r="G183" s="41" t="s">
        <v>27</v>
      </c>
      <c r="H183" s="42" t="s">
        <v>242</v>
      </c>
      <c r="I183" s="43"/>
      <c r="J183" s="43"/>
      <c r="K183" s="42" t="s">
        <v>533</v>
      </c>
      <c r="L183" s="44" t="s">
        <v>32</v>
      </c>
      <c r="M183" s="42" t="s">
        <v>536</v>
      </c>
    </row>
    <row r="184" spans="1:13" ht="72" x14ac:dyDescent="0.25">
      <c r="A184" s="38" t="s">
        <v>519</v>
      </c>
      <c r="B184" s="39"/>
      <c r="C184" s="39"/>
      <c r="D184" s="38" t="s">
        <v>537</v>
      </c>
      <c r="E184" s="41" t="s">
        <v>36</v>
      </c>
      <c r="F184" s="38" t="s">
        <v>538</v>
      </c>
      <c r="G184" s="41" t="s">
        <v>27</v>
      </c>
      <c r="H184" s="38" t="s">
        <v>242</v>
      </c>
      <c r="I184" s="39"/>
      <c r="J184" s="39"/>
      <c r="K184" s="38" t="s">
        <v>452</v>
      </c>
      <c r="L184" s="41" t="s">
        <v>36</v>
      </c>
      <c r="M184" s="38" t="s">
        <v>539</v>
      </c>
    </row>
    <row r="185" spans="1:13" ht="72" x14ac:dyDescent="0.25">
      <c r="A185" s="42" t="s">
        <v>519</v>
      </c>
      <c r="B185" s="43"/>
      <c r="C185" s="43"/>
      <c r="D185" s="42" t="s">
        <v>537</v>
      </c>
      <c r="E185" s="40" t="s">
        <v>25</v>
      </c>
      <c r="F185" s="42" t="s">
        <v>540</v>
      </c>
      <c r="G185" s="41" t="s">
        <v>27</v>
      </c>
      <c r="H185" s="42" t="s">
        <v>242</v>
      </c>
      <c r="I185" s="43"/>
      <c r="J185" s="43"/>
      <c r="K185" s="42" t="s">
        <v>452</v>
      </c>
      <c r="L185" s="40" t="s">
        <v>25</v>
      </c>
      <c r="M185" s="42" t="s">
        <v>541</v>
      </c>
    </row>
    <row r="186" spans="1:13" ht="72" x14ac:dyDescent="0.25">
      <c r="A186" s="38" t="s">
        <v>519</v>
      </c>
      <c r="B186" s="39"/>
      <c r="C186" s="39"/>
      <c r="D186" s="38" t="s">
        <v>542</v>
      </c>
      <c r="E186" s="40" t="s">
        <v>25</v>
      </c>
      <c r="F186" s="38" t="s">
        <v>543</v>
      </c>
      <c r="G186" s="41" t="s">
        <v>27</v>
      </c>
      <c r="H186" s="38" t="s">
        <v>242</v>
      </c>
      <c r="I186" s="39"/>
      <c r="J186" s="39"/>
      <c r="K186" s="38" t="s">
        <v>544</v>
      </c>
      <c r="L186" s="40" t="s">
        <v>25</v>
      </c>
      <c r="M186" s="38" t="s">
        <v>545</v>
      </c>
    </row>
    <row r="187" spans="1:13" ht="72" x14ac:dyDescent="0.25">
      <c r="A187" s="42" t="s">
        <v>519</v>
      </c>
      <c r="B187" s="43"/>
      <c r="C187" s="43"/>
      <c r="D187" s="42" t="s">
        <v>542</v>
      </c>
      <c r="E187" s="40" t="s">
        <v>25</v>
      </c>
      <c r="F187" s="42" t="s">
        <v>546</v>
      </c>
      <c r="G187" s="41" t="s">
        <v>27</v>
      </c>
      <c r="H187" s="42" t="s">
        <v>242</v>
      </c>
      <c r="I187" s="43"/>
      <c r="J187" s="43"/>
      <c r="K187" s="42" t="s">
        <v>544</v>
      </c>
      <c r="L187" s="40" t="s">
        <v>25</v>
      </c>
      <c r="M187" s="42" t="s">
        <v>547</v>
      </c>
    </row>
    <row r="188" spans="1:13" ht="72" x14ac:dyDescent="0.25">
      <c r="A188" s="38" t="s">
        <v>519</v>
      </c>
      <c r="B188" s="39"/>
      <c r="C188" s="39"/>
      <c r="D188" s="38" t="s">
        <v>548</v>
      </c>
      <c r="E188" s="40" t="s">
        <v>25</v>
      </c>
      <c r="F188" s="38" t="s">
        <v>549</v>
      </c>
      <c r="G188" s="41" t="s">
        <v>27</v>
      </c>
      <c r="H188" s="38" t="s">
        <v>242</v>
      </c>
      <c r="I188" s="39"/>
      <c r="J188" s="39"/>
      <c r="K188" s="38" t="s">
        <v>550</v>
      </c>
      <c r="L188" s="40" t="s">
        <v>25</v>
      </c>
      <c r="M188" s="38" t="s">
        <v>551</v>
      </c>
    </row>
    <row r="189" spans="1:13" ht="72" x14ac:dyDescent="0.25">
      <c r="A189" s="42" t="s">
        <v>519</v>
      </c>
      <c r="B189" s="43"/>
      <c r="C189" s="43"/>
      <c r="D189" s="42" t="s">
        <v>548</v>
      </c>
      <c r="E189" s="44" t="s">
        <v>32</v>
      </c>
      <c r="F189" s="42" t="s">
        <v>552</v>
      </c>
      <c r="G189" s="41" t="s">
        <v>27</v>
      </c>
      <c r="H189" s="42" t="s">
        <v>204</v>
      </c>
      <c r="I189" s="43"/>
      <c r="J189" s="43"/>
      <c r="K189" s="42" t="s">
        <v>553</v>
      </c>
      <c r="L189" s="44" t="s">
        <v>32</v>
      </c>
      <c r="M189" s="42" t="s">
        <v>554</v>
      </c>
    </row>
    <row r="190" spans="1:13" ht="72" x14ac:dyDescent="0.25">
      <c r="A190" s="38" t="s">
        <v>519</v>
      </c>
      <c r="B190" s="39"/>
      <c r="C190" s="39"/>
      <c r="D190" s="38" t="s">
        <v>548</v>
      </c>
      <c r="E190" s="44" t="s">
        <v>32</v>
      </c>
      <c r="F190" s="38" t="s">
        <v>555</v>
      </c>
      <c r="G190" s="41" t="s">
        <v>27</v>
      </c>
      <c r="H190" s="38" t="s">
        <v>204</v>
      </c>
      <c r="I190" s="39"/>
      <c r="J190" s="39"/>
      <c r="K190" s="38" t="s">
        <v>553</v>
      </c>
      <c r="L190" s="44" t="s">
        <v>32</v>
      </c>
      <c r="M190" s="38" t="s">
        <v>556</v>
      </c>
    </row>
    <row r="191" spans="1:13" ht="72" x14ac:dyDescent="0.25">
      <c r="A191" s="42" t="s">
        <v>519</v>
      </c>
      <c r="B191" s="43"/>
      <c r="C191" s="43"/>
      <c r="D191" s="42" t="s">
        <v>548</v>
      </c>
      <c r="E191" s="44" t="s">
        <v>32</v>
      </c>
      <c r="F191" s="42" t="s">
        <v>557</v>
      </c>
      <c r="G191" s="41" t="s">
        <v>27</v>
      </c>
      <c r="H191" s="42" t="s">
        <v>242</v>
      </c>
      <c r="I191" s="43"/>
      <c r="J191" s="43"/>
      <c r="K191" s="42" t="s">
        <v>525</v>
      </c>
      <c r="L191" s="44" t="s">
        <v>32</v>
      </c>
      <c r="M191" s="42" t="s">
        <v>558</v>
      </c>
    </row>
    <row r="192" spans="1:13" ht="72" x14ac:dyDescent="0.25">
      <c r="A192" s="38" t="s">
        <v>559</v>
      </c>
      <c r="B192" s="39"/>
      <c r="C192" s="39"/>
      <c r="D192" s="38" t="s">
        <v>560</v>
      </c>
      <c r="E192" s="40" t="s">
        <v>25</v>
      </c>
      <c r="F192" s="38" t="s">
        <v>561</v>
      </c>
      <c r="G192" s="41" t="s">
        <v>27</v>
      </c>
      <c r="H192" s="38" t="s">
        <v>562</v>
      </c>
      <c r="I192" s="39"/>
      <c r="J192" s="39"/>
      <c r="K192" s="38" t="s">
        <v>563</v>
      </c>
      <c r="L192" s="40" t="s">
        <v>25</v>
      </c>
      <c r="M192" s="38" t="s">
        <v>564</v>
      </c>
    </row>
    <row r="193" spans="1:13" ht="72" x14ac:dyDescent="0.25">
      <c r="A193" s="42" t="s">
        <v>559</v>
      </c>
      <c r="B193" s="43"/>
      <c r="C193" s="43"/>
      <c r="D193" s="42" t="s">
        <v>560</v>
      </c>
      <c r="E193" s="44" t="s">
        <v>32</v>
      </c>
      <c r="F193" s="42" t="s">
        <v>565</v>
      </c>
      <c r="G193" s="41" t="s">
        <v>27</v>
      </c>
      <c r="H193" s="42" t="s">
        <v>562</v>
      </c>
      <c r="I193" s="43"/>
      <c r="J193" s="43"/>
      <c r="K193" s="42" t="s">
        <v>563</v>
      </c>
      <c r="L193" s="44" t="s">
        <v>32</v>
      </c>
      <c r="M193" s="42" t="s">
        <v>566</v>
      </c>
    </row>
    <row r="194" spans="1:13" ht="72" x14ac:dyDescent="0.25">
      <c r="A194" s="38" t="s">
        <v>559</v>
      </c>
      <c r="B194" s="39"/>
      <c r="C194" s="46" t="s">
        <v>13</v>
      </c>
      <c r="D194" s="38" t="s">
        <v>567</v>
      </c>
      <c r="E194" s="41" t="s">
        <v>36</v>
      </c>
      <c r="F194" s="38" t="s">
        <v>568</v>
      </c>
      <c r="G194" s="41" t="s">
        <v>27</v>
      </c>
      <c r="H194" s="38" t="s">
        <v>562</v>
      </c>
      <c r="I194" s="39"/>
      <c r="J194" s="46" t="s">
        <v>13</v>
      </c>
      <c r="K194" s="38" t="s">
        <v>569</v>
      </c>
      <c r="L194" s="41" t="s">
        <v>36</v>
      </c>
      <c r="M194" s="38" t="s">
        <v>570</v>
      </c>
    </row>
    <row r="195" spans="1:13" ht="72" x14ac:dyDescent="0.25">
      <c r="A195" s="42" t="s">
        <v>559</v>
      </c>
      <c r="B195" s="43"/>
      <c r="C195" s="43"/>
      <c r="D195" s="42" t="s">
        <v>567</v>
      </c>
      <c r="E195" s="40" t="s">
        <v>25</v>
      </c>
      <c r="F195" s="42" t="s">
        <v>571</v>
      </c>
      <c r="G195" s="41" t="s">
        <v>27</v>
      </c>
      <c r="H195" s="42" t="s">
        <v>562</v>
      </c>
      <c r="I195" s="43"/>
      <c r="J195" s="43"/>
      <c r="K195" s="42" t="s">
        <v>569</v>
      </c>
      <c r="L195" s="40" t="s">
        <v>25</v>
      </c>
      <c r="M195" s="42" t="s">
        <v>572</v>
      </c>
    </row>
    <row r="196" spans="1:13" ht="72" x14ac:dyDescent="0.25">
      <c r="A196" s="38" t="s">
        <v>559</v>
      </c>
      <c r="B196" s="39"/>
      <c r="C196" s="39"/>
      <c r="D196" s="38" t="s">
        <v>567</v>
      </c>
      <c r="E196" s="44" t="s">
        <v>32</v>
      </c>
      <c r="F196" s="38" t="s">
        <v>573</v>
      </c>
      <c r="G196" s="41" t="s">
        <v>27</v>
      </c>
      <c r="H196" s="38" t="s">
        <v>562</v>
      </c>
      <c r="I196" s="39"/>
      <c r="J196" s="39"/>
      <c r="K196" s="38" t="s">
        <v>569</v>
      </c>
      <c r="L196" s="44" t="s">
        <v>32</v>
      </c>
      <c r="M196" s="38" t="s">
        <v>574</v>
      </c>
    </row>
    <row r="197" spans="1:13" ht="72" x14ac:dyDescent="0.25">
      <c r="A197" s="42" t="s">
        <v>559</v>
      </c>
      <c r="B197" s="42" t="s">
        <v>59</v>
      </c>
      <c r="C197" s="43"/>
      <c r="D197" s="42" t="s">
        <v>575</v>
      </c>
      <c r="E197" s="44" t="s">
        <v>32</v>
      </c>
      <c r="F197" s="42" t="s">
        <v>576</v>
      </c>
      <c r="G197" s="41" t="s">
        <v>27</v>
      </c>
      <c r="H197" s="42" t="s">
        <v>562</v>
      </c>
      <c r="I197" s="43"/>
      <c r="J197" s="43"/>
      <c r="K197" s="42" t="s">
        <v>577</v>
      </c>
      <c r="L197" s="44" t="s">
        <v>32</v>
      </c>
      <c r="M197" s="42" t="s">
        <v>578</v>
      </c>
    </row>
    <row r="198" spans="1:13" ht="72" x14ac:dyDescent="0.25">
      <c r="A198" s="38" t="s">
        <v>559</v>
      </c>
      <c r="B198" s="39"/>
      <c r="C198" s="39"/>
      <c r="D198" s="38" t="s">
        <v>579</v>
      </c>
      <c r="E198" s="40" t="s">
        <v>25</v>
      </c>
      <c r="F198" s="38" t="s">
        <v>580</v>
      </c>
      <c r="G198" s="41" t="s">
        <v>27</v>
      </c>
      <c r="H198" s="38" t="s">
        <v>299</v>
      </c>
      <c r="I198" s="39"/>
      <c r="J198" s="39"/>
      <c r="K198" s="38" t="s">
        <v>581</v>
      </c>
      <c r="L198" s="40" t="s">
        <v>25</v>
      </c>
      <c r="M198" s="38" t="s">
        <v>582</v>
      </c>
    </row>
    <row r="199" spans="1:13" ht="72" x14ac:dyDescent="0.25">
      <c r="A199" s="42" t="s">
        <v>559</v>
      </c>
      <c r="B199" s="43"/>
      <c r="C199" s="43"/>
      <c r="D199" s="42" t="s">
        <v>583</v>
      </c>
      <c r="E199" s="40" t="s">
        <v>25</v>
      </c>
      <c r="F199" s="42" t="s">
        <v>584</v>
      </c>
      <c r="G199" s="41" t="s">
        <v>27</v>
      </c>
      <c r="H199" s="42" t="s">
        <v>562</v>
      </c>
      <c r="I199" s="43"/>
      <c r="J199" s="43"/>
      <c r="K199" s="42" t="s">
        <v>585</v>
      </c>
      <c r="L199" s="40" t="s">
        <v>25</v>
      </c>
      <c r="M199" s="42" t="s">
        <v>586</v>
      </c>
    </row>
    <row r="200" spans="1:13" ht="60" x14ac:dyDescent="0.25">
      <c r="A200" s="38" t="s">
        <v>587</v>
      </c>
      <c r="B200" s="39"/>
      <c r="C200" s="39"/>
      <c r="D200" s="38" t="s">
        <v>588</v>
      </c>
      <c r="E200" s="41" t="s">
        <v>36</v>
      </c>
      <c r="F200" s="38" t="s">
        <v>589</v>
      </c>
      <c r="G200" s="41" t="s">
        <v>27</v>
      </c>
      <c r="H200" s="38" t="s">
        <v>590</v>
      </c>
      <c r="I200" s="39"/>
      <c r="J200" s="39"/>
      <c r="K200" s="38" t="s">
        <v>591</v>
      </c>
      <c r="L200" s="41" t="s">
        <v>36</v>
      </c>
      <c r="M200" s="38" t="s">
        <v>592</v>
      </c>
    </row>
    <row r="201" spans="1:13" ht="60" x14ac:dyDescent="0.25">
      <c r="A201" s="42" t="s">
        <v>587</v>
      </c>
      <c r="B201" s="43"/>
      <c r="C201" s="43"/>
      <c r="D201" s="42" t="s">
        <v>588</v>
      </c>
      <c r="E201" s="40" t="s">
        <v>25</v>
      </c>
      <c r="F201" s="42" t="s">
        <v>593</v>
      </c>
      <c r="G201" s="41" t="s">
        <v>27</v>
      </c>
      <c r="H201" s="42" t="s">
        <v>378</v>
      </c>
      <c r="I201" s="43"/>
      <c r="J201" s="43"/>
      <c r="K201" s="42" t="s">
        <v>594</v>
      </c>
      <c r="L201" s="40" t="s">
        <v>25</v>
      </c>
      <c r="M201" s="42" t="s">
        <v>595</v>
      </c>
    </row>
    <row r="202" spans="1:13" ht="48" x14ac:dyDescent="0.25">
      <c r="A202" s="38" t="s">
        <v>587</v>
      </c>
      <c r="B202" s="39"/>
      <c r="C202" s="39"/>
      <c r="D202" s="38" t="s">
        <v>596</v>
      </c>
      <c r="E202" s="40" t="s">
        <v>25</v>
      </c>
      <c r="F202" s="38" t="s">
        <v>597</v>
      </c>
      <c r="G202" s="41" t="s">
        <v>27</v>
      </c>
      <c r="H202" s="38" t="s">
        <v>268</v>
      </c>
      <c r="I202" s="39"/>
      <c r="J202" s="39"/>
      <c r="K202" s="38" t="s">
        <v>598</v>
      </c>
      <c r="L202" s="40" t="s">
        <v>25</v>
      </c>
      <c r="M202" s="38" t="s">
        <v>599</v>
      </c>
    </row>
    <row r="203" spans="1:13" ht="48" x14ac:dyDescent="0.25">
      <c r="A203" s="42" t="s">
        <v>587</v>
      </c>
      <c r="B203" s="43"/>
      <c r="C203" s="43"/>
      <c r="D203" s="42" t="s">
        <v>596</v>
      </c>
      <c r="E203" s="44" t="s">
        <v>32</v>
      </c>
      <c r="F203" s="42" t="s">
        <v>600</v>
      </c>
      <c r="G203" s="41" t="s">
        <v>27</v>
      </c>
      <c r="H203" s="42" t="s">
        <v>268</v>
      </c>
      <c r="I203" s="43"/>
      <c r="J203" s="43"/>
      <c r="K203" s="42" t="s">
        <v>598</v>
      </c>
      <c r="L203" s="44" t="s">
        <v>32</v>
      </c>
      <c r="M203" s="42" t="s">
        <v>601</v>
      </c>
    </row>
    <row r="204" spans="1:13" ht="48" x14ac:dyDescent="0.25">
      <c r="A204" s="38" t="s">
        <v>587</v>
      </c>
      <c r="B204" s="39"/>
      <c r="C204" s="39"/>
      <c r="D204" s="38" t="s">
        <v>602</v>
      </c>
      <c r="E204" s="40" t="s">
        <v>25</v>
      </c>
      <c r="F204" s="38" t="s">
        <v>603</v>
      </c>
      <c r="G204" s="41" t="s">
        <v>27</v>
      </c>
      <c r="H204" s="38" t="s">
        <v>268</v>
      </c>
      <c r="I204" s="39"/>
      <c r="J204" s="39"/>
      <c r="K204" s="38" t="s">
        <v>604</v>
      </c>
      <c r="L204" s="40" t="s">
        <v>25</v>
      </c>
      <c r="M204" s="38" t="s">
        <v>605</v>
      </c>
    </row>
    <row r="205" spans="1:13" ht="36" x14ac:dyDescent="0.25">
      <c r="A205" s="42" t="s">
        <v>587</v>
      </c>
      <c r="B205" s="43"/>
      <c r="C205" s="43"/>
      <c r="D205" s="42" t="s">
        <v>606</v>
      </c>
      <c r="E205" s="40" t="s">
        <v>25</v>
      </c>
      <c r="F205" s="42" t="s">
        <v>607</v>
      </c>
      <c r="G205" s="45" t="s">
        <v>34</v>
      </c>
      <c r="H205" s="43"/>
      <c r="I205" s="43"/>
      <c r="J205" s="43"/>
      <c r="K205" s="43"/>
      <c r="L205" s="43"/>
      <c r="M205" s="43"/>
    </row>
    <row r="206" spans="1:13" ht="60" x14ac:dyDescent="0.25">
      <c r="A206" s="38" t="s">
        <v>608</v>
      </c>
      <c r="B206" s="39"/>
      <c r="C206" s="39"/>
      <c r="D206" s="38" t="s">
        <v>609</v>
      </c>
      <c r="E206" s="44" t="s">
        <v>32</v>
      </c>
      <c r="F206" s="38" t="s">
        <v>610</v>
      </c>
      <c r="G206" s="41" t="s">
        <v>27</v>
      </c>
      <c r="H206" s="38" t="s">
        <v>268</v>
      </c>
      <c r="I206" s="39"/>
      <c r="J206" s="39"/>
      <c r="K206" s="38" t="s">
        <v>611</v>
      </c>
      <c r="L206" s="44" t="s">
        <v>32</v>
      </c>
      <c r="M206" s="38" t="s">
        <v>612</v>
      </c>
    </row>
    <row r="207" spans="1:13" ht="60" x14ac:dyDescent="0.25">
      <c r="A207" s="42" t="s">
        <v>608</v>
      </c>
      <c r="B207" s="43"/>
      <c r="C207" s="43"/>
      <c r="D207" s="42" t="s">
        <v>613</v>
      </c>
      <c r="E207" s="44" t="s">
        <v>32</v>
      </c>
      <c r="F207" s="42" t="s">
        <v>614</v>
      </c>
      <c r="G207" s="41" t="s">
        <v>27</v>
      </c>
      <c r="H207" s="42" t="s">
        <v>268</v>
      </c>
      <c r="I207" s="43"/>
      <c r="J207" s="43"/>
      <c r="K207" s="42" t="s">
        <v>611</v>
      </c>
      <c r="L207" s="44" t="s">
        <v>32</v>
      </c>
      <c r="M207" s="42" t="s">
        <v>615</v>
      </c>
    </row>
    <row r="208" spans="1:13" ht="60" x14ac:dyDescent="0.25">
      <c r="A208" s="38" t="s">
        <v>608</v>
      </c>
      <c r="B208" s="39"/>
      <c r="C208" s="39"/>
      <c r="D208" s="38" t="s">
        <v>616</v>
      </c>
      <c r="E208" s="44" t="s">
        <v>32</v>
      </c>
      <c r="F208" s="38" t="s">
        <v>617</v>
      </c>
      <c r="G208" s="45" t="s">
        <v>34</v>
      </c>
      <c r="H208" s="39"/>
      <c r="I208" s="39"/>
      <c r="J208" s="39"/>
      <c r="K208" s="39"/>
      <c r="L208" s="39"/>
      <c r="M208" s="39"/>
    </row>
    <row r="209" spans="1:13" ht="60" x14ac:dyDescent="0.25">
      <c r="A209" s="42" t="s">
        <v>608</v>
      </c>
      <c r="B209" s="43"/>
      <c r="C209" s="43"/>
      <c r="D209" s="42" t="s">
        <v>618</v>
      </c>
      <c r="E209" s="44" t="s">
        <v>32</v>
      </c>
      <c r="F209" s="42" t="s">
        <v>619</v>
      </c>
      <c r="G209" s="45" t="s">
        <v>34</v>
      </c>
      <c r="H209" s="43"/>
      <c r="I209" s="43"/>
      <c r="J209" s="43"/>
      <c r="K209" s="43"/>
      <c r="L209" s="43"/>
      <c r="M209" s="43"/>
    </row>
    <row r="210" spans="1:13" ht="72" x14ac:dyDescent="0.25">
      <c r="A210" s="38" t="s">
        <v>620</v>
      </c>
      <c r="B210" s="39"/>
      <c r="C210" s="39"/>
      <c r="D210" s="38" t="s">
        <v>621</v>
      </c>
      <c r="E210" s="41" t="s">
        <v>36</v>
      </c>
      <c r="F210" s="38" t="s">
        <v>622</v>
      </c>
      <c r="G210" s="41" t="s">
        <v>27</v>
      </c>
      <c r="H210" s="38" t="s">
        <v>378</v>
      </c>
      <c r="I210" s="39"/>
      <c r="J210" s="39"/>
      <c r="K210" s="38" t="s">
        <v>623</v>
      </c>
      <c r="L210" s="41" t="s">
        <v>36</v>
      </c>
      <c r="M210" s="38" t="s">
        <v>624</v>
      </c>
    </row>
    <row r="211" spans="1:13" ht="72" x14ac:dyDescent="0.25">
      <c r="A211" s="42" t="s">
        <v>620</v>
      </c>
      <c r="B211" s="43"/>
      <c r="C211" s="46" t="s">
        <v>13</v>
      </c>
      <c r="D211" s="42" t="s">
        <v>621</v>
      </c>
      <c r="E211" s="40" t="s">
        <v>25</v>
      </c>
      <c r="F211" s="42" t="s">
        <v>625</v>
      </c>
      <c r="G211" s="41" t="s">
        <v>27</v>
      </c>
      <c r="H211" s="42" t="s">
        <v>378</v>
      </c>
      <c r="I211" s="43"/>
      <c r="J211" s="43"/>
      <c r="K211" s="42" t="s">
        <v>623</v>
      </c>
      <c r="L211" s="40" t="s">
        <v>25</v>
      </c>
      <c r="M211" s="42" t="s">
        <v>626</v>
      </c>
    </row>
    <row r="212" spans="1:13" ht="48" x14ac:dyDescent="0.25">
      <c r="A212" s="38" t="s">
        <v>627</v>
      </c>
      <c r="B212" s="39"/>
      <c r="C212" s="39"/>
      <c r="D212" s="38" t="s">
        <v>628</v>
      </c>
      <c r="E212" s="40" t="s">
        <v>25</v>
      </c>
      <c r="F212" s="38" t="s">
        <v>629</v>
      </c>
      <c r="G212" s="41" t="s">
        <v>27</v>
      </c>
      <c r="H212" s="38" t="s">
        <v>630</v>
      </c>
      <c r="I212" s="39"/>
      <c r="J212" s="39"/>
      <c r="K212" s="38" t="s">
        <v>631</v>
      </c>
      <c r="L212" s="40" t="s">
        <v>25</v>
      </c>
      <c r="M212" s="38" t="s">
        <v>632</v>
      </c>
    </row>
    <row r="213" spans="1:13" ht="72" x14ac:dyDescent="0.25">
      <c r="A213" s="42" t="s">
        <v>627</v>
      </c>
      <c r="B213" s="43"/>
      <c r="C213" s="46" t="s">
        <v>13</v>
      </c>
      <c r="D213" s="42" t="s">
        <v>628</v>
      </c>
      <c r="E213" s="40" t="s">
        <v>25</v>
      </c>
      <c r="F213" s="42" t="s">
        <v>633</v>
      </c>
      <c r="G213" s="41" t="s">
        <v>27</v>
      </c>
      <c r="H213" s="42" t="s">
        <v>204</v>
      </c>
      <c r="I213" s="43"/>
      <c r="J213" s="46" t="s">
        <v>13</v>
      </c>
      <c r="K213" s="42" t="s">
        <v>634</v>
      </c>
      <c r="L213" s="40" t="s">
        <v>25</v>
      </c>
      <c r="M213" s="42" t="s">
        <v>635</v>
      </c>
    </row>
    <row r="214" spans="1:13" ht="60" x14ac:dyDescent="0.25">
      <c r="A214" s="38" t="s">
        <v>636</v>
      </c>
      <c r="B214" s="39"/>
      <c r="C214" s="39"/>
      <c r="D214" s="38" t="s">
        <v>637</v>
      </c>
      <c r="E214" s="41" t="s">
        <v>36</v>
      </c>
      <c r="F214" s="38" t="s">
        <v>638</v>
      </c>
      <c r="G214" s="41" t="s">
        <v>27</v>
      </c>
      <c r="H214" s="38" t="s">
        <v>639</v>
      </c>
      <c r="I214" s="39"/>
      <c r="J214" s="39"/>
      <c r="K214" s="38" t="s">
        <v>640</v>
      </c>
      <c r="L214" s="41" t="s">
        <v>36</v>
      </c>
      <c r="M214" s="38" t="s">
        <v>641</v>
      </c>
    </row>
    <row r="215" spans="1:13" ht="60" x14ac:dyDescent="0.25">
      <c r="A215" s="42" t="s">
        <v>636</v>
      </c>
      <c r="B215" s="43"/>
      <c r="C215" s="43"/>
      <c r="D215" s="42" t="s">
        <v>642</v>
      </c>
      <c r="E215" s="44" t="s">
        <v>32</v>
      </c>
      <c r="F215" s="42" t="s">
        <v>643</v>
      </c>
      <c r="G215" s="41" t="s">
        <v>27</v>
      </c>
      <c r="H215" s="42" t="s">
        <v>639</v>
      </c>
      <c r="I215" s="43"/>
      <c r="J215" s="43"/>
      <c r="K215" s="42" t="s">
        <v>640</v>
      </c>
      <c r="L215" s="44" t="s">
        <v>32</v>
      </c>
      <c r="M215" s="42" t="s">
        <v>644</v>
      </c>
    </row>
    <row r="216" spans="1:13" ht="60" x14ac:dyDescent="0.25">
      <c r="A216" s="38" t="s">
        <v>636</v>
      </c>
      <c r="B216" s="39"/>
      <c r="C216" s="39"/>
      <c r="D216" s="38" t="s">
        <v>645</v>
      </c>
      <c r="E216" s="40" t="s">
        <v>25</v>
      </c>
      <c r="F216" s="38" t="s">
        <v>646</v>
      </c>
      <c r="G216" s="45" t="s">
        <v>34</v>
      </c>
      <c r="H216" s="39"/>
      <c r="I216" s="39"/>
      <c r="J216" s="39"/>
      <c r="K216" s="39"/>
      <c r="L216" s="39"/>
      <c r="M216" s="39"/>
    </row>
    <row r="217" spans="1:13" ht="60" x14ac:dyDescent="0.25">
      <c r="A217" s="42" t="s">
        <v>636</v>
      </c>
      <c r="B217" s="43"/>
      <c r="C217" s="43"/>
      <c r="D217" s="42" t="s">
        <v>647</v>
      </c>
      <c r="E217" s="40" t="s">
        <v>25</v>
      </c>
      <c r="F217" s="42" t="s">
        <v>648</v>
      </c>
      <c r="G217" s="45" t="s">
        <v>34</v>
      </c>
      <c r="H217" s="43"/>
      <c r="I217" s="43"/>
      <c r="J217" s="43"/>
      <c r="K217" s="43"/>
      <c r="L217" s="43"/>
      <c r="M217" s="43"/>
    </row>
    <row r="218" spans="1:13" ht="84" x14ac:dyDescent="0.25">
      <c r="A218" s="38" t="s">
        <v>649</v>
      </c>
      <c r="B218" s="38" t="s">
        <v>59</v>
      </c>
      <c r="C218" s="39"/>
      <c r="D218" s="38" t="s">
        <v>650</v>
      </c>
      <c r="E218" s="40" t="s">
        <v>25</v>
      </c>
      <c r="F218" s="38" t="s">
        <v>651</v>
      </c>
      <c r="G218" s="41" t="s">
        <v>27</v>
      </c>
      <c r="H218" s="38" t="s">
        <v>652</v>
      </c>
      <c r="I218" s="39"/>
      <c r="J218" s="39"/>
      <c r="K218" s="38" t="s">
        <v>653</v>
      </c>
      <c r="L218" s="40" t="s">
        <v>25</v>
      </c>
      <c r="M218" s="38" t="s">
        <v>654</v>
      </c>
    </row>
    <row r="219" spans="1:13" ht="84" x14ac:dyDescent="0.25">
      <c r="A219" s="42" t="s">
        <v>649</v>
      </c>
      <c r="B219" s="43"/>
      <c r="C219" s="43"/>
      <c r="D219" s="42" t="s">
        <v>655</v>
      </c>
      <c r="E219" s="40" t="s">
        <v>25</v>
      </c>
      <c r="F219" s="42" t="s">
        <v>656</v>
      </c>
      <c r="G219" s="41" t="s">
        <v>27</v>
      </c>
      <c r="H219" s="42" t="s">
        <v>652</v>
      </c>
      <c r="I219" s="43"/>
      <c r="J219" s="43"/>
      <c r="K219" s="42" t="s">
        <v>657</v>
      </c>
      <c r="L219" s="40" t="s">
        <v>25</v>
      </c>
      <c r="M219" s="42" t="s">
        <v>658</v>
      </c>
    </row>
    <row r="220" spans="1:13" ht="84" x14ac:dyDescent="0.25">
      <c r="A220" s="38" t="s">
        <v>649</v>
      </c>
      <c r="B220" s="39"/>
      <c r="C220" s="39"/>
      <c r="D220" s="38" t="s">
        <v>655</v>
      </c>
      <c r="E220" s="44" t="s">
        <v>32</v>
      </c>
      <c r="F220" s="38" t="s">
        <v>659</v>
      </c>
      <c r="G220" s="41" t="s">
        <v>27</v>
      </c>
      <c r="H220" s="38" t="s">
        <v>652</v>
      </c>
      <c r="I220" s="39"/>
      <c r="J220" s="39"/>
      <c r="K220" s="38" t="s">
        <v>657</v>
      </c>
      <c r="L220" s="44" t="s">
        <v>32</v>
      </c>
      <c r="M220" s="38" t="s">
        <v>660</v>
      </c>
    </row>
    <row r="221" spans="1:13" ht="84" x14ac:dyDescent="0.25">
      <c r="A221" s="42" t="s">
        <v>649</v>
      </c>
      <c r="B221" s="43"/>
      <c r="C221" s="43"/>
      <c r="D221" s="42" t="s">
        <v>655</v>
      </c>
      <c r="E221" s="44" t="s">
        <v>32</v>
      </c>
      <c r="F221" s="42" t="s">
        <v>661</v>
      </c>
      <c r="G221" s="41" t="s">
        <v>27</v>
      </c>
      <c r="H221" s="42" t="s">
        <v>652</v>
      </c>
      <c r="I221" s="43"/>
      <c r="J221" s="43"/>
      <c r="K221" s="42" t="s">
        <v>662</v>
      </c>
      <c r="L221" s="44" t="s">
        <v>32</v>
      </c>
      <c r="M221" s="42" t="s">
        <v>663</v>
      </c>
    </row>
    <row r="222" spans="1:13" ht="24" customHeight="1" x14ac:dyDescent="0.25">
      <c r="A222" s="83" t="s">
        <v>664</v>
      </c>
      <c r="B222" s="50"/>
      <c r="C222" s="50"/>
      <c r="D222" s="50"/>
      <c r="E222" s="50"/>
      <c r="F222" s="50"/>
      <c r="G222" s="50"/>
      <c r="H222" s="50"/>
      <c r="I222" s="50"/>
      <c r="J222" s="50"/>
      <c r="K222" s="50"/>
      <c r="L222" s="50"/>
      <c r="M222" s="50"/>
    </row>
    <row r="223" spans="1:13" ht="84" x14ac:dyDescent="0.25">
      <c r="A223" s="43"/>
      <c r="B223" s="43"/>
      <c r="C223" s="43"/>
      <c r="D223" s="43"/>
      <c r="E223" s="43"/>
      <c r="F223" s="43"/>
      <c r="G223" s="47" t="s">
        <v>665</v>
      </c>
      <c r="H223" s="42" t="s">
        <v>28</v>
      </c>
      <c r="I223" s="43"/>
      <c r="J223" s="43"/>
      <c r="K223" s="42" t="s">
        <v>666</v>
      </c>
      <c r="L223" s="40" t="s">
        <v>25</v>
      </c>
      <c r="M223" s="42" t="s">
        <v>667</v>
      </c>
    </row>
    <row r="224" spans="1:13" ht="72" x14ac:dyDescent="0.25">
      <c r="A224" s="39"/>
      <c r="B224" s="39"/>
      <c r="C224" s="39"/>
      <c r="D224" s="39"/>
      <c r="E224" s="39"/>
      <c r="F224" s="39"/>
      <c r="G224" s="47" t="s">
        <v>665</v>
      </c>
      <c r="H224" s="38" t="s">
        <v>62</v>
      </c>
      <c r="I224" s="39"/>
      <c r="J224" s="39"/>
      <c r="K224" s="38" t="s">
        <v>668</v>
      </c>
      <c r="L224" s="40" t="s">
        <v>25</v>
      </c>
      <c r="M224" s="38" t="s">
        <v>669</v>
      </c>
    </row>
    <row r="225" spans="1:13" ht="132" x14ac:dyDescent="0.25">
      <c r="A225" s="43"/>
      <c r="B225" s="43"/>
      <c r="C225" s="43"/>
      <c r="D225" s="43"/>
      <c r="E225" s="43"/>
      <c r="F225" s="43"/>
      <c r="G225" s="47" t="s">
        <v>665</v>
      </c>
      <c r="H225" s="42" t="s">
        <v>127</v>
      </c>
      <c r="I225" s="43"/>
      <c r="J225" s="43"/>
      <c r="K225" s="42" t="s">
        <v>145</v>
      </c>
      <c r="L225" s="40" t="s">
        <v>25</v>
      </c>
      <c r="M225" s="42" t="s">
        <v>670</v>
      </c>
    </row>
    <row r="226" spans="1:13" ht="120" x14ac:dyDescent="0.25">
      <c r="A226" s="39"/>
      <c r="B226" s="39"/>
      <c r="C226" s="39"/>
      <c r="D226" s="39"/>
      <c r="E226" s="39"/>
      <c r="F226" s="39"/>
      <c r="G226" s="47" t="s">
        <v>665</v>
      </c>
      <c r="H226" s="38" t="s">
        <v>311</v>
      </c>
      <c r="I226" s="39"/>
      <c r="J226" s="46" t="s">
        <v>13</v>
      </c>
      <c r="K226" s="38" t="s">
        <v>671</v>
      </c>
      <c r="L226" s="40" t="s">
        <v>25</v>
      </c>
      <c r="M226" s="38" t="s">
        <v>672</v>
      </c>
    </row>
    <row r="227" spans="1:13" ht="108" x14ac:dyDescent="0.25">
      <c r="A227" s="43"/>
      <c r="B227" s="43"/>
      <c r="C227" s="43"/>
      <c r="D227" s="43"/>
      <c r="E227" s="43"/>
      <c r="F227" s="43"/>
      <c r="G227" s="47" t="s">
        <v>665</v>
      </c>
      <c r="H227" s="42" t="s">
        <v>120</v>
      </c>
      <c r="I227" s="43"/>
      <c r="J227" s="43"/>
      <c r="K227" s="42" t="s">
        <v>121</v>
      </c>
      <c r="L227" s="40" t="s">
        <v>25</v>
      </c>
      <c r="M227" s="42" t="s">
        <v>673</v>
      </c>
    </row>
    <row r="228" spans="1:13" ht="108" x14ac:dyDescent="0.25">
      <c r="A228" s="39"/>
      <c r="B228" s="39"/>
      <c r="C228" s="39"/>
      <c r="D228" s="39"/>
      <c r="E228" s="39"/>
      <c r="F228" s="39"/>
      <c r="G228" s="47" t="s">
        <v>665</v>
      </c>
      <c r="H228" s="38" t="s">
        <v>120</v>
      </c>
      <c r="I228" s="39"/>
      <c r="J228" s="39"/>
      <c r="K228" s="38" t="s">
        <v>121</v>
      </c>
      <c r="L228" s="40" t="s">
        <v>25</v>
      </c>
      <c r="M228" s="38" t="s">
        <v>674</v>
      </c>
    </row>
    <row r="229" spans="1:13" ht="120" x14ac:dyDescent="0.25">
      <c r="A229" s="43"/>
      <c r="B229" s="43"/>
      <c r="C229" s="43"/>
      <c r="D229" s="43"/>
      <c r="E229" s="43"/>
      <c r="F229" s="43"/>
      <c r="G229" s="47" t="s">
        <v>665</v>
      </c>
      <c r="H229" s="42" t="s">
        <v>97</v>
      </c>
      <c r="I229" s="43"/>
      <c r="J229" s="43"/>
      <c r="K229" s="42" t="s">
        <v>675</v>
      </c>
      <c r="L229" s="40" t="s">
        <v>25</v>
      </c>
      <c r="M229" s="42" t="s">
        <v>676</v>
      </c>
    </row>
    <row r="230" spans="1:13" ht="72" x14ac:dyDescent="0.25">
      <c r="A230" s="39"/>
      <c r="B230" s="39"/>
      <c r="C230" s="39"/>
      <c r="D230" s="39"/>
      <c r="E230" s="39"/>
      <c r="F230" s="39"/>
      <c r="G230" s="47" t="s">
        <v>665</v>
      </c>
      <c r="H230" s="38" t="s">
        <v>403</v>
      </c>
      <c r="I230" s="39"/>
      <c r="J230" s="39"/>
      <c r="K230" s="38" t="s">
        <v>443</v>
      </c>
      <c r="L230" s="40" t="s">
        <v>25</v>
      </c>
      <c r="M230" s="38" t="s">
        <v>677</v>
      </c>
    </row>
    <row r="231" spans="1:13" ht="48" x14ac:dyDescent="0.25">
      <c r="A231" s="43"/>
      <c r="B231" s="43"/>
      <c r="C231" s="43"/>
      <c r="D231" s="43"/>
      <c r="E231" s="43"/>
      <c r="F231" s="43"/>
      <c r="G231" s="47" t="s">
        <v>665</v>
      </c>
      <c r="H231" s="42" t="s">
        <v>562</v>
      </c>
      <c r="I231" s="43"/>
      <c r="J231" s="43"/>
      <c r="K231" s="42" t="s">
        <v>585</v>
      </c>
      <c r="L231" s="40" t="s">
        <v>25</v>
      </c>
      <c r="M231" s="42" t="s">
        <v>678</v>
      </c>
    </row>
    <row r="232" spans="1:13" ht="72" x14ac:dyDescent="0.25">
      <c r="A232" s="39"/>
      <c r="B232" s="39"/>
      <c r="C232" s="39"/>
      <c r="D232" s="39"/>
      <c r="E232" s="39"/>
      <c r="F232" s="39"/>
      <c r="G232" s="47" t="s">
        <v>665</v>
      </c>
      <c r="H232" s="38" t="s">
        <v>242</v>
      </c>
      <c r="I232" s="39"/>
      <c r="J232" s="39"/>
      <c r="K232" s="38" t="s">
        <v>448</v>
      </c>
      <c r="L232" s="40" t="s">
        <v>25</v>
      </c>
      <c r="M232" s="38" t="s">
        <v>679</v>
      </c>
    </row>
    <row r="233" spans="1:13" ht="72" x14ac:dyDescent="0.25">
      <c r="A233" s="43"/>
      <c r="B233" s="43"/>
      <c r="C233" s="43"/>
      <c r="D233" s="43"/>
      <c r="E233" s="43"/>
      <c r="F233" s="43"/>
      <c r="G233" s="47" t="s">
        <v>665</v>
      </c>
      <c r="H233" s="42" t="s">
        <v>242</v>
      </c>
      <c r="I233" s="43"/>
      <c r="J233" s="43"/>
      <c r="K233" s="42" t="s">
        <v>243</v>
      </c>
      <c r="L233" s="40" t="s">
        <v>25</v>
      </c>
      <c r="M233" s="42" t="s">
        <v>680</v>
      </c>
    </row>
    <row r="234" spans="1:13" ht="60" x14ac:dyDescent="0.25">
      <c r="A234" s="39"/>
      <c r="B234" s="39"/>
      <c r="C234" s="39"/>
      <c r="D234" s="39"/>
      <c r="E234" s="39"/>
      <c r="F234" s="39"/>
      <c r="G234" s="47" t="s">
        <v>665</v>
      </c>
      <c r="H234" s="38" t="s">
        <v>299</v>
      </c>
      <c r="I234" s="39"/>
      <c r="J234" s="39"/>
      <c r="K234" s="38" t="s">
        <v>681</v>
      </c>
      <c r="L234" s="40" t="s">
        <v>25</v>
      </c>
      <c r="M234" s="38" t="s">
        <v>682</v>
      </c>
    </row>
    <row r="235" spans="1:13" ht="60" x14ac:dyDescent="0.25">
      <c r="A235" s="43"/>
      <c r="B235" s="43"/>
      <c r="C235" s="43"/>
      <c r="D235" s="43"/>
      <c r="E235" s="43"/>
      <c r="F235" s="43"/>
      <c r="G235" s="47" t="s">
        <v>665</v>
      </c>
      <c r="H235" s="42" t="s">
        <v>299</v>
      </c>
      <c r="I235" s="43"/>
      <c r="J235" s="43"/>
      <c r="K235" s="42" t="s">
        <v>683</v>
      </c>
      <c r="L235" s="40" t="s">
        <v>25</v>
      </c>
      <c r="M235" s="42" t="s">
        <v>684</v>
      </c>
    </row>
    <row r="236" spans="1:13" ht="60" x14ac:dyDescent="0.25">
      <c r="A236" s="39"/>
      <c r="B236" s="39"/>
      <c r="C236" s="39"/>
      <c r="D236" s="39"/>
      <c r="E236" s="39"/>
      <c r="F236" s="39"/>
      <c r="G236" s="47" t="s">
        <v>665</v>
      </c>
      <c r="H236" s="38" t="s">
        <v>299</v>
      </c>
      <c r="I236" s="38" t="s">
        <v>59</v>
      </c>
      <c r="J236" s="39"/>
      <c r="K236" s="38" t="s">
        <v>300</v>
      </c>
      <c r="L236" s="40" t="s">
        <v>25</v>
      </c>
      <c r="M236" s="38" t="s">
        <v>685</v>
      </c>
    </row>
    <row r="237" spans="1:13" ht="60" x14ac:dyDescent="0.25">
      <c r="A237" s="43"/>
      <c r="B237" s="43"/>
      <c r="C237" s="43"/>
      <c r="D237" s="43"/>
      <c r="E237" s="43"/>
      <c r="F237" s="43"/>
      <c r="G237" s="47" t="s">
        <v>665</v>
      </c>
      <c r="H237" s="42" t="s">
        <v>378</v>
      </c>
      <c r="I237" s="43"/>
      <c r="J237" s="43"/>
      <c r="K237" s="42" t="s">
        <v>686</v>
      </c>
      <c r="L237" s="40" t="s">
        <v>25</v>
      </c>
      <c r="M237" s="42" t="s">
        <v>687</v>
      </c>
    </row>
    <row r="238" spans="1:13" ht="60" x14ac:dyDescent="0.25">
      <c r="A238" s="39"/>
      <c r="B238" s="39"/>
      <c r="C238" s="39"/>
      <c r="D238" s="39"/>
      <c r="E238" s="39"/>
      <c r="F238" s="39"/>
      <c r="G238" s="47" t="s">
        <v>665</v>
      </c>
      <c r="H238" s="38" t="s">
        <v>378</v>
      </c>
      <c r="I238" s="39"/>
      <c r="J238" s="39"/>
      <c r="K238" s="38" t="s">
        <v>688</v>
      </c>
      <c r="L238" s="40" t="s">
        <v>25</v>
      </c>
      <c r="M238" s="38" t="s">
        <v>689</v>
      </c>
    </row>
    <row r="239" spans="1:13" ht="48" x14ac:dyDescent="0.25">
      <c r="A239" s="43"/>
      <c r="B239" s="43"/>
      <c r="C239" s="43"/>
      <c r="D239" s="43"/>
      <c r="E239" s="43"/>
      <c r="F239" s="43"/>
      <c r="G239" s="47" t="s">
        <v>665</v>
      </c>
      <c r="H239" s="42" t="s">
        <v>268</v>
      </c>
      <c r="I239" s="43"/>
      <c r="J239" s="43"/>
      <c r="K239" s="42" t="s">
        <v>690</v>
      </c>
      <c r="L239" s="40" t="s">
        <v>25</v>
      </c>
      <c r="M239" s="42" t="s">
        <v>691</v>
      </c>
    </row>
    <row r="240" spans="1:13" ht="72" x14ac:dyDescent="0.25">
      <c r="A240" s="39"/>
      <c r="B240" s="39"/>
      <c r="C240" s="39"/>
      <c r="D240" s="39"/>
      <c r="E240" s="39"/>
      <c r="F240" s="39"/>
      <c r="G240" s="47" t="s">
        <v>665</v>
      </c>
      <c r="H240" s="38" t="s">
        <v>92</v>
      </c>
      <c r="I240" s="39"/>
      <c r="J240" s="39"/>
      <c r="K240" s="38" t="s">
        <v>278</v>
      </c>
      <c r="L240" s="40" t="s">
        <v>25</v>
      </c>
      <c r="M240" s="38" t="s">
        <v>692</v>
      </c>
    </row>
    <row r="241" spans="1:13" ht="132" x14ac:dyDescent="0.25">
      <c r="A241" s="43"/>
      <c r="B241" s="43"/>
      <c r="C241" s="43"/>
      <c r="D241" s="43"/>
      <c r="E241" s="43"/>
      <c r="F241" s="43"/>
      <c r="G241" s="47" t="s">
        <v>665</v>
      </c>
      <c r="H241" s="42" t="s">
        <v>127</v>
      </c>
      <c r="I241" s="42" t="s">
        <v>59</v>
      </c>
      <c r="J241" s="43"/>
      <c r="K241" s="42" t="s">
        <v>693</v>
      </c>
      <c r="L241" s="44" t="s">
        <v>32</v>
      </c>
      <c r="M241" s="42" t="s">
        <v>694</v>
      </c>
    </row>
    <row r="242" spans="1:13" ht="132" x14ac:dyDescent="0.25">
      <c r="A242" s="39"/>
      <c r="B242" s="39"/>
      <c r="C242" s="39"/>
      <c r="D242" s="39"/>
      <c r="E242" s="39"/>
      <c r="F242" s="39"/>
      <c r="G242" s="47" t="s">
        <v>665</v>
      </c>
      <c r="H242" s="38" t="s">
        <v>127</v>
      </c>
      <c r="I242" s="39"/>
      <c r="J242" s="39"/>
      <c r="K242" s="38" t="s">
        <v>149</v>
      </c>
      <c r="L242" s="44" t="s">
        <v>32</v>
      </c>
      <c r="M242" s="38" t="s">
        <v>695</v>
      </c>
    </row>
    <row r="243" spans="1:13" ht="120" x14ac:dyDescent="0.25">
      <c r="A243" s="43"/>
      <c r="B243" s="43"/>
      <c r="C243" s="43"/>
      <c r="D243" s="43"/>
      <c r="E243" s="43"/>
      <c r="F243" s="43"/>
      <c r="G243" s="47" t="s">
        <v>665</v>
      </c>
      <c r="H243" s="42" t="s">
        <v>97</v>
      </c>
      <c r="I243" s="43"/>
      <c r="J243" s="43"/>
      <c r="K243" s="42" t="s">
        <v>675</v>
      </c>
      <c r="L243" s="44" t="s">
        <v>32</v>
      </c>
      <c r="M243" s="42" t="s">
        <v>696</v>
      </c>
    </row>
    <row r="244" spans="1:13" ht="48" x14ac:dyDescent="0.25">
      <c r="A244" s="39"/>
      <c r="B244" s="39"/>
      <c r="C244" s="39"/>
      <c r="D244" s="39"/>
      <c r="E244" s="39"/>
      <c r="F244" s="39"/>
      <c r="G244" s="47" t="s">
        <v>665</v>
      </c>
      <c r="H244" s="38" t="s">
        <v>562</v>
      </c>
      <c r="I244" s="39"/>
      <c r="J244" s="46" t="s">
        <v>13</v>
      </c>
      <c r="K244" s="38" t="s">
        <v>697</v>
      </c>
      <c r="L244" s="44" t="s">
        <v>32</v>
      </c>
      <c r="M244" s="38" t="s">
        <v>698</v>
      </c>
    </row>
    <row r="245" spans="1:13" ht="48" x14ac:dyDescent="0.25">
      <c r="A245" s="43"/>
      <c r="B245" s="43"/>
      <c r="C245" s="43"/>
      <c r="D245" s="43"/>
      <c r="E245" s="43"/>
      <c r="F245" s="43"/>
      <c r="G245" s="47" t="s">
        <v>665</v>
      </c>
      <c r="H245" s="42" t="s">
        <v>268</v>
      </c>
      <c r="I245" s="43"/>
      <c r="J245" s="43"/>
      <c r="K245" s="42" t="s">
        <v>604</v>
      </c>
      <c r="L245" s="44" t="s">
        <v>32</v>
      </c>
      <c r="M245" s="42" t="s">
        <v>699</v>
      </c>
    </row>
    <row r="246" spans="1:13" ht="60" x14ac:dyDescent="0.25">
      <c r="A246" s="39"/>
      <c r="B246" s="39"/>
      <c r="C246" s="39"/>
      <c r="D246" s="39"/>
      <c r="E246" s="39"/>
      <c r="F246" s="39"/>
      <c r="G246" s="47" t="s">
        <v>665</v>
      </c>
      <c r="H246" s="38" t="s">
        <v>378</v>
      </c>
      <c r="I246" s="39"/>
      <c r="J246" s="39"/>
      <c r="K246" s="38" t="s">
        <v>686</v>
      </c>
      <c r="L246" s="44" t="s">
        <v>32</v>
      </c>
      <c r="M246" s="38" t="s">
        <v>700</v>
      </c>
    </row>
  </sheetData>
  <autoFilter ref="A3:M3" xr:uid="{00000000-0009-0000-0000-000008000000}"/>
  <mergeCells count="4">
    <mergeCell ref="A2:F2"/>
    <mergeCell ref="H2:M2"/>
    <mergeCell ref="A1:M1"/>
    <mergeCell ref="A222:M222"/>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H279"/>
  <sheetViews>
    <sheetView workbookViewId="0"/>
  </sheetViews>
  <sheetFormatPr defaultRowHeight="15" x14ac:dyDescent="0.25"/>
  <cols>
    <col min="1" max="1" width="28" customWidth="1"/>
    <col min="2" max="4" width="72" customWidth="1"/>
  </cols>
  <sheetData>
    <row r="1" spans="1:4" x14ac:dyDescent="0.25">
      <c r="A1" s="48" t="s">
        <v>701</v>
      </c>
      <c r="B1" s="48" t="s">
        <v>1</v>
      </c>
      <c r="C1" s="48" t="s">
        <v>702</v>
      </c>
      <c r="D1" s="48" t="s">
        <v>703</v>
      </c>
    </row>
    <row r="2" spans="1:4" x14ac:dyDescent="0.25">
      <c r="A2" t="s">
        <v>704</v>
      </c>
      <c r="B2" t="s">
        <v>705</v>
      </c>
      <c r="C2" t="s">
        <v>706</v>
      </c>
      <c r="D2" t="s">
        <v>707</v>
      </c>
    </row>
    <row r="3" spans="1:4" x14ac:dyDescent="0.25">
      <c r="A3" t="s">
        <v>708</v>
      </c>
      <c r="B3" t="s">
        <v>709</v>
      </c>
      <c r="C3" t="s">
        <v>710</v>
      </c>
      <c r="D3" t="s">
        <v>711</v>
      </c>
    </row>
    <row r="4" spans="1:4" x14ac:dyDescent="0.25">
      <c r="A4" t="s">
        <v>712</v>
      </c>
      <c r="B4" t="s">
        <v>713</v>
      </c>
      <c r="C4" t="s">
        <v>714</v>
      </c>
      <c r="D4" t="s">
        <v>713</v>
      </c>
    </row>
    <row r="5" spans="1:4" x14ac:dyDescent="0.25">
      <c r="A5" t="s">
        <v>715</v>
      </c>
      <c r="B5" t="s">
        <v>716</v>
      </c>
      <c r="C5" t="s">
        <v>717</v>
      </c>
      <c r="D5" t="s">
        <v>718</v>
      </c>
    </row>
    <row r="6" spans="1:4" x14ac:dyDescent="0.25">
      <c r="A6" t="s">
        <v>719</v>
      </c>
      <c r="B6" t="s">
        <v>720</v>
      </c>
      <c r="C6" t="s">
        <v>721</v>
      </c>
      <c r="D6" t="s">
        <v>721</v>
      </c>
    </row>
    <row r="7" spans="1:4" x14ac:dyDescent="0.25">
      <c r="A7" t="s">
        <v>722</v>
      </c>
      <c r="B7" t="s">
        <v>723</v>
      </c>
      <c r="C7" t="s">
        <v>724</v>
      </c>
      <c r="D7" t="s">
        <v>725</v>
      </c>
    </row>
    <row r="8" spans="1:4" x14ac:dyDescent="0.25">
      <c r="A8" t="s">
        <v>726</v>
      </c>
      <c r="B8" t="s">
        <v>727</v>
      </c>
      <c r="C8" t="s">
        <v>728</v>
      </c>
      <c r="D8" t="s">
        <v>729</v>
      </c>
    </row>
    <row r="9" spans="1:4" x14ac:dyDescent="0.25">
      <c r="A9" t="s">
        <v>730</v>
      </c>
      <c r="B9" t="s">
        <v>731</v>
      </c>
      <c r="C9" t="s">
        <v>732</v>
      </c>
      <c r="D9" t="s">
        <v>733</v>
      </c>
    </row>
    <row r="10" spans="1:4" x14ac:dyDescent="0.25">
      <c r="A10" t="s">
        <v>734</v>
      </c>
      <c r="B10" t="s">
        <v>735</v>
      </c>
      <c r="C10" t="s">
        <v>736</v>
      </c>
      <c r="D10" t="s">
        <v>737</v>
      </c>
    </row>
    <row r="11" spans="1:4" x14ac:dyDescent="0.25">
      <c r="A11" t="s">
        <v>738</v>
      </c>
      <c r="B11" t="s">
        <v>739</v>
      </c>
      <c r="C11" t="s">
        <v>739</v>
      </c>
      <c r="D11" t="s">
        <v>739</v>
      </c>
    </row>
    <row r="12" spans="1:4" x14ac:dyDescent="0.25">
      <c r="A12" t="s">
        <v>740</v>
      </c>
      <c r="B12" t="s">
        <v>741</v>
      </c>
      <c r="C12" t="s">
        <v>742</v>
      </c>
      <c r="D12" t="s">
        <v>742</v>
      </c>
    </row>
    <row r="13" spans="1:4" x14ac:dyDescent="0.25">
      <c r="A13" t="s">
        <v>743</v>
      </c>
      <c r="B13" t="s">
        <v>744</v>
      </c>
      <c r="C13" t="s">
        <v>745</v>
      </c>
      <c r="D13" t="s">
        <v>746</v>
      </c>
    </row>
    <row r="14" spans="1:4" x14ac:dyDescent="0.25">
      <c r="A14" t="s">
        <v>747</v>
      </c>
      <c r="B14" t="s">
        <v>748</v>
      </c>
      <c r="C14" t="s">
        <v>749</v>
      </c>
      <c r="D14" t="s">
        <v>750</v>
      </c>
    </row>
    <row r="15" spans="1:4" x14ac:dyDescent="0.25">
      <c r="A15" t="s">
        <v>751</v>
      </c>
      <c r="B15" t="s">
        <v>752</v>
      </c>
      <c r="C15" t="s">
        <v>753</v>
      </c>
      <c r="D15" t="s">
        <v>754</v>
      </c>
    </row>
    <row r="16" spans="1:4" x14ac:dyDescent="0.25">
      <c r="A16" t="s">
        <v>755</v>
      </c>
      <c r="B16" t="s">
        <v>756</v>
      </c>
      <c r="C16" t="s">
        <v>757</v>
      </c>
      <c r="D16" t="s">
        <v>758</v>
      </c>
    </row>
    <row r="17" spans="1:4" x14ac:dyDescent="0.25">
      <c r="A17" t="s">
        <v>759</v>
      </c>
      <c r="B17" t="s">
        <v>760</v>
      </c>
      <c r="C17" t="s">
        <v>761</v>
      </c>
      <c r="D17" t="s">
        <v>762</v>
      </c>
    </row>
    <row r="18" spans="1:4" x14ac:dyDescent="0.25">
      <c r="A18" t="s">
        <v>763</v>
      </c>
      <c r="B18" t="s">
        <v>764</v>
      </c>
      <c r="C18" t="s">
        <v>764</v>
      </c>
      <c r="D18" t="s">
        <v>764</v>
      </c>
    </row>
    <row r="19" spans="1:4" x14ac:dyDescent="0.25">
      <c r="A19" t="s">
        <v>765</v>
      </c>
      <c r="B19" t="s">
        <v>766</v>
      </c>
      <c r="C19" t="s">
        <v>767</v>
      </c>
      <c r="D19" t="s">
        <v>768</v>
      </c>
    </row>
    <row r="20" spans="1:4" x14ac:dyDescent="0.25">
      <c r="A20" t="s">
        <v>769</v>
      </c>
      <c r="B20" t="s">
        <v>770</v>
      </c>
      <c r="C20" t="s">
        <v>771</v>
      </c>
      <c r="D20" t="s">
        <v>772</v>
      </c>
    </row>
    <row r="21" spans="1:4" x14ac:dyDescent="0.25">
      <c r="A21" t="s">
        <v>773</v>
      </c>
      <c r="B21" t="s">
        <v>9</v>
      </c>
      <c r="C21" t="s">
        <v>774</v>
      </c>
      <c r="D21" t="s">
        <v>774</v>
      </c>
    </row>
    <row r="22" spans="1:4" x14ac:dyDescent="0.25">
      <c r="A22" t="s">
        <v>775</v>
      </c>
      <c r="B22" t="s">
        <v>776</v>
      </c>
      <c r="C22" t="s">
        <v>777</v>
      </c>
      <c r="D22" t="s">
        <v>778</v>
      </c>
    </row>
    <row r="23" spans="1:4" x14ac:dyDescent="0.25">
      <c r="A23" t="s">
        <v>779</v>
      </c>
      <c r="B23" t="s">
        <v>780</v>
      </c>
      <c r="C23" t="s">
        <v>781</v>
      </c>
      <c r="D23" t="s">
        <v>782</v>
      </c>
    </row>
    <row r="24" spans="1:4" x14ac:dyDescent="0.25">
      <c r="A24" t="s">
        <v>783</v>
      </c>
      <c r="B24" t="s">
        <v>784</v>
      </c>
      <c r="C24" t="s">
        <v>785</v>
      </c>
      <c r="D24" t="s">
        <v>786</v>
      </c>
    </row>
    <row r="25" spans="1:4" x14ac:dyDescent="0.25">
      <c r="A25" t="s">
        <v>787</v>
      </c>
      <c r="B25" t="s">
        <v>788</v>
      </c>
      <c r="C25" t="s">
        <v>789</v>
      </c>
      <c r="D25" t="s">
        <v>790</v>
      </c>
    </row>
    <row r="26" spans="1:4" x14ac:dyDescent="0.25">
      <c r="A26" t="s">
        <v>791</v>
      </c>
      <c r="B26" t="s">
        <v>792</v>
      </c>
      <c r="C26" t="s">
        <v>793</v>
      </c>
      <c r="D26" t="s">
        <v>794</v>
      </c>
    </row>
    <row r="27" spans="1:4" x14ac:dyDescent="0.25">
      <c r="A27" t="s">
        <v>795</v>
      </c>
      <c r="B27" t="s">
        <v>796</v>
      </c>
      <c r="C27" t="s">
        <v>797</v>
      </c>
      <c r="D27" t="s">
        <v>798</v>
      </c>
    </row>
    <row r="28" spans="1:4" x14ac:dyDescent="0.25">
      <c r="A28" t="s">
        <v>799</v>
      </c>
      <c r="B28" t="s">
        <v>800</v>
      </c>
      <c r="C28" t="s">
        <v>801</v>
      </c>
      <c r="D28" t="s">
        <v>802</v>
      </c>
    </row>
    <row r="29" spans="1:4" x14ac:dyDescent="0.25">
      <c r="A29" t="s">
        <v>803</v>
      </c>
      <c r="B29" t="s">
        <v>804</v>
      </c>
      <c r="C29" t="s">
        <v>805</v>
      </c>
      <c r="D29" t="s">
        <v>806</v>
      </c>
    </row>
    <row r="30" spans="1:4" x14ac:dyDescent="0.25">
      <c r="A30" t="s">
        <v>807</v>
      </c>
      <c r="B30" t="s">
        <v>808</v>
      </c>
      <c r="C30" t="s">
        <v>809</v>
      </c>
      <c r="D30" t="s">
        <v>810</v>
      </c>
    </row>
    <row r="31" spans="1:4" x14ac:dyDescent="0.25">
      <c r="A31" t="s">
        <v>811</v>
      </c>
      <c r="B31" t="s">
        <v>812</v>
      </c>
      <c r="C31" t="s">
        <v>813</v>
      </c>
      <c r="D31" t="s">
        <v>814</v>
      </c>
    </row>
    <row r="32" spans="1:4" x14ac:dyDescent="0.25">
      <c r="A32" t="s">
        <v>815</v>
      </c>
      <c r="B32" t="s">
        <v>816</v>
      </c>
      <c r="C32" t="s">
        <v>817</v>
      </c>
      <c r="D32" t="s">
        <v>818</v>
      </c>
    </row>
    <row r="33" spans="1:4" x14ac:dyDescent="0.25">
      <c r="A33" t="s">
        <v>819</v>
      </c>
      <c r="B33" t="s">
        <v>820</v>
      </c>
      <c r="C33" t="s">
        <v>821</v>
      </c>
      <c r="D33" t="s">
        <v>822</v>
      </c>
    </row>
    <row r="34" spans="1:4" x14ac:dyDescent="0.25">
      <c r="A34" t="s">
        <v>823</v>
      </c>
      <c r="B34" t="s">
        <v>824</v>
      </c>
      <c r="C34" t="s">
        <v>825</v>
      </c>
      <c r="D34" t="s">
        <v>826</v>
      </c>
    </row>
    <row r="35" spans="1:4" x14ac:dyDescent="0.25">
      <c r="A35" t="s">
        <v>827</v>
      </c>
      <c r="B35" t="s">
        <v>828</v>
      </c>
      <c r="C35" t="s">
        <v>829</v>
      </c>
      <c r="D35" t="s">
        <v>830</v>
      </c>
    </row>
    <row r="36" spans="1:4" x14ac:dyDescent="0.25">
      <c r="A36" t="s">
        <v>831</v>
      </c>
      <c r="B36" t="s">
        <v>832</v>
      </c>
      <c r="C36" t="s">
        <v>833</v>
      </c>
      <c r="D36" t="s">
        <v>834</v>
      </c>
    </row>
    <row r="37" spans="1:4" x14ac:dyDescent="0.25">
      <c r="A37" t="s">
        <v>835</v>
      </c>
      <c r="B37" t="s">
        <v>836</v>
      </c>
      <c r="C37" t="s">
        <v>837</v>
      </c>
      <c r="D37" t="s">
        <v>838</v>
      </c>
    </row>
    <row r="38" spans="1:4" x14ac:dyDescent="0.25">
      <c r="A38" t="s">
        <v>839</v>
      </c>
      <c r="B38" t="s">
        <v>840</v>
      </c>
      <c r="C38" t="s">
        <v>841</v>
      </c>
      <c r="D38" t="s">
        <v>842</v>
      </c>
    </row>
    <row r="39" spans="1:4" x14ac:dyDescent="0.25">
      <c r="A39" t="s">
        <v>843</v>
      </c>
      <c r="B39" t="s">
        <v>844</v>
      </c>
      <c r="C39" t="s">
        <v>845</v>
      </c>
      <c r="D39" t="s">
        <v>846</v>
      </c>
    </row>
    <row r="40" spans="1:4" x14ac:dyDescent="0.25">
      <c r="A40" t="s">
        <v>847</v>
      </c>
      <c r="B40" t="s">
        <v>848</v>
      </c>
      <c r="C40" t="s">
        <v>849</v>
      </c>
      <c r="D40" t="s">
        <v>850</v>
      </c>
    </row>
    <row r="41" spans="1:4" x14ac:dyDescent="0.25">
      <c r="A41" t="s">
        <v>851</v>
      </c>
      <c r="B41" t="s">
        <v>852</v>
      </c>
      <c r="C41" t="s">
        <v>853</v>
      </c>
      <c r="D41" t="s">
        <v>852</v>
      </c>
    </row>
    <row r="42" spans="1:4" x14ac:dyDescent="0.25">
      <c r="A42" t="s">
        <v>854</v>
      </c>
      <c r="B42" t="s">
        <v>855</v>
      </c>
      <c r="C42" t="s">
        <v>856</v>
      </c>
      <c r="D42" t="s">
        <v>857</v>
      </c>
    </row>
    <row r="43" spans="1:4" x14ac:dyDescent="0.25">
      <c r="A43" t="s">
        <v>858</v>
      </c>
      <c r="B43" t="s">
        <v>859</v>
      </c>
      <c r="C43" t="s">
        <v>860</v>
      </c>
      <c r="D43" t="s">
        <v>861</v>
      </c>
    </row>
    <row r="44" spans="1:4" x14ac:dyDescent="0.25">
      <c r="A44" t="s">
        <v>862</v>
      </c>
      <c r="B44" t="s">
        <v>863</v>
      </c>
      <c r="C44" t="s">
        <v>864</v>
      </c>
      <c r="D44" t="s">
        <v>865</v>
      </c>
    </row>
    <row r="45" spans="1:4" x14ac:dyDescent="0.25">
      <c r="A45" t="s">
        <v>866</v>
      </c>
      <c r="B45" t="s">
        <v>867</v>
      </c>
      <c r="C45" t="s">
        <v>868</v>
      </c>
      <c r="D45" t="s">
        <v>869</v>
      </c>
    </row>
    <row r="46" spans="1:4" x14ac:dyDescent="0.25">
      <c r="A46" t="s">
        <v>870</v>
      </c>
      <c r="B46" t="s">
        <v>871</v>
      </c>
      <c r="C46" t="s">
        <v>871</v>
      </c>
      <c r="D46" t="s">
        <v>872</v>
      </c>
    </row>
    <row r="47" spans="1:4" x14ac:dyDescent="0.25">
      <c r="A47" t="s">
        <v>873</v>
      </c>
      <c r="B47" t="s">
        <v>874</v>
      </c>
      <c r="C47" t="s">
        <v>875</v>
      </c>
      <c r="D47" t="s">
        <v>876</v>
      </c>
    </row>
    <row r="48" spans="1:4" x14ac:dyDescent="0.25">
      <c r="A48" t="s">
        <v>877</v>
      </c>
      <c r="B48" t="s">
        <v>878</v>
      </c>
      <c r="C48" t="s">
        <v>879</v>
      </c>
      <c r="D48" t="s">
        <v>879</v>
      </c>
    </row>
    <row r="49" spans="1:4" x14ac:dyDescent="0.25">
      <c r="A49" t="s">
        <v>880</v>
      </c>
      <c r="B49" t="s">
        <v>881</v>
      </c>
      <c r="C49" t="s">
        <v>882</v>
      </c>
      <c r="D49" t="s">
        <v>883</v>
      </c>
    </row>
    <row r="50" spans="1:4" x14ac:dyDescent="0.25">
      <c r="A50" t="s">
        <v>884</v>
      </c>
      <c r="B50" t="s">
        <v>885</v>
      </c>
      <c r="C50" t="s">
        <v>886</v>
      </c>
      <c r="D50" t="s">
        <v>887</v>
      </c>
    </row>
    <row r="51" spans="1:4" x14ac:dyDescent="0.25">
      <c r="A51" t="s">
        <v>888</v>
      </c>
      <c r="B51" t="s">
        <v>889</v>
      </c>
      <c r="C51" t="s">
        <v>890</v>
      </c>
      <c r="D51" t="s">
        <v>891</v>
      </c>
    </row>
    <row r="52" spans="1:4" x14ac:dyDescent="0.25">
      <c r="A52" t="s">
        <v>892</v>
      </c>
      <c r="B52" t="s">
        <v>893</v>
      </c>
      <c r="C52" t="s">
        <v>894</v>
      </c>
      <c r="D52" t="s">
        <v>895</v>
      </c>
    </row>
    <row r="53" spans="1:4" x14ac:dyDescent="0.25">
      <c r="A53" t="s">
        <v>896</v>
      </c>
      <c r="B53" t="s">
        <v>897</v>
      </c>
      <c r="C53" t="s">
        <v>897</v>
      </c>
      <c r="D53" t="s">
        <v>897</v>
      </c>
    </row>
    <row r="54" spans="1:4" x14ac:dyDescent="0.25">
      <c r="A54" t="s">
        <v>898</v>
      </c>
      <c r="B54" t="s">
        <v>899</v>
      </c>
      <c r="C54" t="s">
        <v>900</v>
      </c>
      <c r="D54" t="s">
        <v>901</v>
      </c>
    </row>
    <row r="55" spans="1:4" x14ac:dyDescent="0.25">
      <c r="A55" t="s">
        <v>902</v>
      </c>
      <c r="B55" t="s">
        <v>903</v>
      </c>
      <c r="C55" t="s">
        <v>904</v>
      </c>
      <c r="D55" t="s">
        <v>905</v>
      </c>
    </row>
    <row r="56" spans="1:4" x14ac:dyDescent="0.25">
      <c r="A56" t="s">
        <v>906</v>
      </c>
      <c r="B56" t="s">
        <v>907</v>
      </c>
      <c r="C56" t="s">
        <v>908</v>
      </c>
      <c r="D56" t="s">
        <v>909</v>
      </c>
    </row>
    <row r="57" spans="1:4" x14ac:dyDescent="0.25">
      <c r="A57" t="s">
        <v>910</v>
      </c>
      <c r="B57" t="s">
        <v>911</v>
      </c>
      <c r="C57" t="s">
        <v>912</v>
      </c>
      <c r="D57" t="s">
        <v>913</v>
      </c>
    </row>
    <row r="58" spans="1:4" x14ac:dyDescent="0.25">
      <c r="A58" t="s">
        <v>914</v>
      </c>
      <c r="B58" t="s">
        <v>915</v>
      </c>
      <c r="C58" t="s">
        <v>916</v>
      </c>
      <c r="D58" t="s">
        <v>917</v>
      </c>
    </row>
    <row r="59" spans="1:4" x14ac:dyDescent="0.25">
      <c r="A59" t="s">
        <v>918</v>
      </c>
      <c r="B59" t="s">
        <v>919</v>
      </c>
      <c r="C59" t="s">
        <v>920</v>
      </c>
      <c r="D59" t="s">
        <v>921</v>
      </c>
    </row>
    <row r="60" spans="1:4" x14ac:dyDescent="0.25">
      <c r="A60" t="s">
        <v>922</v>
      </c>
      <c r="B60" t="s">
        <v>923</v>
      </c>
      <c r="C60" t="s">
        <v>924</v>
      </c>
      <c r="D60" t="s">
        <v>925</v>
      </c>
    </row>
    <row r="61" spans="1:4" x14ac:dyDescent="0.25">
      <c r="A61" t="s">
        <v>926</v>
      </c>
      <c r="B61" t="s">
        <v>927</v>
      </c>
      <c r="C61" t="s">
        <v>928</v>
      </c>
      <c r="D61" t="s">
        <v>929</v>
      </c>
    </row>
    <row r="62" spans="1:4" x14ac:dyDescent="0.25">
      <c r="A62" t="s">
        <v>930</v>
      </c>
      <c r="B62" t="s">
        <v>931</v>
      </c>
      <c r="C62" t="s">
        <v>932</v>
      </c>
      <c r="D62" t="s">
        <v>933</v>
      </c>
    </row>
    <row r="63" spans="1:4" x14ac:dyDescent="0.25">
      <c r="A63" t="s">
        <v>934</v>
      </c>
      <c r="B63" t="s">
        <v>935</v>
      </c>
      <c r="C63" t="s">
        <v>936</v>
      </c>
      <c r="D63" t="s">
        <v>937</v>
      </c>
    </row>
    <row r="64" spans="1:4" x14ac:dyDescent="0.25">
      <c r="A64" t="s">
        <v>938</v>
      </c>
      <c r="B64" t="s">
        <v>939</v>
      </c>
      <c r="C64" t="s">
        <v>940</v>
      </c>
      <c r="D64" t="s">
        <v>941</v>
      </c>
    </row>
    <row r="65" spans="1:4" x14ac:dyDescent="0.25">
      <c r="A65" t="s">
        <v>942</v>
      </c>
      <c r="B65" t="s">
        <v>943</v>
      </c>
      <c r="C65" t="s">
        <v>944</v>
      </c>
      <c r="D65" t="s">
        <v>945</v>
      </c>
    </row>
    <row r="66" spans="1:4" x14ac:dyDescent="0.25">
      <c r="A66" t="s">
        <v>946</v>
      </c>
      <c r="B66" t="s">
        <v>947</v>
      </c>
      <c r="C66" t="s">
        <v>948</v>
      </c>
      <c r="D66" t="s">
        <v>949</v>
      </c>
    </row>
    <row r="67" spans="1:4" x14ac:dyDescent="0.25">
      <c r="A67" t="s">
        <v>950</v>
      </c>
      <c r="B67" t="s">
        <v>951</v>
      </c>
      <c r="C67" t="s">
        <v>952</v>
      </c>
      <c r="D67" t="s">
        <v>953</v>
      </c>
    </row>
    <row r="68" spans="1:4" x14ac:dyDescent="0.25">
      <c r="A68" t="s">
        <v>954</v>
      </c>
      <c r="B68" t="s">
        <v>955</v>
      </c>
      <c r="C68" t="s">
        <v>956</v>
      </c>
      <c r="D68" t="s">
        <v>957</v>
      </c>
    </row>
    <row r="69" spans="1:4" x14ac:dyDescent="0.25">
      <c r="A69" t="s">
        <v>958</v>
      </c>
      <c r="B69" t="s">
        <v>959</v>
      </c>
      <c r="C69" t="s">
        <v>960</v>
      </c>
      <c r="D69" t="s">
        <v>961</v>
      </c>
    </row>
    <row r="70" spans="1:4" x14ac:dyDescent="0.25">
      <c r="A70" t="s">
        <v>962</v>
      </c>
      <c r="B70" t="s">
        <v>963</v>
      </c>
      <c r="C70" t="s">
        <v>964</v>
      </c>
      <c r="D70" t="s">
        <v>965</v>
      </c>
    </row>
    <row r="71" spans="1:4" x14ac:dyDescent="0.25">
      <c r="A71" t="s">
        <v>966</v>
      </c>
      <c r="B71" t="s">
        <v>967</v>
      </c>
      <c r="C71" t="s">
        <v>968</v>
      </c>
      <c r="D71" t="s">
        <v>969</v>
      </c>
    </row>
    <row r="72" spans="1:4" x14ac:dyDescent="0.25">
      <c r="A72" t="s">
        <v>970</v>
      </c>
      <c r="B72" t="s">
        <v>971</v>
      </c>
      <c r="C72" t="s">
        <v>972</v>
      </c>
      <c r="D72" t="s">
        <v>973</v>
      </c>
    </row>
    <row r="73" spans="1:4" x14ac:dyDescent="0.25">
      <c r="A73" t="s">
        <v>974</v>
      </c>
      <c r="B73" t="s">
        <v>975</v>
      </c>
      <c r="C73" t="s">
        <v>976</v>
      </c>
      <c r="D73" t="s">
        <v>977</v>
      </c>
    </row>
    <row r="74" spans="1:4" x14ac:dyDescent="0.25">
      <c r="A74" t="s">
        <v>978</v>
      </c>
      <c r="B74" t="s">
        <v>979</v>
      </c>
      <c r="C74" t="s">
        <v>980</v>
      </c>
      <c r="D74" t="s">
        <v>981</v>
      </c>
    </row>
    <row r="75" spans="1:4" x14ac:dyDescent="0.25">
      <c r="A75" t="s">
        <v>982</v>
      </c>
      <c r="B75" t="s">
        <v>983</v>
      </c>
      <c r="C75" t="s">
        <v>984</v>
      </c>
      <c r="D75" t="s">
        <v>985</v>
      </c>
    </row>
    <row r="76" spans="1:4" x14ac:dyDescent="0.25">
      <c r="A76" t="s">
        <v>986</v>
      </c>
      <c r="B76" t="s">
        <v>987</v>
      </c>
      <c r="C76" t="s">
        <v>988</v>
      </c>
      <c r="D76" t="s">
        <v>989</v>
      </c>
    </row>
    <row r="77" spans="1:4" x14ac:dyDescent="0.25">
      <c r="A77" t="s">
        <v>990</v>
      </c>
      <c r="B77" t="s">
        <v>991</v>
      </c>
      <c r="C77" t="s">
        <v>992</v>
      </c>
      <c r="D77" t="s">
        <v>993</v>
      </c>
    </row>
    <row r="78" spans="1:4" x14ac:dyDescent="0.25">
      <c r="A78" t="s">
        <v>994</v>
      </c>
      <c r="B78" t="s">
        <v>995</v>
      </c>
      <c r="C78" t="s">
        <v>996</v>
      </c>
      <c r="D78" t="s">
        <v>997</v>
      </c>
    </row>
    <row r="79" spans="1:4" x14ac:dyDescent="0.25">
      <c r="A79" t="s">
        <v>998</v>
      </c>
      <c r="B79" t="s">
        <v>999</v>
      </c>
      <c r="C79" t="s">
        <v>1000</v>
      </c>
      <c r="D79" t="s">
        <v>1001</v>
      </c>
    </row>
    <row r="80" spans="1:4" x14ac:dyDescent="0.25">
      <c r="A80" t="s">
        <v>1002</v>
      </c>
      <c r="B80" t="s">
        <v>1003</v>
      </c>
      <c r="C80" t="s">
        <v>1004</v>
      </c>
      <c r="D80" t="s">
        <v>1005</v>
      </c>
    </row>
    <row r="81" spans="1:4" x14ac:dyDescent="0.25">
      <c r="A81" t="s">
        <v>1006</v>
      </c>
      <c r="B81" t="s">
        <v>1007</v>
      </c>
      <c r="C81" t="s">
        <v>1008</v>
      </c>
      <c r="D81" t="s">
        <v>1009</v>
      </c>
    </row>
    <row r="82" spans="1:4" x14ac:dyDescent="0.25">
      <c r="A82" t="s">
        <v>1010</v>
      </c>
      <c r="B82" t="s">
        <v>1011</v>
      </c>
      <c r="C82" t="s">
        <v>1011</v>
      </c>
      <c r="D82" t="s">
        <v>1011</v>
      </c>
    </row>
    <row r="83" spans="1:4" x14ac:dyDescent="0.25">
      <c r="A83" t="s">
        <v>1012</v>
      </c>
      <c r="B83" t="s">
        <v>1013</v>
      </c>
      <c r="C83" t="s">
        <v>1014</v>
      </c>
      <c r="D83" t="s">
        <v>1015</v>
      </c>
    </row>
    <row r="84" spans="1:4" x14ac:dyDescent="0.25">
      <c r="A84" t="s">
        <v>1016</v>
      </c>
      <c r="B84" t="s">
        <v>878</v>
      </c>
      <c r="C84" t="s">
        <v>879</v>
      </c>
      <c r="D84" t="s">
        <v>879</v>
      </c>
    </row>
    <row r="85" spans="1:4" x14ac:dyDescent="0.25">
      <c r="A85" t="s">
        <v>1017</v>
      </c>
      <c r="B85" t="s">
        <v>1018</v>
      </c>
      <c r="C85" t="s">
        <v>1019</v>
      </c>
      <c r="D85" t="s">
        <v>1020</v>
      </c>
    </row>
    <row r="86" spans="1:4" x14ac:dyDescent="0.25">
      <c r="A86" t="s">
        <v>1021</v>
      </c>
      <c r="B86" t="s">
        <v>760</v>
      </c>
      <c r="C86" t="s">
        <v>761</v>
      </c>
      <c r="D86" t="s">
        <v>762</v>
      </c>
    </row>
    <row r="87" spans="1:4" x14ac:dyDescent="0.25">
      <c r="A87" t="s">
        <v>1022</v>
      </c>
      <c r="B87" t="s">
        <v>1023</v>
      </c>
      <c r="C87" t="s">
        <v>1024</v>
      </c>
      <c r="D87" t="s">
        <v>1025</v>
      </c>
    </row>
    <row r="88" spans="1:4" x14ac:dyDescent="0.25">
      <c r="A88" t="s">
        <v>1026</v>
      </c>
      <c r="B88" t="s">
        <v>1027</v>
      </c>
      <c r="C88" t="s">
        <v>1028</v>
      </c>
      <c r="D88" t="s">
        <v>1029</v>
      </c>
    </row>
    <row r="89" spans="1:4" x14ac:dyDescent="0.25">
      <c r="A89" t="s">
        <v>1030</v>
      </c>
      <c r="B89" t="s">
        <v>1031</v>
      </c>
      <c r="C89" t="s">
        <v>1032</v>
      </c>
      <c r="D89" t="s">
        <v>1033</v>
      </c>
    </row>
    <row r="90" spans="1:4" x14ac:dyDescent="0.25">
      <c r="A90" t="s">
        <v>1034</v>
      </c>
      <c r="B90" t="s">
        <v>1035</v>
      </c>
      <c r="C90" t="s">
        <v>1036</v>
      </c>
      <c r="D90" t="s">
        <v>1037</v>
      </c>
    </row>
    <row r="91" spans="1:4" x14ac:dyDescent="0.25">
      <c r="A91" t="s">
        <v>1038</v>
      </c>
      <c r="B91" t="s">
        <v>1039</v>
      </c>
      <c r="C91" t="s">
        <v>1040</v>
      </c>
      <c r="D91" t="s">
        <v>1041</v>
      </c>
    </row>
    <row r="92" spans="1:4" x14ac:dyDescent="0.25">
      <c r="A92" t="s">
        <v>1042</v>
      </c>
      <c r="B92" t="s">
        <v>1035</v>
      </c>
      <c r="C92" t="s">
        <v>1036</v>
      </c>
      <c r="D92" t="s">
        <v>1037</v>
      </c>
    </row>
    <row r="93" spans="1:4" x14ac:dyDescent="0.25">
      <c r="A93" t="s">
        <v>1043</v>
      </c>
      <c r="B93" t="s">
        <v>1044</v>
      </c>
      <c r="C93" t="s">
        <v>1045</v>
      </c>
      <c r="D93" t="s">
        <v>1046</v>
      </c>
    </row>
    <row r="94" spans="1:4" x14ac:dyDescent="0.25">
      <c r="A94" t="s">
        <v>1047</v>
      </c>
      <c r="B94" t="s">
        <v>1011</v>
      </c>
      <c r="C94" t="s">
        <v>1011</v>
      </c>
      <c r="D94" t="s">
        <v>1011</v>
      </c>
    </row>
    <row r="95" spans="1:4" x14ac:dyDescent="0.25">
      <c r="A95" t="s">
        <v>1048</v>
      </c>
      <c r="B95" t="s">
        <v>1013</v>
      </c>
      <c r="C95" t="s">
        <v>1014</v>
      </c>
      <c r="D95" t="s">
        <v>1015</v>
      </c>
    </row>
    <row r="96" spans="1:4" x14ac:dyDescent="0.25">
      <c r="A96" t="s">
        <v>1049</v>
      </c>
      <c r="B96" t="s">
        <v>1050</v>
      </c>
      <c r="C96" t="s">
        <v>1050</v>
      </c>
      <c r="D96" t="s">
        <v>1050</v>
      </c>
    </row>
    <row r="97" spans="1:4" x14ac:dyDescent="0.25">
      <c r="A97" t="s">
        <v>1051</v>
      </c>
      <c r="B97" t="s">
        <v>878</v>
      </c>
      <c r="C97" t="s">
        <v>879</v>
      </c>
      <c r="D97" t="s">
        <v>879</v>
      </c>
    </row>
    <row r="98" spans="1:4" x14ac:dyDescent="0.25">
      <c r="A98" t="s">
        <v>1052</v>
      </c>
      <c r="B98" t="s">
        <v>1053</v>
      </c>
      <c r="C98" t="s">
        <v>1019</v>
      </c>
      <c r="D98" t="s">
        <v>1054</v>
      </c>
    </row>
    <row r="99" spans="1:4" x14ac:dyDescent="0.25">
      <c r="A99" t="s">
        <v>1055</v>
      </c>
      <c r="B99" t="s">
        <v>760</v>
      </c>
      <c r="C99" t="s">
        <v>761</v>
      </c>
      <c r="D99" t="s">
        <v>762</v>
      </c>
    </row>
    <row r="100" spans="1:4" x14ac:dyDescent="0.25">
      <c r="A100" t="s">
        <v>1056</v>
      </c>
      <c r="B100" t="s">
        <v>1023</v>
      </c>
      <c r="C100" t="s">
        <v>1024</v>
      </c>
      <c r="D100" t="s">
        <v>1025</v>
      </c>
    </row>
    <row r="101" spans="1:4" x14ac:dyDescent="0.25">
      <c r="A101" t="s">
        <v>1057</v>
      </c>
      <c r="B101" t="s">
        <v>1027</v>
      </c>
      <c r="C101" t="s">
        <v>1028</v>
      </c>
      <c r="D101" t="s">
        <v>1029</v>
      </c>
    </row>
    <row r="102" spans="1:4" x14ac:dyDescent="0.25">
      <c r="A102" t="s">
        <v>1058</v>
      </c>
      <c r="B102" t="s">
        <v>1031</v>
      </c>
      <c r="C102" t="s">
        <v>1032</v>
      </c>
      <c r="D102" t="s">
        <v>1033</v>
      </c>
    </row>
    <row r="103" spans="1:4" x14ac:dyDescent="0.25">
      <c r="A103" t="s">
        <v>1059</v>
      </c>
      <c r="B103" t="s">
        <v>1039</v>
      </c>
      <c r="C103" t="s">
        <v>1040</v>
      </c>
      <c r="D103" t="s">
        <v>1041</v>
      </c>
    </row>
    <row r="104" spans="1:4" x14ac:dyDescent="0.25">
      <c r="A104" t="s">
        <v>1060</v>
      </c>
      <c r="B104" t="s">
        <v>1061</v>
      </c>
      <c r="C104" t="s">
        <v>1062</v>
      </c>
      <c r="D104" t="s">
        <v>1063</v>
      </c>
    </row>
    <row r="105" spans="1:4" x14ac:dyDescent="0.25">
      <c r="A105" t="s">
        <v>1064</v>
      </c>
      <c r="B105" t="s">
        <v>1065</v>
      </c>
      <c r="C105" t="s">
        <v>1066</v>
      </c>
      <c r="D105" t="s">
        <v>1067</v>
      </c>
    </row>
    <row r="106" spans="1:4" x14ac:dyDescent="0.25">
      <c r="A106" t="s">
        <v>1068</v>
      </c>
      <c r="B106" t="s">
        <v>1011</v>
      </c>
      <c r="C106" t="s">
        <v>1011</v>
      </c>
      <c r="D106" t="s">
        <v>1011</v>
      </c>
    </row>
    <row r="107" spans="1:4" x14ac:dyDescent="0.25">
      <c r="A107" t="s">
        <v>1069</v>
      </c>
      <c r="B107" t="s">
        <v>1013</v>
      </c>
      <c r="C107" t="s">
        <v>1014</v>
      </c>
      <c r="D107" t="s">
        <v>1015</v>
      </c>
    </row>
    <row r="108" spans="1:4" x14ac:dyDescent="0.25">
      <c r="A108" t="s">
        <v>1070</v>
      </c>
      <c r="B108" t="s">
        <v>1071</v>
      </c>
      <c r="C108" t="s">
        <v>1072</v>
      </c>
      <c r="D108" t="s">
        <v>1073</v>
      </c>
    </row>
    <row r="109" spans="1:4" x14ac:dyDescent="0.25">
      <c r="A109" t="s">
        <v>1074</v>
      </c>
      <c r="B109" t="s">
        <v>1075</v>
      </c>
      <c r="C109" t="s">
        <v>1076</v>
      </c>
      <c r="D109" t="s">
        <v>1077</v>
      </c>
    </row>
    <row r="110" spans="1:4" x14ac:dyDescent="0.25">
      <c r="A110" t="s">
        <v>1078</v>
      </c>
      <c r="B110" t="s">
        <v>760</v>
      </c>
      <c r="C110" t="s">
        <v>761</v>
      </c>
      <c r="D110" t="s">
        <v>762</v>
      </c>
    </row>
    <row r="111" spans="1:4" x14ac:dyDescent="0.25">
      <c r="A111" t="s">
        <v>1079</v>
      </c>
      <c r="B111" t="s">
        <v>1080</v>
      </c>
      <c r="C111" t="s">
        <v>1081</v>
      </c>
      <c r="D111" t="s">
        <v>1082</v>
      </c>
    </row>
    <row r="112" spans="1:4" x14ac:dyDescent="0.25">
      <c r="A112" t="s">
        <v>1083</v>
      </c>
      <c r="B112" t="s">
        <v>1084</v>
      </c>
      <c r="C112" t="s">
        <v>1085</v>
      </c>
      <c r="D112" t="s">
        <v>1086</v>
      </c>
    </row>
    <row r="113" spans="1:4" x14ac:dyDescent="0.25">
      <c r="A113" t="s">
        <v>1087</v>
      </c>
      <c r="B113" t="s">
        <v>1088</v>
      </c>
      <c r="C113" t="s">
        <v>1089</v>
      </c>
      <c r="D113" t="s">
        <v>1090</v>
      </c>
    </row>
    <row r="114" spans="1:4" x14ac:dyDescent="0.25">
      <c r="A114" t="s">
        <v>1091</v>
      </c>
      <c r="B114" t="s">
        <v>1039</v>
      </c>
      <c r="C114" t="s">
        <v>1040</v>
      </c>
      <c r="D114" t="s">
        <v>1041</v>
      </c>
    </row>
    <row r="115" spans="1:4" x14ac:dyDescent="0.25">
      <c r="A115" t="s">
        <v>1092</v>
      </c>
      <c r="B115" t="s">
        <v>1093</v>
      </c>
      <c r="C115" t="s">
        <v>1093</v>
      </c>
      <c r="D115" t="s">
        <v>1093</v>
      </c>
    </row>
    <row r="116" spans="1:4" x14ac:dyDescent="0.25">
      <c r="A116" t="s">
        <v>1094</v>
      </c>
      <c r="B116" t="s">
        <v>1095</v>
      </c>
      <c r="C116" t="s">
        <v>1096</v>
      </c>
      <c r="D116" t="s">
        <v>1097</v>
      </c>
    </row>
    <row r="117" spans="1:4" x14ac:dyDescent="0.25">
      <c r="A117" t="s">
        <v>1098</v>
      </c>
      <c r="B117" t="s">
        <v>1099</v>
      </c>
      <c r="C117" t="s">
        <v>1100</v>
      </c>
      <c r="D117" t="s">
        <v>1101</v>
      </c>
    </row>
    <row r="118" spans="1:4" x14ac:dyDescent="0.25">
      <c r="A118" t="s">
        <v>1102</v>
      </c>
      <c r="B118" t="s">
        <v>1103</v>
      </c>
      <c r="C118" t="s">
        <v>1104</v>
      </c>
      <c r="D118" t="s">
        <v>1105</v>
      </c>
    </row>
    <row r="119" spans="1:4" x14ac:dyDescent="0.25">
      <c r="A119" t="s">
        <v>1106</v>
      </c>
      <c r="B119" t="s">
        <v>1107</v>
      </c>
      <c r="C119" t="s">
        <v>1108</v>
      </c>
      <c r="D119" t="s">
        <v>1109</v>
      </c>
    </row>
    <row r="120" spans="1:4" x14ac:dyDescent="0.25">
      <c r="A120" t="s">
        <v>1110</v>
      </c>
      <c r="B120" t="s">
        <v>1111</v>
      </c>
      <c r="C120" t="s">
        <v>1112</v>
      </c>
      <c r="D120" t="s">
        <v>1113</v>
      </c>
    </row>
    <row r="121" spans="1:4" x14ac:dyDescent="0.25">
      <c r="A121" t="s">
        <v>1114</v>
      </c>
      <c r="B121" t="s">
        <v>1115</v>
      </c>
      <c r="C121" t="s">
        <v>1116</v>
      </c>
      <c r="D121" t="s">
        <v>1117</v>
      </c>
    </row>
    <row r="122" spans="1:4" x14ac:dyDescent="0.25">
      <c r="A122" t="s">
        <v>1118</v>
      </c>
      <c r="B122" t="s">
        <v>1119</v>
      </c>
      <c r="C122" t="s">
        <v>1120</v>
      </c>
      <c r="D122" t="s">
        <v>1121</v>
      </c>
    </row>
    <row r="123" spans="1:4" x14ac:dyDescent="0.25">
      <c r="A123" t="s">
        <v>1122</v>
      </c>
      <c r="B123" t="s">
        <v>1123</v>
      </c>
      <c r="C123" t="s">
        <v>1124</v>
      </c>
      <c r="D123" t="s">
        <v>1125</v>
      </c>
    </row>
    <row r="124" spans="1:4" x14ac:dyDescent="0.25">
      <c r="A124" t="s">
        <v>1126</v>
      </c>
      <c r="B124" t="s">
        <v>1127</v>
      </c>
      <c r="C124" t="s">
        <v>1127</v>
      </c>
      <c r="D124" t="s">
        <v>1127</v>
      </c>
    </row>
    <row r="125" spans="1:4" x14ac:dyDescent="0.25">
      <c r="A125" t="s">
        <v>1128</v>
      </c>
      <c r="B125" t="s">
        <v>1129</v>
      </c>
      <c r="C125" t="s">
        <v>1129</v>
      </c>
      <c r="D125" t="s">
        <v>1129</v>
      </c>
    </row>
    <row r="126" spans="1:4" x14ac:dyDescent="0.25">
      <c r="A126" t="s">
        <v>1130</v>
      </c>
      <c r="B126" t="s">
        <v>1131</v>
      </c>
      <c r="C126" t="s">
        <v>1131</v>
      </c>
      <c r="D126" t="s">
        <v>1131</v>
      </c>
    </row>
    <row r="127" spans="1:4" x14ac:dyDescent="0.25">
      <c r="A127" t="s">
        <v>1132</v>
      </c>
      <c r="B127" t="s">
        <v>1133</v>
      </c>
      <c r="C127" t="s">
        <v>1134</v>
      </c>
      <c r="D127" t="s">
        <v>1135</v>
      </c>
    </row>
    <row r="128" spans="1:4" x14ac:dyDescent="0.25">
      <c r="A128" t="s">
        <v>1136</v>
      </c>
      <c r="B128" t="s">
        <v>1137</v>
      </c>
      <c r="C128" t="s">
        <v>1138</v>
      </c>
      <c r="D128" t="s">
        <v>1139</v>
      </c>
    </row>
    <row r="129" spans="1:4" x14ac:dyDescent="0.25">
      <c r="A129" t="s">
        <v>1140</v>
      </c>
      <c r="B129" t="s">
        <v>1011</v>
      </c>
      <c r="C129" t="s">
        <v>1011</v>
      </c>
      <c r="D129" t="s">
        <v>1011</v>
      </c>
    </row>
    <row r="130" spans="1:4" x14ac:dyDescent="0.25">
      <c r="A130" t="s">
        <v>1141</v>
      </c>
      <c r="B130" t="s">
        <v>1013</v>
      </c>
      <c r="C130" t="s">
        <v>1014</v>
      </c>
      <c r="D130" t="s">
        <v>1015</v>
      </c>
    </row>
    <row r="131" spans="1:4" x14ac:dyDescent="0.25">
      <c r="A131" t="s">
        <v>1142</v>
      </c>
      <c r="B131" t="s">
        <v>878</v>
      </c>
      <c r="C131" t="s">
        <v>879</v>
      </c>
      <c r="D131" t="s">
        <v>879</v>
      </c>
    </row>
    <row r="132" spans="1:4" x14ac:dyDescent="0.25">
      <c r="A132" t="s">
        <v>1143</v>
      </c>
      <c r="B132" t="s">
        <v>1053</v>
      </c>
      <c r="C132" t="s">
        <v>1019</v>
      </c>
      <c r="D132" t="s">
        <v>1054</v>
      </c>
    </row>
    <row r="133" spans="1:4" x14ac:dyDescent="0.25">
      <c r="A133" t="s">
        <v>1144</v>
      </c>
      <c r="B133" t="s">
        <v>760</v>
      </c>
      <c r="C133" t="s">
        <v>761</v>
      </c>
      <c r="D133" t="s">
        <v>762</v>
      </c>
    </row>
    <row r="134" spans="1:4" x14ac:dyDescent="0.25">
      <c r="A134" t="s">
        <v>1145</v>
      </c>
      <c r="B134" t="s">
        <v>1039</v>
      </c>
      <c r="C134" t="s">
        <v>1040</v>
      </c>
      <c r="D134" t="s">
        <v>1041</v>
      </c>
    </row>
    <row r="135" spans="1:4" x14ac:dyDescent="0.25">
      <c r="A135" t="s">
        <v>1146</v>
      </c>
      <c r="B135" t="s">
        <v>1147</v>
      </c>
      <c r="C135" t="s">
        <v>1148</v>
      </c>
      <c r="D135" t="s">
        <v>1149</v>
      </c>
    </row>
    <row r="136" spans="1:4" x14ac:dyDescent="0.25">
      <c r="A136" t="s">
        <v>1150</v>
      </c>
      <c r="B136" t="s">
        <v>1151</v>
      </c>
      <c r="C136" t="s">
        <v>1152</v>
      </c>
      <c r="D136" t="s">
        <v>1153</v>
      </c>
    </row>
    <row r="137" spans="1:4" x14ac:dyDescent="0.25">
      <c r="A137" t="s">
        <v>1154</v>
      </c>
      <c r="B137" t="s">
        <v>1155</v>
      </c>
      <c r="C137" t="s">
        <v>1156</v>
      </c>
      <c r="D137" t="s">
        <v>1155</v>
      </c>
    </row>
    <row r="138" spans="1:4" x14ac:dyDescent="0.25">
      <c r="A138" t="s">
        <v>1157</v>
      </c>
      <c r="B138" t="s">
        <v>1031</v>
      </c>
      <c r="C138" t="s">
        <v>1032</v>
      </c>
      <c r="D138" t="s">
        <v>1033</v>
      </c>
    </row>
    <row r="139" spans="1:4" x14ac:dyDescent="0.25">
      <c r="A139" t="s">
        <v>1158</v>
      </c>
      <c r="B139" t="s">
        <v>1023</v>
      </c>
      <c r="C139" t="s">
        <v>1024</v>
      </c>
      <c r="D139" t="s">
        <v>1025</v>
      </c>
    </row>
    <row r="140" spans="1:4" x14ac:dyDescent="0.25">
      <c r="A140" t="s">
        <v>1159</v>
      </c>
      <c r="B140" t="s">
        <v>1027</v>
      </c>
      <c r="C140" t="s">
        <v>1028</v>
      </c>
      <c r="D140" t="s">
        <v>1029</v>
      </c>
    </row>
    <row r="141" spans="1:4" x14ac:dyDescent="0.25">
      <c r="A141" t="s">
        <v>1160</v>
      </c>
      <c r="B141" t="s">
        <v>1161</v>
      </c>
      <c r="C141" t="s">
        <v>1162</v>
      </c>
      <c r="D141" t="s">
        <v>1161</v>
      </c>
    </row>
    <row r="142" spans="1:4" x14ac:dyDescent="0.25">
      <c r="A142" t="s">
        <v>1163</v>
      </c>
      <c r="B142" t="s">
        <v>1164</v>
      </c>
      <c r="C142" t="s">
        <v>1165</v>
      </c>
      <c r="D142" t="s">
        <v>1166</v>
      </c>
    </row>
    <row r="143" spans="1:4" x14ac:dyDescent="0.25">
      <c r="A143" t="s">
        <v>1167</v>
      </c>
      <c r="B143" t="s">
        <v>1168</v>
      </c>
      <c r="C143" t="s">
        <v>1169</v>
      </c>
      <c r="D143" t="s">
        <v>1170</v>
      </c>
    </row>
    <row r="144" spans="1:4" x14ac:dyDescent="0.25">
      <c r="A144" t="s">
        <v>1171</v>
      </c>
      <c r="B144" t="s">
        <v>1172</v>
      </c>
      <c r="C144" t="s">
        <v>1173</v>
      </c>
      <c r="D144" t="s">
        <v>1174</v>
      </c>
    </row>
    <row r="145" spans="1:4" x14ac:dyDescent="0.25">
      <c r="A145" t="s">
        <v>1175</v>
      </c>
      <c r="B145" t="s">
        <v>1176</v>
      </c>
      <c r="C145" t="s">
        <v>1177</v>
      </c>
      <c r="D145" t="s">
        <v>1178</v>
      </c>
    </row>
    <row r="146" spans="1:4" x14ac:dyDescent="0.25">
      <c r="A146" t="s">
        <v>1179</v>
      </c>
      <c r="B146" t="s">
        <v>1180</v>
      </c>
      <c r="C146" t="s">
        <v>1181</v>
      </c>
      <c r="D146" t="s">
        <v>1182</v>
      </c>
    </row>
    <row r="147" spans="1:4" x14ac:dyDescent="0.25">
      <c r="A147" t="s">
        <v>1183</v>
      </c>
      <c r="B147" t="s">
        <v>1184</v>
      </c>
      <c r="C147" t="s">
        <v>1134</v>
      </c>
      <c r="D147" t="s">
        <v>1135</v>
      </c>
    </row>
    <row r="148" spans="1:4" x14ac:dyDescent="0.25">
      <c r="A148" t="s">
        <v>1185</v>
      </c>
      <c r="B148" t="s">
        <v>1186</v>
      </c>
      <c r="C148" t="s">
        <v>1187</v>
      </c>
      <c r="D148" t="s">
        <v>1188</v>
      </c>
    </row>
    <row r="149" spans="1:4" x14ac:dyDescent="0.25">
      <c r="A149" t="s">
        <v>1189</v>
      </c>
      <c r="B149" t="s">
        <v>1190</v>
      </c>
      <c r="C149" t="s">
        <v>1191</v>
      </c>
      <c r="D149" t="s">
        <v>1190</v>
      </c>
    </row>
    <row r="150" spans="1:4" x14ac:dyDescent="0.25">
      <c r="A150" t="s">
        <v>1192</v>
      </c>
      <c r="B150" t="s">
        <v>1193</v>
      </c>
      <c r="C150" t="s">
        <v>1194</v>
      </c>
      <c r="D150" t="s">
        <v>1195</v>
      </c>
    </row>
    <row r="151" spans="1:4" x14ac:dyDescent="0.25">
      <c r="A151" t="s">
        <v>1196</v>
      </c>
      <c r="B151" t="s">
        <v>1197</v>
      </c>
      <c r="C151" t="s">
        <v>1198</v>
      </c>
      <c r="D151" t="s">
        <v>1199</v>
      </c>
    </row>
    <row r="250" spans="6:8" x14ac:dyDescent="0.25">
      <c r="F250" t="s">
        <v>881</v>
      </c>
      <c r="G250" t="s">
        <v>882</v>
      </c>
      <c r="H250" t="s">
        <v>883</v>
      </c>
    </row>
    <row r="251" spans="6:8" x14ac:dyDescent="0.25">
      <c r="F251" t="s">
        <v>885</v>
      </c>
      <c r="G251" t="s">
        <v>886</v>
      </c>
      <c r="H251" t="s">
        <v>887</v>
      </c>
    </row>
    <row r="252" spans="6:8" x14ac:dyDescent="0.25">
      <c r="F252" t="s">
        <v>889</v>
      </c>
      <c r="G252" t="s">
        <v>890</v>
      </c>
      <c r="H252" t="s">
        <v>891</v>
      </c>
    </row>
    <row r="253" spans="6:8" x14ac:dyDescent="0.25">
      <c r="F253" t="s">
        <v>893</v>
      </c>
      <c r="G253" t="s">
        <v>894</v>
      </c>
      <c r="H253" t="s">
        <v>895</v>
      </c>
    </row>
    <row r="254" spans="6:8" x14ac:dyDescent="0.25">
      <c r="F254" t="s">
        <v>897</v>
      </c>
      <c r="G254" t="s">
        <v>897</v>
      </c>
      <c r="H254" t="s">
        <v>897</v>
      </c>
    </row>
    <row r="258" spans="6:8" x14ac:dyDescent="0.25">
      <c r="F258" t="s">
        <v>1200</v>
      </c>
      <c r="G258" t="s">
        <v>1201</v>
      </c>
      <c r="H258" t="s">
        <v>1200</v>
      </c>
    </row>
    <row r="259" spans="6:8" x14ac:dyDescent="0.25">
      <c r="F259" t="s">
        <v>1202</v>
      </c>
      <c r="G259" t="s">
        <v>1203</v>
      </c>
      <c r="H259" t="s">
        <v>1204</v>
      </c>
    </row>
    <row r="260" spans="6:8" x14ac:dyDescent="0.25">
      <c r="F260" t="s">
        <v>1018</v>
      </c>
      <c r="G260" t="s">
        <v>1205</v>
      </c>
      <c r="H260" t="s">
        <v>1020</v>
      </c>
    </row>
    <row r="261" spans="6:8" x14ac:dyDescent="0.25">
      <c r="F261" t="s">
        <v>1206</v>
      </c>
      <c r="G261" t="s">
        <v>1207</v>
      </c>
      <c r="H261" t="s">
        <v>1208</v>
      </c>
    </row>
    <row r="262" spans="6:8" x14ac:dyDescent="0.25">
      <c r="F262" t="s">
        <v>1209</v>
      </c>
      <c r="G262" t="s">
        <v>1210</v>
      </c>
      <c r="H262" t="s">
        <v>1211</v>
      </c>
    </row>
    <row r="263" spans="6:8" x14ac:dyDescent="0.25">
      <c r="F263" t="s">
        <v>1212</v>
      </c>
      <c r="G263" t="s">
        <v>1213</v>
      </c>
      <c r="H263" t="s">
        <v>1214</v>
      </c>
    </row>
    <row r="264" spans="6:8" x14ac:dyDescent="0.25">
      <c r="F264" t="s">
        <v>1215</v>
      </c>
      <c r="G264" t="s">
        <v>1216</v>
      </c>
      <c r="H264" t="s">
        <v>1217</v>
      </c>
    </row>
    <row r="265" spans="6:8" x14ac:dyDescent="0.25">
      <c r="F265" t="s">
        <v>1218</v>
      </c>
      <c r="G265" t="s">
        <v>1219</v>
      </c>
      <c r="H265" t="s">
        <v>1220</v>
      </c>
    </row>
    <row r="270" spans="6:8" x14ac:dyDescent="0.25">
      <c r="F270" t="s">
        <v>1221</v>
      </c>
      <c r="G270" t="s">
        <v>1222</v>
      </c>
      <c r="H270" t="s">
        <v>1222</v>
      </c>
    </row>
    <row r="271" spans="6:8" x14ac:dyDescent="0.25">
      <c r="F271" t="s">
        <v>1223</v>
      </c>
      <c r="G271" t="s">
        <v>1224</v>
      </c>
      <c r="H271" t="s">
        <v>1225</v>
      </c>
    </row>
    <row r="272" spans="6:8" x14ac:dyDescent="0.25">
      <c r="F272" t="s">
        <v>1226</v>
      </c>
      <c r="G272" t="s">
        <v>1227</v>
      </c>
      <c r="H272" t="s">
        <v>1226</v>
      </c>
    </row>
    <row r="273" spans="6:8" x14ac:dyDescent="0.25">
      <c r="F273" t="s">
        <v>1228</v>
      </c>
      <c r="G273" t="s">
        <v>1229</v>
      </c>
      <c r="H273" t="s">
        <v>1228</v>
      </c>
    </row>
    <row r="274" spans="6:8" x14ac:dyDescent="0.25">
      <c r="F274" t="s">
        <v>1230</v>
      </c>
      <c r="G274" t="s">
        <v>1231</v>
      </c>
      <c r="H274" t="s">
        <v>1232</v>
      </c>
    </row>
    <row r="275" spans="6:8" x14ac:dyDescent="0.25">
      <c r="F275" t="s">
        <v>1233</v>
      </c>
      <c r="G275" t="s">
        <v>1234</v>
      </c>
      <c r="H275" t="s">
        <v>1234</v>
      </c>
    </row>
    <row r="276" spans="6:8" x14ac:dyDescent="0.25">
      <c r="F276" t="s">
        <v>1235</v>
      </c>
      <c r="G276" t="s">
        <v>1235</v>
      </c>
      <c r="H276" t="s">
        <v>1235</v>
      </c>
    </row>
    <row r="277" spans="6:8" x14ac:dyDescent="0.25">
      <c r="F277" t="s">
        <v>1236</v>
      </c>
      <c r="G277" t="s">
        <v>1237</v>
      </c>
      <c r="H277" t="s">
        <v>1238</v>
      </c>
    </row>
    <row r="278" spans="6:8" x14ac:dyDescent="0.25">
      <c r="F278" t="s">
        <v>1239</v>
      </c>
      <c r="G278" t="s">
        <v>1004</v>
      </c>
      <c r="H278" t="s">
        <v>1240</v>
      </c>
    </row>
    <row r="279" spans="6:8" x14ac:dyDescent="0.25">
      <c r="F279" t="s">
        <v>1218</v>
      </c>
      <c r="G279" t="s">
        <v>1219</v>
      </c>
      <c r="H279" t="s">
        <v>1220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10</vt:i4>
      </vt:variant>
      <vt:variant>
        <vt:lpstr>Benoemde bereiken</vt:lpstr>
      </vt:variant>
      <vt:variant>
        <vt:i4>9</vt:i4>
      </vt:variant>
    </vt:vector>
  </HeadingPairs>
  <TitlesOfParts>
    <vt:vector size="19" baseType="lpstr">
      <vt:lpstr>Config</vt:lpstr>
      <vt:lpstr>Info</vt:lpstr>
      <vt:lpstr>Processes</vt:lpstr>
      <vt:lpstr>Information Assets</vt:lpstr>
      <vt:lpstr>Dependent Assets</vt:lpstr>
      <vt:lpstr>Responsible Persons</vt:lpstr>
      <vt:lpstr>Import &amp; Export</vt:lpstr>
      <vt:lpstr>Reference Values</vt:lpstr>
      <vt:lpstr>CyFun Controls</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2026-05-10T18:30:20Z</dcterms:created>
  <dcterms:modified xsi:type="dcterms:W3CDTF">2026-05-10T18:30:23Z</dcterms:modified>
</cp:coreProperties>
</file>